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256" windowHeight="13896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a Noi Progress" sheetId="2" state="visible" r:id="rId2"/>
    <sheet xmlns:r="http://schemas.openxmlformats.org/officeDocument/2006/relationships" name="North 5G Progress" sheetId="3" state="visible" r:id="rId3"/>
    <sheet xmlns:r="http://schemas.openxmlformats.org/officeDocument/2006/relationships" name="Middle Swap Progress " sheetId="4" state="visible" r:id="rId4"/>
    <sheet xmlns:r="http://schemas.openxmlformats.org/officeDocument/2006/relationships" name="Middle 5G Progress" sheetId="5" state="visible" r:id="rId5"/>
    <sheet xmlns:r="http://schemas.openxmlformats.org/officeDocument/2006/relationships" name="South Swap Progress " sheetId="6" state="visible" r:id="rId6"/>
    <sheet xmlns:r="http://schemas.openxmlformats.org/officeDocument/2006/relationships" name="South 5G  Progress" sheetId="7" state="visible" r:id="rId7"/>
    <sheet xmlns:r="http://schemas.openxmlformats.org/officeDocument/2006/relationships" name="WpsReserved_CellImgList" sheetId="8" state="veryHidden" r:id="rId8"/>
  </sheets>
  <definedNames>
    <definedName name="_xlnm._FilterDatabase" localSheetId="1" hidden="1">'Ha Noi Progress'!$A$3:$Z$42</definedName>
    <definedName name="_xlnm._FilterDatabase" localSheetId="2" hidden="1">'North 5G Progress'!$A$2:$T$17</definedName>
    <definedName name="_xlnm._FilterDatabase" localSheetId="4" hidden="1">'Middle 5G Progress'!$A$2:$T$5</definedName>
    <definedName name="_xlnm._FilterDatabase" localSheetId="5" hidden="1">'South Swap Progress '!$A$2:$Z$12</definedName>
    <definedName name="_xlnm._FilterDatabase" localSheetId="6" hidden="1">'South 5G  Progress'!$A$2:$T$7</definedName>
  </definedNames>
  <calcPr calcId="144525" fullCalcOnLoad="1"/>
</workbook>
</file>

<file path=xl/styles.xml><?xml version="1.0" encoding="utf-8"?>
<styleSheet xmlns="http://schemas.openxmlformats.org/spreadsheetml/2006/main">
  <numFmts count="4">
    <numFmt numFmtId="164" formatCode="yyyy/mm/dd"/>
    <numFmt numFmtId="165" formatCode="h:mm\ AM/PM"/>
    <numFmt numFmtId="166" formatCode="0.00_);[Red]\(0.00\)"/>
    <numFmt numFmtId="167" formatCode="yyyy-mm-dd h:mm:ss"/>
  </numFmts>
  <fonts count="34">
    <font>
      <name val="等线"/>
      <charset val="134"/>
      <color theme="1"/>
      <sz val="11"/>
      <scheme val="minor"/>
    </font>
    <font>
      <name val="Calibri"/>
      <charset val="134"/>
      <color theme="1"/>
      <sz val="10"/>
    </font>
    <font>
      <name val="Calibri"/>
      <charset val="134"/>
      <b val="1"/>
      <color theme="0"/>
      <sz val="10"/>
    </font>
    <font>
      <name val="Calibri"/>
      <charset val="134"/>
      <b val="1"/>
      <color rgb="FFFFFFFF"/>
      <sz val="10"/>
    </font>
    <font>
      <name val="Calibri"/>
      <charset val="134"/>
      <color rgb="FF000000"/>
      <sz val="10"/>
    </font>
    <font>
      <name val="Aptos Narrow"/>
      <charset val="0"/>
      <color rgb="FF000000"/>
      <sz val="8"/>
    </font>
    <font>
      <name val="Calibri"/>
      <charset val="0"/>
      <b val="1"/>
      <color rgb="FF000000"/>
      <sz val="10"/>
    </font>
    <font>
      <name val="等线"/>
      <charset val="134"/>
      <color theme="1"/>
      <sz val="10"/>
      <scheme val="minor"/>
    </font>
    <font>
      <name val="Calibri"/>
      <charset val="134"/>
      <color rgb="FF0F1115"/>
      <sz val="10"/>
    </font>
    <font>
      <name val="Calibri"/>
      <charset val="0"/>
      <color rgb="FF000000"/>
      <sz val="10"/>
    </font>
    <font>
      <name val="Calibri"/>
      <charset val="134"/>
      <color rgb="FF000000"/>
      <sz val="11"/>
    </font>
    <font>
      <name val="Calibri"/>
      <charset val="0"/>
      <sz val="10"/>
    </font>
    <font>
      <name val="Calibri"/>
      <charset val="134"/>
      <b val="1"/>
      <color rgb="FF000000"/>
      <sz val="10"/>
    </font>
    <font>
      <name val="Calibri"/>
      <charset val="134"/>
      <b val="1"/>
      <color theme="1"/>
      <sz val="10"/>
    </font>
    <font>
      <name val="等线"/>
      <charset val="134"/>
      <b val="1"/>
      <color theme="3"/>
      <sz val="11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theme="3"/>
      <sz val="13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color rgb="FFFF0000"/>
      <sz val="11"/>
      <scheme val="minor"/>
    </font>
    <font>
      <name val="等线"/>
      <charset val="0"/>
      <color theme="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color rgb="FF3F3F76"/>
      <sz val="11"/>
      <scheme val="minor"/>
    </font>
    <font>
      <name val="汉仪书宋二KW"/>
      <charset val="134"/>
      <b val="1"/>
      <color rgb="FFFFFFFF"/>
      <sz val="10"/>
    </font>
  </fonts>
  <fills count="47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5DEB5"/>
        <bgColor rgb="FF000000"/>
      </patternFill>
    </fill>
    <fill>
      <patternFill patternType="solid">
        <fgColor rgb="FFED7D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49">
    <xf numFmtId="0" fontId="0" fillId="0" borderId="0"/>
    <xf numFmtId="0" fontId="20" fillId="39" borderId="0" applyAlignment="1">
      <alignment vertical="center"/>
    </xf>
    <xf numFmtId="0" fontId="16" fillId="44" borderId="0" applyAlignment="1">
      <alignment vertical="center"/>
    </xf>
    <xf numFmtId="0" fontId="20" fillId="28" borderId="0" applyAlignment="1">
      <alignment vertical="center"/>
    </xf>
    <xf numFmtId="0" fontId="32" fillId="45" borderId="21" applyAlignment="1">
      <alignment vertical="center"/>
    </xf>
    <xf numFmtId="0" fontId="16" fillId="41" borderId="0" applyAlignment="1">
      <alignment vertical="center"/>
    </xf>
    <xf numFmtId="0" fontId="16" fillId="20" borderId="0" applyAlignment="1">
      <alignment vertical="center"/>
    </xf>
    <xf numFmtId="44" fontId="0" fillId="0" borderId="0" applyAlignment="1">
      <alignment vertical="center"/>
    </xf>
    <xf numFmtId="0" fontId="20" fillId="25" borderId="0" applyAlignment="1">
      <alignment vertical="center"/>
    </xf>
    <xf numFmtId="9" fontId="0" fillId="0" borderId="0" applyAlignment="1">
      <alignment vertical="center"/>
    </xf>
    <xf numFmtId="0" fontId="20" fillId="40" borderId="0" applyAlignment="1">
      <alignment vertical="center"/>
    </xf>
    <xf numFmtId="0" fontId="20" fillId="38" borderId="0" applyAlignment="1">
      <alignment vertical="center"/>
    </xf>
    <xf numFmtId="0" fontId="20" fillId="37" borderId="0" applyAlignment="1">
      <alignment vertical="center"/>
    </xf>
    <xf numFmtId="0" fontId="20" fillId="31" borderId="0" applyAlignment="1">
      <alignment vertical="center"/>
    </xf>
    <xf numFmtId="0" fontId="20" fillId="35" borderId="0" applyAlignment="1">
      <alignment vertical="center"/>
    </xf>
    <xf numFmtId="0" fontId="18" fillId="19" borderId="21" applyAlignment="1">
      <alignment vertical="center"/>
    </xf>
    <xf numFmtId="0" fontId="20" fillId="33" borderId="0" applyAlignment="1">
      <alignment vertical="center"/>
    </xf>
    <xf numFmtId="0" fontId="27" fillId="32" borderId="0" applyAlignment="1">
      <alignment vertical="center"/>
    </xf>
    <xf numFmtId="0" fontId="16" fillId="46" borderId="0" applyAlignment="1">
      <alignment vertical="center"/>
    </xf>
    <xf numFmtId="0" fontId="25" fillId="27" borderId="0" applyAlignment="1">
      <alignment vertical="center"/>
    </xf>
    <xf numFmtId="0" fontId="16" fillId="36" borderId="0" applyAlignment="1">
      <alignment vertical="center"/>
    </xf>
    <xf numFmtId="0" fontId="28" fillId="0" borderId="23" applyAlignment="1">
      <alignment vertical="center"/>
    </xf>
    <xf numFmtId="0" fontId="26" fillId="30" borderId="0" applyAlignment="1">
      <alignment vertical="center"/>
    </xf>
    <xf numFmtId="0" fontId="24" fillId="26" borderId="22" applyAlignment="1">
      <alignment vertical="center"/>
    </xf>
    <xf numFmtId="0" fontId="31" fillId="19" borderId="25" applyAlignment="1">
      <alignment vertical="center"/>
    </xf>
    <xf numFmtId="0" fontId="23" fillId="0" borderId="19" applyAlignment="1">
      <alignment vertical="center"/>
    </xf>
    <xf numFmtId="0" fontId="22" fillId="0" borderId="0" applyAlignment="1">
      <alignment vertical="center"/>
    </xf>
    <xf numFmtId="0" fontId="16" fillId="34" borderId="0" applyAlignment="1">
      <alignment vertical="center"/>
    </xf>
    <xf numFmtId="0" fontId="14" fillId="0" borderId="0" applyAlignment="1">
      <alignment vertical="center"/>
    </xf>
    <xf numFmtId="42" fontId="0" fillId="0" borderId="0" applyAlignment="1">
      <alignment vertical="center"/>
    </xf>
    <xf numFmtId="0" fontId="16" fillId="23" borderId="0" applyAlignment="1">
      <alignment vertical="center"/>
    </xf>
    <xf numFmtId="43" fontId="0" fillId="0" borderId="0" applyAlignment="1">
      <alignment vertical="center"/>
    </xf>
    <xf numFmtId="0" fontId="15" fillId="0" borderId="0" applyAlignment="1">
      <alignment vertical="center"/>
    </xf>
    <xf numFmtId="0" fontId="21" fillId="0" borderId="0" applyAlignment="1">
      <alignment vertical="center"/>
    </xf>
    <xf numFmtId="0" fontId="16" fillId="21" borderId="0" applyAlignment="1">
      <alignment vertical="center"/>
    </xf>
    <xf numFmtId="0" fontId="19" fillId="0" borderId="0" applyAlignment="1">
      <alignment vertical="center"/>
    </xf>
    <xf numFmtId="0" fontId="20" fillId="29" borderId="0" applyAlignment="1">
      <alignment vertical="center"/>
    </xf>
    <xf numFmtId="0" fontId="0" fillId="18" borderId="20" applyAlignment="1">
      <alignment vertical="center"/>
    </xf>
    <xf numFmtId="0" fontId="16" fillId="24" borderId="0" applyAlignment="1">
      <alignment vertical="center"/>
    </xf>
    <xf numFmtId="0" fontId="20" fillId="22" borderId="0" applyAlignment="1">
      <alignment vertical="center"/>
    </xf>
    <xf numFmtId="0" fontId="16" fillId="17" borderId="0" applyAlignment="1">
      <alignment vertical="center"/>
    </xf>
    <xf numFmtId="0" fontId="30" fillId="0" borderId="0" applyAlignment="1">
      <alignment vertical="center"/>
    </xf>
    <xf numFmtId="41" fontId="0" fillId="0" borderId="0" applyAlignment="1">
      <alignment vertical="center"/>
    </xf>
    <xf numFmtId="0" fontId="17" fillId="0" borderId="19" applyAlignment="1">
      <alignment vertical="center"/>
    </xf>
    <xf numFmtId="0" fontId="16" fillId="16" borderId="0" applyAlignment="1">
      <alignment vertical="center"/>
    </xf>
    <xf numFmtId="0" fontId="14" fillId="0" borderId="18" applyAlignment="1">
      <alignment vertical="center"/>
    </xf>
    <xf numFmtId="0" fontId="20" fillId="42" borderId="0" applyAlignment="1">
      <alignment vertical="center"/>
    </xf>
    <xf numFmtId="0" fontId="16" fillId="43" borderId="0" applyAlignment="1">
      <alignment vertical="center"/>
    </xf>
    <xf numFmtId="0" fontId="29" fillId="0" borderId="24" applyAlignment="1">
      <alignment vertical="center"/>
    </xf>
  </cellStyleXfs>
  <cellXfs count="18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49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20" fontId="1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1" pivotButton="0" quotePrefix="0" xfId="0"/>
    <xf numFmtId="0" fontId="2" fillId="6" borderId="1" applyAlignment="1" pivotButton="0" quotePrefix="0" xfId="0">
      <alignment horizontal="center" vertical="center"/>
    </xf>
    <xf numFmtId="14" fontId="4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49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2" borderId="5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5" applyAlignment="1" pivotButton="0" quotePrefix="0" xfId="0">
      <alignment horizontal="center"/>
    </xf>
    <xf numFmtId="0" fontId="1" fillId="0" borderId="5" pivotButton="0" quotePrefix="0" xfId="0"/>
    <xf numFmtId="0" fontId="2" fillId="2" borderId="6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/>
    </xf>
    <xf numFmtId="0" fontId="2" fillId="2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/>
    </xf>
    <xf numFmtId="0" fontId="3" fillId="2" borderId="7" applyAlignment="1" pivotButton="0" quotePrefix="0" xfId="0">
      <alignment horizontal="center" vertical="center" wrapText="1"/>
    </xf>
    <xf numFmtId="0" fontId="2" fillId="4" borderId="7" applyAlignment="1" pivotButton="0" quotePrefix="0" xfId="0">
      <alignment horizontal="center" vertical="center"/>
    </xf>
    <xf numFmtId="14" fontId="1" fillId="0" borderId="1" pivotButton="0" quotePrefix="0" xfId="0"/>
    <xf numFmtId="164" fontId="4" fillId="0" borderId="1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2" fillId="6" borderId="7" applyAlignment="1" pivotButton="0" quotePrefix="0" xfId="0">
      <alignment horizontal="center" vertical="center"/>
    </xf>
    <xf numFmtId="20" fontId="1" fillId="0" borderId="1" applyAlignment="1" pivotButton="0" quotePrefix="0" xfId="0">
      <alignment horizontal="center"/>
    </xf>
    <xf numFmtId="14" fontId="4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/>
    </xf>
    <xf numFmtId="0" fontId="2" fillId="5" borderId="9" applyAlignment="1" pivotButton="0" quotePrefix="0" xfId="0">
      <alignment horizontal="center" vertical="center"/>
    </xf>
    <xf numFmtId="0" fontId="1" fillId="0" borderId="5" pivotButton="0" quotePrefix="0" xfId="0"/>
    <xf numFmtId="0" fontId="3" fillId="6" borderId="7" applyAlignment="1" pivotButton="0" quotePrefix="0" xfId="0">
      <alignment horizontal="center" vertical="center"/>
    </xf>
    <xf numFmtId="20" fontId="4" fillId="0" borderId="8" applyAlignment="1" pivotButton="0" quotePrefix="0" xfId="0">
      <alignment horizontal="center" vertical="center"/>
    </xf>
    <xf numFmtId="0" fontId="1" fillId="0" borderId="8" pivotButton="0" quotePrefix="0" xfId="0"/>
    <xf numFmtId="0" fontId="3" fillId="2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8" borderId="7" applyAlignment="1" pivotButton="0" quotePrefix="0" xfId="0">
      <alignment horizontal="center" vertical="center"/>
    </xf>
    <xf numFmtId="0" fontId="4" fillId="9" borderId="1" pivotButton="0" quotePrefix="0" xfId="0"/>
    <xf numFmtId="0" fontId="0" fillId="0" borderId="0" applyAlignment="1" pivotButton="0" quotePrefix="0" xfId="0">
      <alignment wrapText="1"/>
    </xf>
    <xf numFmtId="0" fontId="7" fillId="0" borderId="0" pivotButton="0" quotePrefix="0" xfId="0"/>
    <xf numFmtId="49" fontId="4" fillId="0" borderId="11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/>
    </xf>
    <xf numFmtId="0" fontId="4" fillId="0" borderId="12" pivotButton="0" quotePrefix="0" xfId="0"/>
    <xf numFmtId="49" fontId="4" fillId="0" borderId="1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/>
    </xf>
    <xf numFmtId="0" fontId="4" fillId="0" borderId="14" pivotButton="0" quotePrefix="0" xfId="0"/>
    <xf numFmtId="49" fontId="4" fillId="0" borderId="14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4" fillId="0" borderId="0" pivotButton="0" quotePrefix="0" xfId="0"/>
    <xf numFmtId="49" fontId="4" fillId="0" borderId="0" applyAlignment="1" pivotButton="0" quotePrefix="0" xfId="0">
      <alignment horizontal="center" vertical="center"/>
    </xf>
    <xf numFmtId="0" fontId="1" fillId="0" borderId="0" pivotButton="0" quotePrefix="0" xfId="0"/>
    <xf numFmtId="164" fontId="4" fillId="0" borderId="4" applyAlignment="1" pivotButton="0" quotePrefix="0" xfId="0">
      <alignment horizontal="center" vertical="center"/>
    </xf>
    <xf numFmtId="165" fontId="8" fillId="0" borderId="1" applyAlignment="1" pivotButton="0" quotePrefix="0" xfId="0">
      <alignment horizontal="left"/>
    </xf>
    <xf numFmtId="164" fontId="4" fillId="0" borderId="11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11" applyAlignment="1" pivotButton="0" quotePrefix="0" xfId="0">
      <alignment horizontal="center" vertical="center"/>
    </xf>
    <xf numFmtId="49" fontId="9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4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" fontId="4" fillId="0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3" fillId="8" borderId="1" applyAlignment="1" pivotButton="0" quotePrefix="0" xfId="0">
      <alignment horizontal="center" vertical="center" wrapText="1"/>
    </xf>
    <xf numFmtId="49" fontId="1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20" fontId="1" fillId="0" borderId="1" pivotButton="0" quotePrefix="0" xfId="0"/>
    <xf numFmtId="166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49" fontId="9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2" borderId="16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/>
    </xf>
    <xf numFmtId="0" fontId="1" fillId="0" borderId="2" pivotButton="0" quotePrefix="0" xfId="0"/>
    <xf numFmtId="0" fontId="4" fillId="0" borderId="8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0" fontId="4" fillId="0" borderId="12" applyAlignment="1" pivotButton="0" quotePrefix="0" xfId="0">
      <alignment horizontal="center"/>
    </xf>
    <xf numFmtId="0" fontId="1" fillId="0" borderId="17" pivotButton="0" quotePrefix="0" xfId="0"/>
    <xf numFmtId="0" fontId="3" fillId="2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center" vertical="center"/>
    </xf>
    <xf numFmtId="0" fontId="3" fillId="2" borderId="16" applyAlignment="1" pivotButton="0" quotePrefix="0" xfId="0">
      <alignment horizontal="center" vertical="center" wrapText="1"/>
    </xf>
    <xf numFmtId="14" fontId="1" fillId="0" borderId="5" applyAlignment="1" pivotButton="0" quotePrefix="0" xfId="0">
      <alignment horizontal="center" vertical="center"/>
    </xf>
    <xf numFmtId="14" fontId="1" fillId="0" borderId="5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4" fontId="1" fillId="0" borderId="7" pivotButton="0" quotePrefix="0" xfId="0"/>
    <xf numFmtId="14" fontId="1" fillId="0" borderId="12" pivotButton="0" quotePrefix="0" xfId="0"/>
    <xf numFmtId="0" fontId="2" fillId="3" borderId="16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20" fontId="1" fillId="0" borderId="5" applyAlignment="1" pivotButton="0" quotePrefix="0" xfId="0">
      <alignment horizontal="center" vertical="center"/>
    </xf>
    <xf numFmtId="20" fontId="4" fillId="0" borderId="7" applyAlignment="1" pivotButton="0" quotePrefix="0" xfId="0">
      <alignment horizontal="center"/>
    </xf>
    <xf numFmtId="20" fontId="4" fillId="0" borderId="5" applyAlignment="1" pivotButton="0" quotePrefix="0" xfId="0">
      <alignment horizontal="center"/>
    </xf>
    <xf numFmtId="20" fontId="1" fillId="0" borderId="7" applyAlignment="1" pivotButton="0" quotePrefix="0" xfId="0">
      <alignment horizontal="center"/>
    </xf>
    <xf numFmtId="20" fontId="4" fillId="0" borderId="1" applyAlignment="1" pivotButton="0" quotePrefix="0" xfId="0">
      <alignment horizontal="center"/>
    </xf>
    <xf numFmtId="20" fontId="1" fillId="0" borderId="12" applyAlignment="1" pivotButton="0" quotePrefix="0" xfId="0">
      <alignment horizontal="center"/>
    </xf>
    <xf numFmtId="14" fontId="1" fillId="0" borderId="12" applyAlignment="1" pivotButton="0" quotePrefix="0" xfId="0">
      <alignment horizontal="center"/>
    </xf>
    <xf numFmtId="20" fontId="4" fillId="0" borderId="12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2" fillId="5" borderId="16" applyAlignment="1" pivotButton="0" quotePrefix="0" xfId="0">
      <alignment horizontal="center" vertical="center"/>
    </xf>
    <xf numFmtId="0" fontId="3" fillId="6" borderId="5" applyAlignment="1" pivotButton="0" quotePrefix="0" xfId="0">
      <alignment horizontal="center" vertical="center"/>
    </xf>
    <xf numFmtId="0" fontId="3" fillId="6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20" fontId="4" fillId="0" borderId="10" applyAlignment="1" pivotButton="0" quotePrefix="0" xfId="0">
      <alignment horizontal="center"/>
    </xf>
    <xf numFmtId="20" fontId="4" fillId="0" borderId="2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20" fontId="4" fillId="0" borderId="17" applyAlignment="1" pivotButton="0" quotePrefix="0" xfId="0">
      <alignment horizontal="center"/>
    </xf>
    <xf numFmtId="0" fontId="3" fillId="2" borderId="10" applyAlignment="1" pivotButton="0" quotePrefix="0" xfId="0">
      <alignment horizontal="center" vertical="center" wrapText="1"/>
    </xf>
    <xf numFmtId="0" fontId="2" fillId="2" borderId="8" applyAlignment="1" pivotButton="0" quotePrefix="0" xfId="0">
      <alignment horizontal="center" vertical="center"/>
    </xf>
    <xf numFmtId="20" fontId="1" fillId="0" borderId="8" applyAlignment="1" pivotButton="0" quotePrefix="0" xfId="0">
      <alignment horizontal="center" vertical="center"/>
    </xf>
    <xf numFmtId="0" fontId="4" fillId="0" borderId="8" pivotButton="0" quotePrefix="0" xfId="0"/>
    <xf numFmtId="22" fontId="1" fillId="0" borderId="2" applyAlignment="1" pivotButton="0" quotePrefix="0" xfId="0">
      <alignment horizontal="center"/>
    </xf>
    <xf numFmtId="22" fontId="4" fillId="0" borderId="2" applyAlignment="1" pivotButton="0" quotePrefix="0" xfId="0">
      <alignment horizontal="center"/>
    </xf>
    <xf numFmtId="0" fontId="1" fillId="0" borderId="10" pivotButton="0" quotePrefix="0" xfId="0"/>
    <xf numFmtId="0" fontId="1" fillId="0" borderId="2" pivotButton="0" quotePrefix="0" xfId="0"/>
    <xf numFmtId="0" fontId="1" fillId="0" borderId="17" pivotButton="0" quotePrefix="0" xfId="0"/>
    <xf numFmtId="22" fontId="4" fillId="0" borderId="17" applyAlignment="1" pivotButton="0" quotePrefix="0" xfId="0">
      <alignment horizontal="center"/>
    </xf>
    <xf numFmtId="22" fontId="4" fillId="0" borderId="1" applyAlignment="1" pivotButton="0" quotePrefix="0" xfId="0">
      <alignment horizontal="center"/>
    </xf>
    <xf numFmtId="0" fontId="4" fillId="0" borderId="1" pivotButton="0" quotePrefix="0" xfId="0"/>
    <xf numFmtId="0" fontId="3" fillId="8" borderId="5" applyAlignment="1" pivotButton="0" quotePrefix="0" xfId="0">
      <alignment horizontal="center" vertical="center"/>
    </xf>
    <xf numFmtId="0" fontId="3" fillId="8" borderId="8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/>
    </xf>
    <xf numFmtId="0" fontId="1" fillId="0" borderId="10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0" borderId="0" applyAlignment="1" pivotButton="0" quotePrefix="0" xfId="0">
      <alignment horizontal="center" wrapText="1"/>
    </xf>
    <xf numFmtId="0" fontId="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2" fillId="10" borderId="0" pivotButton="0" quotePrefix="0" xfId="0"/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center" wrapText="1"/>
    </xf>
    <xf numFmtId="0" fontId="12" fillId="12" borderId="0" pivotButton="0" quotePrefix="0" xfId="0"/>
    <xf numFmtId="0" fontId="4" fillId="0" borderId="1" applyAlignment="1" pivotButton="0" quotePrefix="0" xfId="0">
      <alignment horizontal="center" wrapText="1"/>
    </xf>
    <xf numFmtId="0" fontId="12" fillId="13" borderId="0" pivotButton="0" quotePrefix="0" xfId="0"/>
    <xf numFmtId="0" fontId="12" fillId="14" borderId="0" applyAlignment="1" pivotButton="0" quotePrefix="0" xfId="0">
      <alignment horizontal="center"/>
    </xf>
    <xf numFmtId="14" fontId="4" fillId="15" borderId="1" applyAlignment="1" pivotButton="0" quotePrefix="0" xfId="0">
      <alignment horizontal="center" vertical="center"/>
    </xf>
    <xf numFmtId="0" fontId="0" fillId="0" borderId="11" pivotButton="0" quotePrefix="0" xfId="0"/>
    <xf numFmtId="0" fontId="2" fillId="3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6" pivotButton="0" quotePrefix="0" xfId="0"/>
    <xf numFmtId="0" fontId="2" fillId="5" borderId="5" applyAlignment="1" pivotButton="0" quotePrefix="0" xfId="0">
      <alignment horizontal="center" vertical="center"/>
    </xf>
    <xf numFmtId="167" fontId="0" fillId="0" borderId="0" pivotButton="0" quotePrefix="0" xfId="0"/>
    <xf numFmtId="167" fontId="4" fillId="0" borderId="5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6" fontId="11" fillId="0" borderId="1" applyAlignment="1" pivotButton="0" quotePrefix="0" xfId="0">
      <alignment horizontal="center" vertical="center"/>
    </xf>
    <xf numFmtId="167" fontId="1" fillId="0" borderId="1" pivotButton="0" quotePrefix="0" xfId="0"/>
    <xf numFmtId="164" fontId="4" fillId="0" borderId="1" applyAlignment="1" pivotButton="0" quotePrefix="0" xfId="0">
      <alignment horizontal="center" vertical="center"/>
    </xf>
    <xf numFmtId="164" fontId="4" fillId="0" borderId="4" applyAlignment="1" pivotButton="0" quotePrefix="0" xfId="0">
      <alignment horizontal="center" vertical="center"/>
    </xf>
    <xf numFmtId="165" fontId="8" fillId="0" borderId="1" applyAlignment="1" pivotButton="0" quotePrefix="0" xfId="0">
      <alignment horizontal="left"/>
    </xf>
    <xf numFmtId="164" fontId="4" fillId="0" borderId="11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Z35"/>
  <sheetViews>
    <sheetView topLeftCell="Y34" workbookViewId="0">
      <selection activeCell="H5" sqref="H5"/>
    </sheetView>
  </sheetViews>
  <sheetFormatPr baseColWidth="8" defaultColWidth="9" defaultRowHeight="12.75"/>
  <cols>
    <col width="9" customWidth="1" style="70" min="1" max="1"/>
    <col width="9" customWidth="1" style="67" min="2" max="2"/>
    <col width="7.6" customWidth="1" style="154" min="3" max="4"/>
    <col hidden="1" width="9" customWidth="1" style="155" min="5" max="5"/>
    <col hidden="1" width="9" customWidth="1" style="156" min="6" max="14"/>
    <col hidden="1" width="9" customWidth="1" style="70" min="15" max="19"/>
    <col width="9" customWidth="1" style="70" min="20" max="16384"/>
  </cols>
  <sheetData>
    <row r="2">
      <c r="A2" s="157" t="inlineStr">
        <is>
          <t>Ha Noi</t>
        </is>
      </c>
    </row>
    <row r="4" ht="25.5" customHeight="1">
      <c r="B4" s="158" t="inlineStr">
        <is>
          <t>Province</t>
        </is>
      </c>
      <c r="C4" s="159" t="inlineStr">
        <is>
          <t>Total On Air Site</t>
        </is>
      </c>
      <c r="D4" s="160" t="inlineStr">
        <is>
          <t>RAT</t>
        </is>
      </c>
      <c r="E4" s="171" t="n">
        <v>46141</v>
      </c>
      <c r="F4" s="171">
        <f>E4+1</f>
        <v/>
      </c>
      <c r="G4" s="171">
        <f>F4+1</f>
        <v/>
      </c>
      <c r="H4" s="171">
        <f>G4+1</f>
        <v/>
      </c>
      <c r="I4" s="171">
        <f>H4+1</f>
        <v/>
      </c>
      <c r="J4" s="171">
        <f>I4+1</f>
        <v/>
      </c>
      <c r="K4" s="171">
        <f>J4+1</f>
        <v/>
      </c>
      <c r="L4" s="171">
        <f>K4+1</f>
        <v/>
      </c>
      <c r="M4" s="171">
        <f>L4+1</f>
        <v/>
      </c>
      <c r="N4" s="171">
        <f>M4+1</f>
        <v/>
      </c>
      <c r="O4" s="171">
        <f>N4+1</f>
        <v/>
      </c>
      <c r="P4" s="171">
        <f>O4+1</f>
        <v/>
      </c>
      <c r="Q4" s="171">
        <f>P4+1</f>
        <v/>
      </c>
      <c r="R4" s="171">
        <f>Q4+1</f>
        <v/>
      </c>
      <c r="S4" s="171">
        <f>R4+1</f>
        <v/>
      </c>
      <c r="T4" s="171">
        <f>S4+1</f>
        <v/>
      </c>
      <c r="U4" s="171">
        <f>T4+1</f>
        <v/>
      </c>
      <c r="V4" s="171">
        <f>U4+1</f>
        <v/>
      </c>
      <c r="W4" s="171">
        <f>V4+1</f>
        <v/>
      </c>
      <c r="X4" s="171">
        <f>W4+1</f>
        <v/>
      </c>
      <c r="Y4" s="171">
        <f>X4+1</f>
        <v/>
      </c>
      <c r="Z4" s="171">
        <f>Y4+1</f>
        <v/>
      </c>
    </row>
    <row r="5">
      <c r="B5" s="163" t="inlineStr">
        <is>
          <t>Ha Noi</t>
        </is>
      </c>
      <c r="C5" s="162">
        <f>COUNTIFS('Ha Noi Progress'!D:D,"&lt;&gt;",'Ha Noi Progress'!I:I,"&lt;&gt;",'Ha Noi Progress'!B:B,B5)</f>
        <v/>
      </c>
      <c r="D5" s="163" t="inlineStr">
        <is>
          <t>4G</t>
        </is>
      </c>
      <c r="E5" s="163">
        <f>COUNTIFS('Ha Noi Progress'!$B:$B,$B$5,'Ha Noi Progress'!$D:$D,"&lt;&gt;",'Ha Noi Progress'!$I:$I,E4)</f>
        <v/>
      </c>
      <c r="F5" s="163">
        <f>COUNTIFS('Ha Noi Progress'!$B:$B,$B$5,'Ha Noi Progress'!$D:$D,"&lt;&gt;",'Ha Noi Progress'!$I:$I,F4)</f>
        <v/>
      </c>
      <c r="G5" s="163">
        <f>COUNTIFS('Ha Noi Progress'!$B:$B,$B$5,'Ha Noi Progress'!$D:$D,"&lt;&gt;",'Ha Noi Progress'!$I:$I,G4)</f>
        <v/>
      </c>
      <c r="H5" s="163">
        <f>COUNTIFS('Ha Noi Progress'!$B:$B,$B$5,'Ha Noi Progress'!$D:$D,"&lt;&gt;",'Ha Noi Progress'!$I:$I,H4)</f>
        <v/>
      </c>
      <c r="I5" s="163">
        <f>COUNTIFS('Ha Noi Progress'!$B:$B,$B$5,'Ha Noi Progress'!$D:$D,"&lt;&gt;",'Ha Noi Progress'!$I:$I,I4)</f>
        <v/>
      </c>
      <c r="J5" s="163">
        <f>COUNTIFS('Ha Noi Progress'!$B:$B,$B$5,'Ha Noi Progress'!$D:$D,"&lt;&gt;",'Ha Noi Progress'!$I:$I,J4)</f>
        <v/>
      </c>
      <c r="K5" s="163">
        <f>COUNTIFS('Ha Noi Progress'!$B:$B,$B$5,'Ha Noi Progress'!$D:$D,"&lt;&gt;",'Ha Noi Progress'!$I:$I,K4)</f>
        <v/>
      </c>
      <c r="L5" s="163">
        <f>COUNTIFS('Ha Noi Progress'!$B:$B,$B$5,'Ha Noi Progress'!$D:$D,"&lt;&gt;",'Ha Noi Progress'!$I:$I,L4)</f>
        <v/>
      </c>
      <c r="M5" s="163">
        <f>COUNTIFS('Ha Noi Progress'!$B:$B,$B$5,'Ha Noi Progress'!$D:$D,"&lt;&gt;",'Ha Noi Progress'!$I:$I,M4)</f>
        <v/>
      </c>
      <c r="N5" s="163">
        <f>COUNTIFS('Ha Noi Progress'!$B:$B,$B$5,'Ha Noi Progress'!$D:$D,"&lt;&gt;",'Ha Noi Progress'!$I:$I,N4)</f>
        <v/>
      </c>
      <c r="O5" s="163">
        <f>COUNTIFS('Ha Noi Progress'!$B:$B,$B$5,'Ha Noi Progress'!$D:$D,"&lt;&gt;",'Ha Noi Progress'!$I:$I,O4)</f>
        <v/>
      </c>
      <c r="P5" s="163">
        <f>COUNTIFS('Ha Noi Progress'!$B:$B,$B$5,'Ha Noi Progress'!$D:$D,"&lt;&gt;",'Ha Noi Progress'!$I:$I,P4)</f>
        <v/>
      </c>
      <c r="Q5" s="163">
        <f>COUNTIFS('Ha Noi Progress'!$B:$B,$B$5,'Ha Noi Progress'!$D:$D,"&lt;&gt;",'Ha Noi Progress'!$I:$I,Q4)</f>
        <v/>
      </c>
      <c r="R5" s="163">
        <f>COUNTIFS('Ha Noi Progress'!$B:$B,$B$5,'Ha Noi Progress'!$D:$D,"&lt;&gt;",'Ha Noi Progress'!$I:$I,R4)</f>
        <v/>
      </c>
      <c r="S5" s="163">
        <f>COUNTIFS('Ha Noi Progress'!$B:$B,$B$5,'Ha Noi Progress'!$D:$D,"&lt;&gt;",'Ha Noi Progress'!$I:$I,S4)</f>
        <v/>
      </c>
      <c r="T5" s="163">
        <f>COUNTIFS('Ha Noi Progress'!$B:$B,$B$5,'Ha Noi Progress'!$D:$D,"&lt;&gt;",'Ha Noi Progress'!$I:$I,T4)</f>
        <v/>
      </c>
      <c r="U5" s="163">
        <f>COUNTIFS('Ha Noi Progress'!$B:$B,$B$5,'Ha Noi Progress'!$D:$D,"&lt;&gt;",'Ha Noi Progress'!$I:$I,U4)</f>
        <v/>
      </c>
      <c r="V5" s="163">
        <f>COUNTIFS('Ha Noi Progress'!$B:$B,$B$5,'Ha Noi Progress'!$D:$D,"&lt;&gt;",'Ha Noi Progress'!$I:$I,V4)</f>
        <v/>
      </c>
      <c r="W5" s="163">
        <f>COUNTIFS('Ha Noi Progress'!$B:$B,$B$5,'Ha Noi Progress'!$D:$D,"&lt;&gt;",'Ha Noi Progress'!$I:$I,W4)</f>
        <v/>
      </c>
      <c r="X5" s="163">
        <f>COUNTIFS('Ha Noi Progress'!$B:$B,$B$5,'Ha Noi Progress'!$D:$D,"&lt;&gt;",'Ha Noi Progress'!$I:$I,X4)</f>
        <v/>
      </c>
      <c r="Y5" s="163">
        <f>COUNTIFS('Ha Noi Progress'!$B:$B,$B$5,'Ha Noi Progress'!$D:$D,"&lt;&gt;",'Ha Noi Progress'!$I:$I,Y4)</f>
        <v/>
      </c>
      <c r="Z5" s="163">
        <f>COUNTIFS('Ha Noi Progress'!$B:$B,$B$5,'Ha Noi Progress'!$D:$D,"&lt;&gt;",'Ha Noi Progress'!$I:$I,Z4)</f>
        <v/>
      </c>
    </row>
    <row r="6">
      <c r="B6" s="172" t="n"/>
      <c r="C6" s="165">
        <f>SUMPRODUCT(--ISNUMBER('Ha Noi Progress'!M:M))</f>
        <v/>
      </c>
      <c r="D6" s="166" t="inlineStr">
        <is>
          <t>5G</t>
        </is>
      </c>
      <c r="E6" s="163">
        <f>COUNTIFS('Ha Noi Progress'!$D:$D,"&lt;&gt;",'Ha Noi Progress'!$B:$B,$B$5,'Ha Noi Progress'!$M:$M,E4)</f>
        <v/>
      </c>
      <c r="F6" s="163">
        <f>COUNTIFS('Ha Noi Progress'!$D:$D,"&lt;&gt;",'Ha Noi Progress'!$B:$B,$B$5,'Ha Noi Progress'!$M:$M,F4)</f>
        <v/>
      </c>
      <c r="G6" s="163">
        <f>COUNTIFS('Ha Noi Progress'!$D:$D,"&lt;&gt;",'Ha Noi Progress'!$B:$B,$B$5,'Ha Noi Progress'!$M:$M,G4)</f>
        <v/>
      </c>
      <c r="H6" s="163">
        <f>COUNTIFS('Ha Noi Progress'!$D:$D,"&lt;&gt;",'Ha Noi Progress'!$B:$B,$B$5,'Ha Noi Progress'!$M:$M,H4)</f>
        <v/>
      </c>
      <c r="I6" s="163">
        <f>COUNTIFS('Ha Noi Progress'!$D:$D,"&lt;&gt;",'Ha Noi Progress'!$B:$B,$B$5,'Ha Noi Progress'!$M:$M,I4)</f>
        <v/>
      </c>
      <c r="J6" s="163">
        <f>COUNTIFS('Ha Noi Progress'!$D:$D,"&lt;&gt;",'Ha Noi Progress'!$B:$B,$B$5,'Ha Noi Progress'!$M:$M,J4)</f>
        <v/>
      </c>
      <c r="K6" s="163">
        <f>COUNTIFS('Ha Noi Progress'!$D:$D,"&lt;&gt;",'Ha Noi Progress'!$B:$B,$B$5,'Ha Noi Progress'!$M:$M,K4)</f>
        <v/>
      </c>
      <c r="L6" s="163">
        <f>COUNTIFS('Ha Noi Progress'!$D:$D,"&lt;&gt;",'Ha Noi Progress'!$B:$B,$B$5,'Ha Noi Progress'!$M:$M,L4)</f>
        <v/>
      </c>
      <c r="M6" s="163">
        <f>COUNTIFS('Ha Noi Progress'!$D:$D,"&lt;&gt;",'Ha Noi Progress'!$B:$B,$B$5,'Ha Noi Progress'!$M:$M,M4)</f>
        <v/>
      </c>
      <c r="N6" s="163">
        <f>COUNTIFS('Ha Noi Progress'!$D:$D,"&lt;&gt;",'Ha Noi Progress'!$B:$B,$B$5,'Ha Noi Progress'!$M:$M,N4)</f>
        <v/>
      </c>
      <c r="O6" s="163">
        <f>COUNTIFS('Ha Noi Progress'!$D:$D,"&lt;&gt;",'Ha Noi Progress'!$B:$B,$B$5,'Ha Noi Progress'!$M:$M,O4)</f>
        <v/>
      </c>
      <c r="P6" s="163">
        <f>COUNTIFS('Ha Noi Progress'!$D:$D,"&lt;&gt;",'Ha Noi Progress'!$B:$B,$B$5,'Ha Noi Progress'!$M:$M,P4)</f>
        <v/>
      </c>
      <c r="Q6" s="163">
        <f>COUNTIFS('Ha Noi Progress'!$D:$D,"&lt;&gt;",'Ha Noi Progress'!$B:$B,$B$5,'Ha Noi Progress'!$M:$M,Q4)</f>
        <v/>
      </c>
      <c r="R6" s="163">
        <f>COUNTIFS('Ha Noi Progress'!$D:$D,"&lt;&gt;",'Ha Noi Progress'!$B:$B,$B$5,'Ha Noi Progress'!$M:$M,R4)</f>
        <v/>
      </c>
      <c r="S6" s="163">
        <f>COUNTIFS('Ha Noi Progress'!$D:$D,"&lt;&gt;",'Ha Noi Progress'!$B:$B,$B$5,'Ha Noi Progress'!$M:$M,S4)</f>
        <v/>
      </c>
      <c r="T6" s="163">
        <f>COUNTIFS('Ha Noi Progress'!$D:$D,"&lt;&gt;",'Ha Noi Progress'!$B:$B,$B$5,'Ha Noi Progress'!$M:$M,T4)</f>
        <v/>
      </c>
      <c r="U6" s="163">
        <f>COUNTIFS('Ha Noi Progress'!$D:$D,"&lt;&gt;",'Ha Noi Progress'!$B:$B,$B$5,'Ha Noi Progress'!$M:$M,U4)</f>
        <v/>
      </c>
      <c r="V6" s="163">
        <f>COUNTIFS('Ha Noi Progress'!$D:$D,"&lt;&gt;",'Ha Noi Progress'!$B:$B,$B$5,'Ha Noi Progress'!$M:$M,V4)</f>
        <v/>
      </c>
      <c r="W6" s="163">
        <f>COUNTIFS('Ha Noi Progress'!$D:$D,"&lt;&gt;",'Ha Noi Progress'!$B:$B,$B$5,'Ha Noi Progress'!$M:$M,W4)</f>
        <v/>
      </c>
      <c r="X6" s="163">
        <f>COUNTIFS('Ha Noi Progress'!$D:$D,"&lt;&gt;",'Ha Noi Progress'!$B:$B,$B$5,'Ha Noi Progress'!$M:$M,X4)</f>
        <v/>
      </c>
      <c r="Y6" s="163">
        <f>COUNTIFS('Ha Noi Progress'!$D:$D,"&lt;&gt;",'Ha Noi Progress'!$B:$B,$B$5,'Ha Noi Progress'!$M:$M,Y4)</f>
        <v/>
      </c>
      <c r="Z6" s="163">
        <f>COUNTIFS('Ha Noi Progress'!$D:$D,"&lt;&gt;",'Ha Noi Progress'!$B:$B,$B$5,'Ha Noi Progress'!$M:$M,Z4)</f>
        <v/>
      </c>
    </row>
    <row r="7">
      <c r="O7" s="156" t="n"/>
      <c r="P7" s="156" t="n"/>
      <c r="Q7" s="156" t="n"/>
      <c r="R7" s="156" t="n"/>
      <c r="S7" s="156" t="n"/>
      <c r="T7" s="156" t="n"/>
      <c r="U7" s="156" t="n"/>
      <c r="V7" s="156" t="n"/>
      <c r="W7" s="156" t="n"/>
      <c r="X7" s="156" t="n"/>
      <c r="Y7" s="156" t="n"/>
      <c r="Z7" s="156" t="n"/>
    </row>
    <row r="8">
      <c r="O8" s="156" t="n"/>
      <c r="P8" s="156" t="n"/>
      <c r="Q8" s="156" t="n"/>
      <c r="R8" s="156" t="n"/>
      <c r="S8" s="156" t="n"/>
      <c r="T8" s="156" t="n"/>
      <c r="U8" s="156" t="n"/>
      <c r="V8" s="156" t="n"/>
      <c r="W8" s="156" t="n"/>
      <c r="X8" s="156" t="n"/>
      <c r="Y8" s="156" t="n"/>
      <c r="Z8" s="156" t="n"/>
    </row>
    <row r="9">
      <c r="O9" s="156" t="n"/>
      <c r="P9" s="156" t="n"/>
      <c r="Q9" s="156" t="n"/>
      <c r="R9" s="156" t="n"/>
      <c r="S9" s="156" t="n"/>
      <c r="T9" s="156" t="n"/>
      <c r="U9" s="156" t="n"/>
      <c r="V9" s="156" t="n"/>
      <c r="W9" s="156" t="n"/>
      <c r="X9" s="156" t="n"/>
      <c r="Y9" s="156" t="n"/>
      <c r="Z9" s="156" t="n"/>
    </row>
    <row r="10">
      <c r="A10" s="167" t="inlineStr">
        <is>
          <t>North</t>
        </is>
      </c>
      <c r="O10" s="156" t="n"/>
      <c r="P10" s="156" t="n"/>
      <c r="Q10" s="156" t="n"/>
      <c r="R10" s="156" t="n"/>
      <c r="S10" s="156" t="n"/>
      <c r="T10" s="156" t="n"/>
      <c r="U10" s="156" t="n"/>
      <c r="V10" s="156" t="n"/>
      <c r="W10" s="156" t="n"/>
      <c r="X10" s="156" t="n"/>
      <c r="Y10" s="156" t="n"/>
      <c r="Z10" s="156" t="n"/>
    </row>
    <row r="11">
      <c r="A11" s="154" t="n"/>
      <c r="O11" s="156" t="n"/>
      <c r="P11" s="156" t="n"/>
      <c r="Q11" s="156" t="n"/>
      <c r="R11" s="156" t="n"/>
      <c r="S11" s="156" t="n"/>
      <c r="T11" s="156" t="n"/>
      <c r="U11" s="156" t="n"/>
      <c r="V11" s="156" t="n"/>
      <c r="W11" s="156" t="n"/>
      <c r="X11" s="156" t="n"/>
      <c r="Y11" s="156" t="n"/>
      <c r="Z11" s="156" t="n"/>
    </row>
    <row r="12" ht="25.5" customHeight="1">
      <c r="B12" s="158" t="inlineStr">
        <is>
          <t>Province</t>
        </is>
      </c>
      <c r="C12" s="159" t="inlineStr">
        <is>
          <t>Total On Air Site</t>
        </is>
      </c>
      <c r="D12" s="160" t="inlineStr">
        <is>
          <t>RAT</t>
        </is>
      </c>
      <c r="E12" s="171" t="n">
        <v>46141</v>
      </c>
      <c r="F12" s="171">
        <f>E12+1</f>
        <v/>
      </c>
      <c r="G12" s="171">
        <f>F12+1</f>
        <v/>
      </c>
      <c r="H12" s="171">
        <f>G12+1</f>
        <v/>
      </c>
      <c r="I12" s="171">
        <f>H12+1</f>
        <v/>
      </c>
      <c r="J12" s="171">
        <f>I12+1</f>
        <v/>
      </c>
      <c r="K12" s="171">
        <f>J12+1</f>
        <v/>
      </c>
      <c r="L12" s="171">
        <f>K12+1</f>
        <v/>
      </c>
      <c r="M12" s="171">
        <f>L12+1</f>
        <v/>
      </c>
      <c r="N12" s="171">
        <f>M12+1</f>
        <v/>
      </c>
      <c r="O12" s="171">
        <f>N12+1</f>
        <v/>
      </c>
      <c r="P12" s="171">
        <f>O12+1</f>
        <v/>
      </c>
      <c r="Q12" s="171">
        <f>P12+1</f>
        <v/>
      </c>
      <c r="R12" s="171">
        <f>Q12+1</f>
        <v/>
      </c>
      <c r="S12" s="171">
        <f>R12+1</f>
        <v/>
      </c>
      <c r="T12" s="171">
        <f>S12+1</f>
        <v/>
      </c>
      <c r="U12" s="171">
        <f>T12+1</f>
        <v/>
      </c>
      <c r="V12" s="171">
        <f>U12+1</f>
        <v/>
      </c>
      <c r="W12" s="171">
        <f>V12+1</f>
        <v/>
      </c>
      <c r="X12" s="171">
        <f>W12+1</f>
        <v/>
      </c>
      <c r="Y12" s="171">
        <f>X12+1</f>
        <v/>
      </c>
      <c r="Z12" s="171">
        <f>Y12+1</f>
        <v/>
      </c>
    </row>
    <row r="13">
      <c r="B13" s="81" t="inlineStr">
        <is>
          <t>Hai Phong</t>
        </is>
      </c>
      <c r="C13" s="165">
        <f>COUNTIFS('North 5G Progress'!B:B,B13,'North 5G Progress'!J:J,"&lt;&gt;")</f>
        <v/>
      </c>
      <c r="D13" s="168" t="inlineStr">
        <is>
          <t>5G</t>
        </is>
      </c>
      <c r="E13" s="163">
        <f>COUNTIFS('North 5G Progress'!$B:$B,$B$13,'North 5G Progress'!$J:$J,E12,'North 5G Progress'!$C:$C,"&lt;&gt;")</f>
        <v/>
      </c>
      <c r="F13" s="163">
        <f>COUNTIFS('North 5G Progress'!$B:$B,$B$13,'North 5G Progress'!$J:$J,F12,'North 5G Progress'!$C:$C,"&lt;&gt;")</f>
        <v/>
      </c>
      <c r="G13" s="163">
        <f>COUNTIFS('North 5G Progress'!$B:$B,$B$13,'North 5G Progress'!$J:$J,G12,'North 5G Progress'!$C:$C,"&lt;&gt;")</f>
        <v/>
      </c>
      <c r="H13" s="163">
        <f>COUNTIFS('North 5G Progress'!$B:$B,$B$13,'North 5G Progress'!$J:$J,H12,'North 5G Progress'!$C:$C,"&lt;&gt;")</f>
        <v/>
      </c>
      <c r="I13" s="163">
        <f>COUNTIFS('North 5G Progress'!$B:$B,$B$13,'North 5G Progress'!$J:$J,I12,'North 5G Progress'!$C:$C,"&lt;&gt;")</f>
        <v/>
      </c>
      <c r="J13" s="163">
        <f>COUNTIFS('North 5G Progress'!$B:$B,$B$13,'North 5G Progress'!$J:$J,J12,'North 5G Progress'!$C:$C,"&lt;&gt;")</f>
        <v/>
      </c>
      <c r="K13" s="163">
        <f>COUNTIFS('North 5G Progress'!$B:$B,$B$13,'North 5G Progress'!$J:$J,K12,'North 5G Progress'!$C:$C,"&lt;&gt;")</f>
        <v/>
      </c>
      <c r="L13" s="163">
        <f>COUNTIFS('North 5G Progress'!$B:$B,$B$13,'North 5G Progress'!$J:$J,L12,'North 5G Progress'!$C:$C,"&lt;&gt;")</f>
        <v/>
      </c>
      <c r="M13" s="163">
        <f>COUNTIFS('North 5G Progress'!$B:$B,$B$13,'North 5G Progress'!$J:$J,M12,'North 5G Progress'!$C:$C,"&lt;&gt;")</f>
        <v/>
      </c>
      <c r="N13" s="163">
        <f>COUNTIFS('North 5G Progress'!$B:$B,$B$13,'North 5G Progress'!$J:$J,N12,'North 5G Progress'!$C:$C,"&lt;&gt;")</f>
        <v/>
      </c>
      <c r="O13" s="163">
        <f>COUNTIFS('North 5G Progress'!$B:$B,$B$13,'North 5G Progress'!$J:$J,O12,'North 5G Progress'!$C:$C,"&lt;&gt;")</f>
        <v/>
      </c>
      <c r="P13" s="163">
        <f>COUNTIFS('North 5G Progress'!$B:$B,$B$13,'North 5G Progress'!$J:$J,P12,'North 5G Progress'!$C:$C,"&lt;&gt;")</f>
        <v/>
      </c>
      <c r="Q13" s="163">
        <f>COUNTIFS('North 5G Progress'!$B:$B,$B$13,'North 5G Progress'!$J:$J,Q12,'North 5G Progress'!$C:$C,"&lt;&gt;")</f>
        <v/>
      </c>
      <c r="R13" s="163">
        <f>COUNTIFS('North 5G Progress'!$B:$B,$B$13,'North 5G Progress'!$J:$J,R12,'North 5G Progress'!$C:$C,"&lt;&gt;")</f>
        <v/>
      </c>
      <c r="S13" s="163">
        <f>COUNTIFS('North 5G Progress'!$B:$B,$B$13,'North 5G Progress'!$J:$J,S12,'North 5G Progress'!$C:$C,"&lt;&gt;")</f>
        <v/>
      </c>
      <c r="T13" s="163">
        <f>COUNTIFS('North 5G Progress'!$B:$B,$B$13,'North 5G Progress'!$J:$J,T12,'North 5G Progress'!$C:$C,"&lt;&gt;")</f>
        <v/>
      </c>
      <c r="U13" s="163">
        <f>COUNTIFS('North 5G Progress'!$B:$B,$B$13,'North 5G Progress'!$J:$J,U12,'North 5G Progress'!$C:$C,"&lt;&gt;")</f>
        <v/>
      </c>
      <c r="V13" s="163">
        <f>COUNTIFS('North 5G Progress'!$B:$B,$B$13,'North 5G Progress'!$J:$J,V12,'North 5G Progress'!$C:$C,"&lt;&gt;")</f>
        <v/>
      </c>
      <c r="W13" s="163">
        <f>COUNTIFS('North 5G Progress'!$B:$B,$B$13,'North 5G Progress'!$J:$J,W12,'North 5G Progress'!$C:$C,"&lt;&gt;")</f>
        <v/>
      </c>
      <c r="X13" s="163">
        <f>COUNTIFS('North 5G Progress'!$B:$B,$B$13,'North 5G Progress'!$J:$J,X12,'North 5G Progress'!$C:$C,"&lt;&gt;")</f>
        <v/>
      </c>
      <c r="Y13" s="163">
        <f>COUNTIFS('North 5G Progress'!$B:$B,$B$13,'North 5G Progress'!$J:$J,Y12,'North 5G Progress'!$C:$C,"&lt;&gt;")</f>
        <v/>
      </c>
      <c r="Z13" s="163">
        <f>COUNTIFS('North 5G Progress'!$B:$B,$B$13,'North 5G Progress'!$J:$J,Z12,'North 5G Progress'!$C:$C,"&lt;&gt;")</f>
        <v/>
      </c>
    </row>
    <row r="14">
      <c r="B14" s="163" t="inlineStr">
        <is>
          <t>Hai Duong</t>
        </is>
      </c>
      <c r="C14" s="165">
        <f>COUNTIFS('North 5G Progress'!B:B,B14,'North 5G Progress'!J:J,"&lt;&gt;")</f>
        <v/>
      </c>
      <c r="D14" s="168" t="inlineStr">
        <is>
          <t>5G</t>
        </is>
      </c>
      <c r="E14" s="163">
        <f>COUNTIFS('North 5G Progress'!$B:$B,$B$13,'North 5G Progress'!$J:$J,E13,'North 5G Progress'!$C:$C,"&lt;&gt;")</f>
        <v/>
      </c>
      <c r="F14" s="163">
        <f>COUNTIFS('North 5G Progress'!$B:$B,$B$13,'North 5G Progress'!$J:$J,F13,'North 5G Progress'!$C:$C,"&lt;&gt;")</f>
        <v/>
      </c>
      <c r="G14" s="163">
        <f>COUNTIFS('North 5G Progress'!$B:$B,$B$13,'North 5G Progress'!$J:$J,G13,'North 5G Progress'!$C:$C,"&lt;&gt;")</f>
        <v/>
      </c>
      <c r="H14" s="163">
        <f>COUNTIFS('North 5G Progress'!$B:$B,$B$13,'North 5G Progress'!$J:$J,H13,'North 5G Progress'!$C:$C,"&lt;&gt;")</f>
        <v/>
      </c>
      <c r="I14" s="163">
        <f>COUNTIFS('North 5G Progress'!$B:$B,$B$13,'North 5G Progress'!$J:$J,I13,'North 5G Progress'!$C:$C,"&lt;&gt;")</f>
        <v/>
      </c>
      <c r="J14" s="163">
        <f>COUNTIFS('North 5G Progress'!$B:$B,$B$13,'North 5G Progress'!$J:$J,J13,'North 5G Progress'!$C:$C,"&lt;&gt;")</f>
        <v/>
      </c>
      <c r="K14" s="163">
        <f>COUNTIFS('North 5G Progress'!$B:$B,$B$13,'North 5G Progress'!$J:$J,K13,'North 5G Progress'!$C:$C,"&lt;&gt;")</f>
        <v/>
      </c>
      <c r="L14" s="163">
        <f>COUNTIFS('North 5G Progress'!$B:$B,$B$13,'North 5G Progress'!$J:$J,L13,'North 5G Progress'!$C:$C,"&lt;&gt;")</f>
        <v/>
      </c>
      <c r="M14" s="163">
        <f>COUNTIFS('North 5G Progress'!$B:$B,$B$13,'North 5G Progress'!$J:$J,M13,'North 5G Progress'!$C:$C,"&lt;&gt;")</f>
        <v/>
      </c>
      <c r="N14" s="163">
        <f>COUNTIFS('North 5G Progress'!$B:$B,$B$13,'North 5G Progress'!$J:$J,N13,'North 5G Progress'!$C:$C,"&lt;&gt;")</f>
        <v/>
      </c>
      <c r="O14" s="163">
        <f>COUNTIFS('North 5G Progress'!$B:$B,$B$13,'North 5G Progress'!$J:$J,O13,'North 5G Progress'!$C:$C,"&lt;&gt;")</f>
        <v/>
      </c>
      <c r="P14" s="163">
        <f>COUNTIFS('North 5G Progress'!$B:$B,$B$13,'North 5G Progress'!$J:$J,P13,'North 5G Progress'!$C:$C,"&lt;&gt;")</f>
        <v/>
      </c>
      <c r="Q14" s="163">
        <f>COUNTIFS('North 5G Progress'!$B:$B,$B$13,'North 5G Progress'!$J:$J,Q13,'North 5G Progress'!$C:$C,"&lt;&gt;")</f>
        <v/>
      </c>
      <c r="R14" s="163">
        <f>COUNTIFS('North 5G Progress'!$B:$B,$B$13,'North 5G Progress'!$J:$J,R13,'North 5G Progress'!$C:$C,"&lt;&gt;")</f>
        <v/>
      </c>
      <c r="S14" s="163">
        <f>COUNTIFS('North 5G Progress'!$B:$B,$B$13,'North 5G Progress'!$J:$J,S13,'North 5G Progress'!$C:$C,"&lt;&gt;")</f>
        <v/>
      </c>
      <c r="T14" s="163">
        <f>COUNTIFS('North 5G Progress'!$B:$B,$B$13,'North 5G Progress'!$J:$J,T13,'North 5G Progress'!$C:$C,"&lt;&gt;")</f>
        <v/>
      </c>
      <c r="U14" s="163">
        <f>COUNTIFS('North 5G Progress'!$B:$B,$B$13,'North 5G Progress'!$J:$J,U13,'North 5G Progress'!$C:$C,"&lt;&gt;")</f>
        <v/>
      </c>
      <c r="V14" s="163">
        <f>COUNTIFS('North 5G Progress'!$B:$B,$B$13,'North 5G Progress'!$J:$J,V13,'North 5G Progress'!$C:$C,"&lt;&gt;")</f>
        <v/>
      </c>
      <c r="W14" s="163">
        <f>COUNTIFS('North 5G Progress'!$B:$B,$B$13,'North 5G Progress'!$J:$J,W13,'North 5G Progress'!$C:$C,"&lt;&gt;")</f>
        <v/>
      </c>
      <c r="X14" s="163">
        <f>COUNTIFS('North 5G Progress'!$B:$B,$B$13,'North 5G Progress'!$J:$J,X13,'North 5G Progress'!$C:$C,"&lt;&gt;")</f>
        <v/>
      </c>
      <c r="Y14" s="163">
        <f>COUNTIFS('North 5G Progress'!$B:$B,$B$13,'North 5G Progress'!$J:$J,Y13,'North 5G Progress'!$C:$C,"&lt;&gt;")</f>
        <v/>
      </c>
      <c r="Z14" s="163">
        <f>COUNTIFS('North 5G Progress'!$B:$B,$B$13,'North 5G Progress'!$J:$J,Z13,'North 5G Progress'!$C:$C,"&lt;&gt;")</f>
        <v/>
      </c>
    </row>
    <row r="15">
      <c r="B15" s="163" t="inlineStr">
        <is>
          <t>Hung Yen</t>
        </is>
      </c>
      <c r="C15" s="165">
        <f>COUNTIFS('North 5G Progress'!B:B,B15,'North 5G Progress'!J:J,"&lt;&gt;")</f>
        <v/>
      </c>
      <c r="D15" s="168" t="inlineStr">
        <is>
          <t>5G</t>
        </is>
      </c>
      <c r="E15" s="163">
        <f>COUNTIFS('North 5G Progress'!$B:$B,$B$13,'North 5G Progress'!$J:$J,E14,'North 5G Progress'!$C:$C,"&lt;&gt;")</f>
        <v/>
      </c>
      <c r="F15" s="163">
        <f>COUNTIFS('North 5G Progress'!$B:$B,$B$13,'North 5G Progress'!$J:$J,F14,'North 5G Progress'!$C:$C,"&lt;&gt;")</f>
        <v/>
      </c>
      <c r="G15" s="163">
        <f>COUNTIFS('North 5G Progress'!$B:$B,$B$13,'North 5G Progress'!$J:$J,G14,'North 5G Progress'!$C:$C,"&lt;&gt;")</f>
        <v/>
      </c>
      <c r="H15" s="163">
        <f>COUNTIFS('North 5G Progress'!$B:$B,$B$13,'North 5G Progress'!$J:$J,H14,'North 5G Progress'!$C:$C,"&lt;&gt;")</f>
        <v/>
      </c>
      <c r="I15" s="163">
        <f>COUNTIFS('North 5G Progress'!$B:$B,$B$13,'North 5G Progress'!$J:$J,I14,'North 5G Progress'!$C:$C,"&lt;&gt;")</f>
        <v/>
      </c>
      <c r="J15" s="163">
        <f>COUNTIFS('North 5G Progress'!$B:$B,$B$13,'North 5G Progress'!$J:$J,J14,'North 5G Progress'!$C:$C,"&lt;&gt;")</f>
        <v/>
      </c>
      <c r="K15" s="163">
        <f>COUNTIFS('North 5G Progress'!$B:$B,$B$13,'North 5G Progress'!$J:$J,K14,'North 5G Progress'!$C:$C,"&lt;&gt;")</f>
        <v/>
      </c>
      <c r="L15" s="163">
        <f>COUNTIFS('North 5G Progress'!$B:$B,$B$13,'North 5G Progress'!$J:$J,L14,'North 5G Progress'!$C:$C,"&lt;&gt;")</f>
        <v/>
      </c>
      <c r="M15" s="163">
        <f>COUNTIFS('North 5G Progress'!$B:$B,$B$13,'North 5G Progress'!$J:$J,M14,'North 5G Progress'!$C:$C,"&lt;&gt;")</f>
        <v/>
      </c>
      <c r="N15" s="163">
        <f>COUNTIFS('North 5G Progress'!$B:$B,$B$13,'North 5G Progress'!$J:$J,N14,'North 5G Progress'!$C:$C,"&lt;&gt;")</f>
        <v/>
      </c>
      <c r="O15" s="163">
        <f>COUNTIFS('North 5G Progress'!$B:$B,$B$13,'North 5G Progress'!$J:$J,O14,'North 5G Progress'!$C:$C,"&lt;&gt;")</f>
        <v/>
      </c>
      <c r="P15" s="163">
        <f>COUNTIFS('North 5G Progress'!$B:$B,$B$13,'North 5G Progress'!$J:$J,P14,'North 5G Progress'!$C:$C,"&lt;&gt;")</f>
        <v/>
      </c>
      <c r="Q15" s="163">
        <f>COUNTIFS('North 5G Progress'!$B:$B,$B$13,'North 5G Progress'!$J:$J,Q14,'North 5G Progress'!$C:$C,"&lt;&gt;")</f>
        <v/>
      </c>
      <c r="R15" s="163">
        <f>COUNTIFS('North 5G Progress'!$B:$B,$B$13,'North 5G Progress'!$J:$J,R14,'North 5G Progress'!$C:$C,"&lt;&gt;")</f>
        <v/>
      </c>
      <c r="S15" s="163">
        <f>COUNTIFS('North 5G Progress'!$B:$B,$B$13,'North 5G Progress'!$J:$J,S14,'North 5G Progress'!$C:$C,"&lt;&gt;")</f>
        <v/>
      </c>
      <c r="T15" s="163">
        <f>COUNTIFS('North 5G Progress'!$B:$B,$B$13,'North 5G Progress'!$J:$J,T14,'North 5G Progress'!$C:$C,"&lt;&gt;")</f>
        <v/>
      </c>
      <c r="U15" s="163">
        <f>COUNTIFS('North 5G Progress'!$B:$B,$B$13,'North 5G Progress'!$J:$J,U14,'North 5G Progress'!$C:$C,"&lt;&gt;")</f>
        <v/>
      </c>
      <c r="V15" s="163">
        <f>COUNTIFS('North 5G Progress'!$B:$B,$B$13,'North 5G Progress'!$J:$J,V14,'North 5G Progress'!$C:$C,"&lt;&gt;")</f>
        <v/>
      </c>
      <c r="W15" s="163">
        <f>COUNTIFS('North 5G Progress'!$B:$B,$B$13,'North 5G Progress'!$J:$J,W14,'North 5G Progress'!$C:$C,"&lt;&gt;")</f>
        <v/>
      </c>
      <c r="X15" s="163">
        <f>COUNTIFS('North 5G Progress'!$B:$B,$B$13,'North 5G Progress'!$J:$J,X14,'North 5G Progress'!$C:$C,"&lt;&gt;")</f>
        <v/>
      </c>
      <c r="Y15" s="163">
        <f>COUNTIFS('North 5G Progress'!$B:$B,$B$13,'North 5G Progress'!$J:$J,Y14,'North 5G Progress'!$C:$C,"&lt;&gt;")</f>
        <v/>
      </c>
      <c r="Z15" s="163">
        <f>COUNTIFS('North 5G Progress'!$B:$B,$B$13,'North 5G Progress'!$J:$J,Z14,'North 5G Progress'!$C:$C,"&lt;&gt;")</f>
        <v/>
      </c>
    </row>
    <row r="16">
      <c r="B16" s="163" t="inlineStr">
        <is>
          <t>Thai Binh</t>
        </is>
      </c>
      <c r="C16" s="165">
        <f>COUNTIFS('North 5G Progress'!B:B,B16,'North 5G Progress'!J:J,"&lt;&gt;")</f>
        <v/>
      </c>
      <c r="D16" s="168" t="inlineStr">
        <is>
          <t>5G</t>
        </is>
      </c>
      <c r="E16" s="163">
        <f>COUNTIFS('North 5G Progress'!$B:$B,$B$13,'North 5G Progress'!$J:$J,E15,'North 5G Progress'!$C:$C,"&lt;&gt;")</f>
        <v/>
      </c>
      <c r="F16" s="163">
        <f>COUNTIFS('North 5G Progress'!$B:$B,$B$13,'North 5G Progress'!$J:$J,F15,'North 5G Progress'!$C:$C,"&lt;&gt;")</f>
        <v/>
      </c>
      <c r="G16" s="163">
        <f>COUNTIFS('North 5G Progress'!$B:$B,$B$13,'North 5G Progress'!$J:$J,G15,'North 5G Progress'!$C:$C,"&lt;&gt;")</f>
        <v/>
      </c>
      <c r="H16" s="163">
        <f>COUNTIFS('North 5G Progress'!$B:$B,$B$13,'North 5G Progress'!$J:$J,H15,'North 5G Progress'!$C:$C,"&lt;&gt;")</f>
        <v/>
      </c>
      <c r="I16" s="163">
        <f>COUNTIFS('North 5G Progress'!$B:$B,$B$13,'North 5G Progress'!$J:$J,I15,'North 5G Progress'!$C:$C,"&lt;&gt;")</f>
        <v/>
      </c>
      <c r="J16" s="163">
        <f>COUNTIFS('North 5G Progress'!$B:$B,$B$13,'North 5G Progress'!$J:$J,J15,'North 5G Progress'!$C:$C,"&lt;&gt;")</f>
        <v/>
      </c>
      <c r="K16" s="163">
        <f>COUNTIFS('North 5G Progress'!$B:$B,$B$13,'North 5G Progress'!$J:$J,K15,'North 5G Progress'!$C:$C,"&lt;&gt;")</f>
        <v/>
      </c>
      <c r="L16" s="163">
        <f>COUNTIFS('North 5G Progress'!$B:$B,$B$13,'North 5G Progress'!$J:$J,L15,'North 5G Progress'!$C:$C,"&lt;&gt;")</f>
        <v/>
      </c>
      <c r="M16" s="163">
        <f>COUNTIFS('North 5G Progress'!$B:$B,$B$13,'North 5G Progress'!$J:$J,M15,'North 5G Progress'!$C:$C,"&lt;&gt;")</f>
        <v/>
      </c>
      <c r="N16" s="163">
        <f>COUNTIFS('North 5G Progress'!$B:$B,$B$13,'North 5G Progress'!$J:$J,N15,'North 5G Progress'!$C:$C,"&lt;&gt;")</f>
        <v/>
      </c>
      <c r="O16" s="163">
        <f>COUNTIFS('North 5G Progress'!$B:$B,$B$13,'North 5G Progress'!$J:$J,O15,'North 5G Progress'!$C:$C,"&lt;&gt;")</f>
        <v/>
      </c>
      <c r="P16" s="163">
        <f>COUNTIFS('North 5G Progress'!$B:$B,$B$13,'North 5G Progress'!$J:$J,P15,'North 5G Progress'!$C:$C,"&lt;&gt;")</f>
        <v/>
      </c>
      <c r="Q16" s="163">
        <f>COUNTIFS('North 5G Progress'!$B:$B,$B$13,'North 5G Progress'!$J:$J,Q15,'North 5G Progress'!$C:$C,"&lt;&gt;")</f>
        <v/>
      </c>
      <c r="R16" s="163">
        <f>COUNTIFS('North 5G Progress'!$B:$B,$B$13,'North 5G Progress'!$J:$J,R15,'North 5G Progress'!$C:$C,"&lt;&gt;")</f>
        <v/>
      </c>
      <c r="S16" s="163">
        <f>COUNTIFS('North 5G Progress'!$B:$B,$B$13,'North 5G Progress'!$J:$J,S15,'North 5G Progress'!$C:$C,"&lt;&gt;")</f>
        <v/>
      </c>
      <c r="T16" s="163">
        <f>COUNTIFS('North 5G Progress'!$B:$B,$B$13,'North 5G Progress'!$J:$J,T15,'North 5G Progress'!$C:$C,"&lt;&gt;")</f>
        <v/>
      </c>
      <c r="U16" s="163">
        <f>COUNTIFS('North 5G Progress'!$B:$B,$B$13,'North 5G Progress'!$J:$J,U15,'North 5G Progress'!$C:$C,"&lt;&gt;")</f>
        <v/>
      </c>
      <c r="V16" s="163">
        <f>COUNTIFS('North 5G Progress'!$B:$B,$B$13,'North 5G Progress'!$J:$J,V15,'North 5G Progress'!$C:$C,"&lt;&gt;")</f>
        <v/>
      </c>
      <c r="W16" s="163">
        <f>COUNTIFS('North 5G Progress'!$B:$B,$B$13,'North 5G Progress'!$J:$J,W15,'North 5G Progress'!$C:$C,"&lt;&gt;")</f>
        <v/>
      </c>
      <c r="X16" s="163">
        <f>COUNTIFS('North 5G Progress'!$B:$B,$B$13,'North 5G Progress'!$J:$J,X15,'North 5G Progress'!$C:$C,"&lt;&gt;")</f>
        <v/>
      </c>
      <c r="Y16" s="163">
        <f>COUNTIFS('North 5G Progress'!$B:$B,$B$13,'North 5G Progress'!$J:$J,Y15,'North 5G Progress'!$C:$C,"&lt;&gt;")</f>
        <v/>
      </c>
      <c r="Z16" s="163">
        <f>COUNTIFS('North 5G Progress'!$B:$B,$B$13,'North 5G Progress'!$J:$J,Z15,'North 5G Progress'!$C:$C,"&lt;&gt;")</f>
        <v/>
      </c>
    </row>
    <row r="17">
      <c r="B17" s="163" t="inlineStr">
        <is>
          <t>Thai Nguyen</t>
        </is>
      </c>
      <c r="C17" s="165">
        <f>COUNTIFS('North 5G Progress'!B:B,B17,'North 5G Progress'!J:J,"&lt;&gt;")</f>
        <v/>
      </c>
      <c r="D17" s="168" t="inlineStr">
        <is>
          <t>5G</t>
        </is>
      </c>
      <c r="E17" s="163">
        <f>COUNTIFS('North 5G Progress'!$B:$B,$B$13,'North 5G Progress'!$J:$J,E16,'North 5G Progress'!$C:$C,"&lt;&gt;")</f>
        <v/>
      </c>
      <c r="F17" s="163">
        <f>COUNTIFS('North 5G Progress'!$B:$B,$B$13,'North 5G Progress'!$J:$J,F16,'North 5G Progress'!$C:$C,"&lt;&gt;")</f>
        <v/>
      </c>
      <c r="G17" s="163">
        <f>COUNTIFS('North 5G Progress'!$B:$B,$B$13,'North 5G Progress'!$J:$J,G16,'North 5G Progress'!$C:$C,"&lt;&gt;")</f>
        <v/>
      </c>
      <c r="H17" s="163">
        <f>COUNTIFS('North 5G Progress'!$B:$B,$B$13,'North 5G Progress'!$J:$J,H16,'North 5G Progress'!$C:$C,"&lt;&gt;")</f>
        <v/>
      </c>
      <c r="I17" s="163">
        <f>COUNTIFS('North 5G Progress'!$B:$B,$B$13,'North 5G Progress'!$J:$J,I16,'North 5G Progress'!$C:$C,"&lt;&gt;")</f>
        <v/>
      </c>
      <c r="J17" s="163">
        <f>COUNTIFS('North 5G Progress'!$B:$B,$B$13,'North 5G Progress'!$J:$J,J16,'North 5G Progress'!$C:$C,"&lt;&gt;")</f>
        <v/>
      </c>
      <c r="K17" s="163">
        <f>COUNTIFS('North 5G Progress'!$B:$B,$B$13,'North 5G Progress'!$J:$J,K16,'North 5G Progress'!$C:$C,"&lt;&gt;")</f>
        <v/>
      </c>
      <c r="L17" s="163">
        <f>COUNTIFS('North 5G Progress'!$B:$B,$B$13,'North 5G Progress'!$J:$J,L16,'North 5G Progress'!$C:$C,"&lt;&gt;")</f>
        <v/>
      </c>
      <c r="M17" s="163">
        <f>COUNTIFS('North 5G Progress'!$B:$B,$B$13,'North 5G Progress'!$J:$J,M16,'North 5G Progress'!$C:$C,"&lt;&gt;")</f>
        <v/>
      </c>
      <c r="N17" s="163">
        <f>COUNTIFS('North 5G Progress'!$B:$B,$B$13,'North 5G Progress'!$J:$J,N16,'North 5G Progress'!$C:$C,"&lt;&gt;")</f>
        <v/>
      </c>
      <c r="O17" s="163">
        <f>COUNTIFS('North 5G Progress'!$B:$B,$B$13,'North 5G Progress'!$J:$J,O16,'North 5G Progress'!$C:$C,"&lt;&gt;")</f>
        <v/>
      </c>
      <c r="P17" s="163">
        <f>COUNTIFS('North 5G Progress'!$B:$B,$B$13,'North 5G Progress'!$J:$J,P16,'North 5G Progress'!$C:$C,"&lt;&gt;")</f>
        <v/>
      </c>
      <c r="Q17" s="163">
        <f>COUNTIFS('North 5G Progress'!$B:$B,$B$13,'North 5G Progress'!$J:$J,Q16,'North 5G Progress'!$C:$C,"&lt;&gt;")</f>
        <v/>
      </c>
      <c r="R17" s="163">
        <f>COUNTIFS('North 5G Progress'!$B:$B,$B$13,'North 5G Progress'!$J:$J,R16,'North 5G Progress'!$C:$C,"&lt;&gt;")</f>
        <v/>
      </c>
      <c r="S17" s="163">
        <f>COUNTIFS('North 5G Progress'!$B:$B,$B$13,'North 5G Progress'!$J:$J,S16,'North 5G Progress'!$C:$C,"&lt;&gt;")</f>
        <v/>
      </c>
      <c r="T17" s="163">
        <f>COUNTIFS('North 5G Progress'!$B:$B,$B$13,'North 5G Progress'!$J:$J,T16,'North 5G Progress'!$C:$C,"&lt;&gt;")</f>
        <v/>
      </c>
      <c r="U17" s="163">
        <f>COUNTIFS('North 5G Progress'!$B:$B,$B$13,'North 5G Progress'!$J:$J,U16,'North 5G Progress'!$C:$C,"&lt;&gt;")</f>
        <v/>
      </c>
      <c r="V17" s="163">
        <f>COUNTIFS('North 5G Progress'!$B:$B,$B$13,'North 5G Progress'!$J:$J,V16,'North 5G Progress'!$C:$C,"&lt;&gt;")</f>
        <v/>
      </c>
      <c r="W17" s="163">
        <f>COUNTIFS('North 5G Progress'!$B:$B,$B$13,'North 5G Progress'!$J:$J,W16,'North 5G Progress'!$C:$C,"&lt;&gt;")</f>
        <v/>
      </c>
      <c r="X17" s="163">
        <f>COUNTIFS('North 5G Progress'!$B:$B,$B$13,'North 5G Progress'!$J:$J,X16,'North 5G Progress'!$C:$C,"&lt;&gt;")</f>
        <v/>
      </c>
      <c r="Y17" s="163">
        <f>COUNTIFS('North 5G Progress'!$B:$B,$B$13,'North 5G Progress'!$J:$J,Y16,'North 5G Progress'!$C:$C,"&lt;&gt;")</f>
        <v/>
      </c>
      <c r="Z17" s="163">
        <f>COUNTIFS('North 5G Progress'!$B:$B,$B$13,'North 5G Progress'!$J:$J,Z16,'North 5G Progress'!$C:$C,"&lt;&gt;")</f>
        <v/>
      </c>
    </row>
    <row r="18">
      <c r="B18" s="163" t="inlineStr">
        <is>
          <t>Ninh Binh</t>
        </is>
      </c>
      <c r="C18" s="165">
        <f>COUNTIFS('North 5G Progress'!B:B,B18,'North 5G Progress'!J:J,"&lt;&gt;")</f>
        <v/>
      </c>
      <c r="D18" s="168" t="inlineStr">
        <is>
          <t>5G</t>
        </is>
      </c>
      <c r="E18" s="163">
        <f>COUNTIFS('North 5G Progress'!$B:$B,$B$13,'North 5G Progress'!$J:$J,E17,'North 5G Progress'!$C:$C,"&lt;&gt;")</f>
        <v/>
      </c>
      <c r="F18" s="163">
        <f>COUNTIFS('North 5G Progress'!$B:$B,$B$13,'North 5G Progress'!$J:$J,F17,'North 5G Progress'!$C:$C,"&lt;&gt;")</f>
        <v/>
      </c>
      <c r="G18" s="163">
        <f>COUNTIFS('North 5G Progress'!$B:$B,$B$13,'North 5G Progress'!$J:$J,G17,'North 5G Progress'!$C:$C,"&lt;&gt;")</f>
        <v/>
      </c>
      <c r="H18" s="163">
        <f>COUNTIFS('North 5G Progress'!$B:$B,$B$13,'North 5G Progress'!$J:$J,H17,'North 5G Progress'!$C:$C,"&lt;&gt;")</f>
        <v/>
      </c>
      <c r="I18" s="163">
        <f>COUNTIFS('North 5G Progress'!$B:$B,$B$13,'North 5G Progress'!$J:$J,I17,'North 5G Progress'!$C:$C,"&lt;&gt;")</f>
        <v/>
      </c>
      <c r="J18" s="163">
        <f>COUNTIFS('North 5G Progress'!$B:$B,$B$13,'North 5G Progress'!$J:$J,J17,'North 5G Progress'!$C:$C,"&lt;&gt;")</f>
        <v/>
      </c>
      <c r="K18" s="163">
        <f>COUNTIFS('North 5G Progress'!$B:$B,$B$13,'North 5G Progress'!$J:$J,K17,'North 5G Progress'!$C:$C,"&lt;&gt;")</f>
        <v/>
      </c>
      <c r="L18" s="163">
        <f>COUNTIFS('North 5G Progress'!$B:$B,$B$13,'North 5G Progress'!$J:$J,L17,'North 5G Progress'!$C:$C,"&lt;&gt;")</f>
        <v/>
      </c>
      <c r="M18" s="163">
        <f>COUNTIFS('North 5G Progress'!$B:$B,$B$13,'North 5G Progress'!$J:$J,M17,'North 5G Progress'!$C:$C,"&lt;&gt;")</f>
        <v/>
      </c>
      <c r="N18" s="163">
        <f>COUNTIFS('North 5G Progress'!$B:$B,$B$13,'North 5G Progress'!$J:$J,N17,'North 5G Progress'!$C:$C,"&lt;&gt;")</f>
        <v/>
      </c>
      <c r="O18" s="163">
        <f>COUNTIFS('North 5G Progress'!$B:$B,$B$13,'North 5G Progress'!$J:$J,O17,'North 5G Progress'!$C:$C,"&lt;&gt;")</f>
        <v/>
      </c>
      <c r="P18" s="163">
        <f>COUNTIFS('North 5G Progress'!$B:$B,$B$13,'North 5G Progress'!$J:$J,P17,'North 5G Progress'!$C:$C,"&lt;&gt;")</f>
        <v/>
      </c>
      <c r="Q18" s="163">
        <f>COUNTIFS('North 5G Progress'!$B:$B,$B$13,'North 5G Progress'!$J:$J,Q17,'North 5G Progress'!$C:$C,"&lt;&gt;")</f>
        <v/>
      </c>
      <c r="R18" s="163">
        <f>COUNTIFS('North 5G Progress'!$B:$B,$B$13,'North 5G Progress'!$J:$J,R17,'North 5G Progress'!$C:$C,"&lt;&gt;")</f>
        <v/>
      </c>
      <c r="S18" s="163">
        <f>COUNTIFS('North 5G Progress'!$B:$B,$B$13,'North 5G Progress'!$J:$J,S17,'North 5G Progress'!$C:$C,"&lt;&gt;")</f>
        <v/>
      </c>
      <c r="T18" s="163">
        <f>COUNTIFS('North 5G Progress'!$B:$B,$B$13,'North 5G Progress'!$J:$J,T17,'North 5G Progress'!$C:$C,"&lt;&gt;")</f>
        <v/>
      </c>
      <c r="U18" s="163">
        <f>COUNTIFS('North 5G Progress'!$B:$B,$B$13,'North 5G Progress'!$J:$J,U17,'North 5G Progress'!$C:$C,"&lt;&gt;")</f>
        <v/>
      </c>
      <c r="V18" s="163">
        <f>COUNTIFS('North 5G Progress'!$B:$B,$B$13,'North 5G Progress'!$J:$J,V17,'North 5G Progress'!$C:$C,"&lt;&gt;")</f>
        <v/>
      </c>
      <c r="W18" s="163">
        <f>COUNTIFS('North 5G Progress'!$B:$B,$B$13,'North 5G Progress'!$J:$J,W17,'North 5G Progress'!$C:$C,"&lt;&gt;")</f>
        <v/>
      </c>
      <c r="X18" s="163">
        <f>COUNTIFS('North 5G Progress'!$B:$B,$B$13,'North 5G Progress'!$J:$J,X17,'North 5G Progress'!$C:$C,"&lt;&gt;")</f>
        <v/>
      </c>
      <c r="Y18" s="163">
        <f>COUNTIFS('North 5G Progress'!$B:$B,$B$13,'North 5G Progress'!$J:$J,Y17,'North 5G Progress'!$C:$C,"&lt;&gt;")</f>
        <v/>
      </c>
      <c r="Z18" s="163">
        <f>COUNTIFS('North 5G Progress'!$B:$B,$B$13,'North 5G Progress'!$J:$J,Z17,'North 5G Progress'!$C:$C,"&lt;&gt;")</f>
        <v/>
      </c>
    </row>
    <row r="22">
      <c r="A22" s="169" t="inlineStr">
        <is>
          <t>Da Nang</t>
        </is>
      </c>
    </row>
    <row r="24" ht="25.5" customHeight="1">
      <c r="B24" s="158" t="inlineStr">
        <is>
          <t>Province</t>
        </is>
      </c>
      <c r="C24" s="159" t="inlineStr">
        <is>
          <t>Total On Air Site</t>
        </is>
      </c>
      <c r="D24" s="160" t="inlineStr">
        <is>
          <t>RAT</t>
        </is>
      </c>
      <c r="E24" s="171" t="n">
        <v>46141</v>
      </c>
      <c r="F24" s="171">
        <f>E24+1</f>
        <v/>
      </c>
      <c r="G24" s="171">
        <f>F24+1</f>
        <v/>
      </c>
      <c r="H24" s="171">
        <f>G24+1</f>
        <v/>
      </c>
      <c r="I24" s="171">
        <f>H24+1</f>
        <v/>
      </c>
      <c r="J24" s="171">
        <f>I24+1</f>
        <v/>
      </c>
      <c r="K24" s="171">
        <f>J24+1</f>
        <v/>
      </c>
      <c r="L24" s="171">
        <f>K24+1</f>
        <v/>
      </c>
      <c r="M24" s="171">
        <f>L24+1</f>
        <v/>
      </c>
      <c r="N24" s="171">
        <f>M24+1</f>
        <v/>
      </c>
      <c r="O24" s="171">
        <f>N24+1</f>
        <v/>
      </c>
      <c r="P24" s="171">
        <f>O24+1</f>
        <v/>
      </c>
      <c r="Q24" s="171">
        <f>P24+1</f>
        <v/>
      </c>
      <c r="R24" s="171">
        <f>Q24+1</f>
        <v/>
      </c>
      <c r="S24" s="171">
        <f>R24+1</f>
        <v/>
      </c>
      <c r="T24" s="171">
        <f>S24+1</f>
        <v/>
      </c>
      <c r="U24" s="171">
        <f>T24+1</f>
        <v/>
      </c>
      <c r="V24" s="171">
        <f>U24+1</f>
        <v/>
      </c>
      <c r="W24" s="171">
        <f>V24+1</f>
        <v/>
      </c>
      <c r="X24" s="171">
        <f>W24+1</f>
        <v/>
      </c>
      <c r="Y24" s="171">
        <f>X24+1</f>
        <v/>
      </c>
      <c r="Z24" s="171">
        <f>Y24+1</f>
        <v/>
      </c>
    </row>
    <row r="25">
      <c r="B25" s="163" t="inlineStr">
        <is>
          <t>Da Nang</t>
        </is>
      </c>
      <c r="C25" s="162">
        <f>COUNTIFS('Ha Noi Progress'!D:D,"&lt;&gt;",'Ha Noi Progress'!I:I,"&lt;&gt;",'Ha Noi Progress'!B:B,B25)</f>
        <v/>
      </c>
      <c r="D25" s="163" t="inlineStr">
        <is>
          <t>4G</t>
        </is>
      </c>
      <c r="E25" s="163">
        <f>COUNTIFS('Ha Noi Progress'!$B:$B,$B$5,'Ha Noi Progress'!$D:$D,"&lt;&gt;",'Ha Noi Progress'!$I:$I,E24)</f>
        <v/>
      </c>
      <c r="F25" s="163">
        <f>COUNTIFS('Ha Noi Progress'!$B:$B,$B$5,'Ha Noi Progress'!$D:$D,"&lt;&gt;",'Ha Noi Progress'!$I:$I,F24)</f>
        <v/>
      </c>
      <c r="G25" s="163">
        <f>COUNTIFS('Ha Noi Progress'!$B:$B,$B$5,'Ha Noi Progress'!$D:$D,"&lt;&gt;",'Ha Noi Progress'!$I:$I,G24)</f>
        <v/>
      </c>
      <c r="H25" s="163">
        <f>COUNTIFS('Ha Noi Progress'!$B:$B,$B$5,'Ha Noi Progress'!$D:$D,"&lt;&gt;",'Ha Noi Progress'!$I:$I,H24)</f>
        <v/>
      </c>
      <c r="I25" s="163">
        <f>COUNTIFS('Ha Noi Progress'!$B:$B,$B$5,'Ha Noi Progress'!$D:$D,"&lt;&gt;",'Ha Noi Progress'!$I:$I,I24)</f>
        <v/>
      </c>
      <c r="J25" s="163">
        <f>COUNTIFS('Ha Noi Progress'!$B:$B,$B$5,'Ha Noi Progress'!$D:$D,"&lt;&gt;",'Ha Noi Progress'!$I:$I,J24)</f>
        <v/>
      </c>
      <c r="K25" s="163">
        <f>COUNTIFS('Ha Noi Progress'!$B:$B,$B$5,'Ha Noi Progress'!$D:$D,"&lt;&gt;",'Ha Noi Progress'!$I:$I,K24)</f>
        <v/>
      </c>
      <c r="L25" s="163">
        <f>COUNTIFS('Ha Noi Progress'!$B:$B,$B$5,'Ha Noi Progress'!$D:$D,"&lt;&gt;",'Ha Noi Progress'!$I:$I,L24)</f>
        <v/>
      </c>
      <c r="M25" s="163">
        <f>COUNTIFS('Ha Noi Progress'!$B:$B,$B$5,'Ha Noi Progress'!$D:$D,"&lt;&gt;",'Ha Noi Progress'!$I:$I,M24)</f>
        <v/>
      </c>
      <c r="N25" s="163">
        <f>COUNTIFS('Ha Noi Progress'!$B:$B,$B$5,'Ha Noi Progress'!$D:$D,"&lt;&gt;",'Ha Noi Progress'!$I:$I,N24)</f>
        <v/>
      </c>
      <c r="O25" s="163">
        <f>COUNTIFS('Ha Noi Progress'!$B:$B,$B$5,'Ha Noi Progress'!$D:$D,"&lt;&gt;",'Ha Noi Progress'!$I:$I,O24)</f>
        <v/>
      </c>
      <c r="P25" s="163">
        <f>COUNTIFS('Ha Noi Progress'!$B:$B,$B$5,'Ha Noi Progress'!$D:$D,"&lt;&gt;",'Ha Noi Progress'!$I:$I,P24)</f>
        <v/>
      </c>
      <c r="Q25" s="163" t="n">
        <v>0</v>
      </c>
      <c r="R25" s="163">
        <f>COUNTIFS('Ha Noi Progress'!$B:$B,$B$5,'Ha Noi Progress'!$D:$D,"&lt;&gt;",'Ha Noi Progress'!$I:$I,R24)</f>
        <v/>
      </c>
      <c r="S25" s="163">
        <f>COUNTIFS('Ha Noi Progress'!$B:$B,$B$5,'Ha Noi Progress'!$D:$D,"&lt;&gt;",'Ha Noi Progress'!$I:$I,S24)</f>
        <v/>
      </c>
      <c r="T25" s="163">
        <f>COUNTIFS('Ha Noi Progress'!$B:$B,$B$5,'Ha Noi Progress'!$D:$D,"&lt;&gt;",'Ha Noi Progress'!$I:$I,T24)</f>
        <v/>
      </c>
      <c r="U25" s="163" t="n">
        <v>0</v>
      </c>
      <c r="V25" s="163">
        <f>COUNTIFS('Ha Noi Progress'!$B:$B,$B$5,'Ha Noi Progress'!$D:$D,"&lt;&gt;",'Ha Noi Progress'!$I:$I,V24)</f>
        <v/>
      </c>
      <c r="W25" s="163">
        <f>COUNTIFS('Ha Noi Progress'!$B:$B,$B$5,'Ha Noi Progress'!$D:$D,"&lt;&gt;",'Ha Noi Progress'!$I:$I,W24)</f>
        <v/>
      </c>
      <c r="X25" s="163">
        <f>COUNTIFS('Ha Noi Progress'!$B:$B,$B$5,'Ha Noi Progress'!$D:$D,"&lt;&gt;",'Ha Noi Progress'!$I:$I,X24)</f>
        <v/>
      </c>
      <c r="Y25" s="163">
        <f>COUNTIFS('Ha Noi Progress'!$B:$B,$B$5,'Ha Noi Progress'!$D:$D,"&lt;&gt;",'Ha Noi Progress'!$I:$I,Y24)</f>
        <v/>
      </c>
      <c r="Z25" s="163">
        <f>COUNTIFS('Ha Noi Progress'!$B:$B,$B$5,'Ha Noi Progress'!$D:$D,"&lt;&gt;",'Ha Noi Progress'!$I:$I,Z24)</f>
        <v/>
      </c>
    </row>
    <row r="26">
      <c r="B26" s="172" t="n"/>
      <c r="C26" s="165" t="n">
        <v>3</v>
      </c>
      <c r="D26" s="166" t="inlineStr">
        <is>
          <t>5G</t>
        </is>
      </c>
      <c r="E26" s="163">
        <f>COUNTIFS('Ha Noi Progress'!$D:$D,"&lt;&gt;",'Ha Noi Progress'!$B:$B,$B$5,'Ha Noi Progress'!$M:$M,E24)</f>
        <v/>
      </c>
      <c r="F26" s="163">
        <f>COUNTIFS('Ha Noi Progress'!$D:$D,"&lt;&gt;",'Ha Noi Progress'!$B:$B,$B$5,'Ha Noi Progress'!$M:$M,F24)</f>
        <v/>
      </c>
      <c r="G26" s="163">
        <f>COUNTIFS('Ha Noi Progress'!$D:$D,"&lt;&gt;",'Ha Noi Progress'!$B:$B,$B$5,'Ha Noi Progress'!$M:$M,G24)</f>
        <v/>
      </c>
      <c r="H26" s="163">
        <f>COUNTIFS('Ha Noi Progress'!$D:$D,"&lt;&gt;",'Ha Noi Progress'!$B:$B,$B$5,'Ha Noi Progress'!$M:$M,H24)</f>
        <v/>
      </c>
      <c r="I26" s="163">
        <f>COUNTIFS('Ha Noi Progress'!$D:$D,"&lt;&gt;",'Ha Noi Progress'!$B:$B,$B$5,'Ha Noi Progress'!$M:$M,I24)</f>
        <v/>
      </c>
      <c r="J26" s="163">
        <f>COUNTIFS('Ha Noi Progress'!$D:$D,"&lt;&gt;",'Ha Noi Progress'!$B:$B,$B$5,'Ha Noi Progress'!$M:$M,J24)</f>
        <v/>
      </c>
      <c r="K26" s="163">
        <f>COUNTIFS('Ha Noi Progress'!$D:$D,"&lt;&gt;",'Ha Noi Progress'!$B:$B,$B$5,'Ha Noi Progress'!$M:$M,K24)</f>
        <v/>
      </c>
      <c r="L26" s="163">
        <f>COUNTIFS('Ha Noi Progress'!$D:$D,"&lt;&gt;",'Ha Noi Progress'!$B:$B,$B$5,'Ha Noi Progress'!$M:$M,L24)</f>
        <v/>
      </c>
      <c r="M26" s="163">
        <f>COUNTIFS('Ha Noi Progress'!$D:$D,"&lt;&gt;",'Ha Noi Progress'!$B:$B,$B$5,'Ha Noi Progress'!$M:$M,M24)</f>
        <v/>
      </c>
      <c r="N26" s="163">
        <f>COUNTIFS('Ha Noi Progress'!$D:$D,"&lt;&gt;",'Ha Noi Progress'!$B:$B,$B$5,'Ha Noi Progress'!$M:$M,N24)</f>
        <v/>
      </c>
      <c r="O26" s="163">
        <f>COUNTIFS('Ha Noi Progress'!$D:$D,"&lt;&gt;",'Ha Noi Progress'!$B:$B,$B$5,'Ha Noi Progress'!$M:$M,O24)</f>
        <v/>
      </c>
      <c r="P26" s="163">
        <f>COUNTIFS('Ha Noi Progress'!$D:$D,"&lt;&gt;",'Ha Noi Progress'!$B:$B,$B$5,'Ha Noi Progress'!$M:$M,P24)</f>
        <v/>
      </c>
      <c r="Q26" s="163">
        <f>COUNTIFS('Ha Noi Progress'!$D:$D,"&lt;&gt;",'Ha Noi Progress'!$B:$B,$B$5,'Ha Noi Progress'!$M:$M,Q24)</f>
        <v/>
      </c>
      <c r="R26" s="163">
        <f>COUNTIFS('Ha Noi Progress'!$D:$D,"&lt;&gt;",'Ha Noi Progress'!$B:$B,$B$5,'Ha Noi Progress'!$M:$M,R24)</f>
        <v/>
      </c>
      <c r="S26" s="163">
        <f>COUNTIFS('Ha Noi Progress'!$D:$D,"&lt;&gt;",'Ha Noi Progress'!$B:$B,$B$5,'Ha Noi Progress'!$M:$M,S24)</f>
        <v/>
      </c>
      <c r="T26" s="163">
        <f>COUNTIFS('Ha Noi Progress'!$D:$D,"&lt;&gt;",'Ha Noi Progress'!$B:$B,$B$5,'Ha Noi Progress'!$M:$M,T24)</f>
        <v/>
      </c>
      <c r="U26" s="163" t="n">
        <v>0</v>
      </c>
      <c r="V26" s="163" t="n">
        <v>2</v>
      </c>
      <c r="W26" s="163" t="n">
        <v>1</v>
      </c>
      <c r="X26" s="163">
        <f>COUNTIFS('Ha Noi Progress'!$D:$D,"&lt;&gt;",'Ha Noi Progress'!$B:$B,$B$5,'Ha Noi Progress'!$M:$M,X24)</f>
        <v/>
      </c>
      <c r="Y26" s="163">
        <f>COUNTIFS('Ha Noi Progress'!$D:$D,"&lt;&gt;",'Ha Noi Progress'!$B:$B,$B$5,'Ha Noi Progress'!$M:$M,Y24)</f>
        <v/>
      </c>
      <c r="Z26" s="163">
        <f>COUNTIFS('Ha Noi Progress'!$D:$D,"&lt;&gt;",'Ha Noi Progress'!$B:$B,$B$5,'Ha Noi Progress'!$M:$M,Z24)</f>
        <v/>
      </c>
    </row>
    <row r="31">
      <c r="A31" s="170" t="inlineStr">
        <is>
          <t>South</t>
        </is>
      </c>
    </row>
    <row r="33" ht="25.5" customHeight="1">
      <c r="B33" s="158" t="inlineStr">
        <is>
          <t>Province</t>
        </is>
      </c>
      <c r="C33" s="159" t="inlineStr">
        <is>
          <t>Total On Air Site</t>
        </is>
      </c>
      <c r="D33" s="160" t="inlineStr">
        <is>
          <t>RAT</t>
        </is>
      </c>
      <c r="E33" s="171" t="n">
        <v>46141</v>
      </c>
      <c r="F33" s="171">
        <f>E33+1</f>
        <v/>
      </c>
      <c r="G33" s="171">
        <f>F33+1</f>
        <v/>
      </c>
      <c r="H33" s="171">
        <f>G33+1</f>
        <v/>
      </c>
      <c r="I33" s="171">
        <f>H33+1</f>
        <v/>
      </c>
      <c r="J33" s="171">
        <f>I33+1</f>
        <v/>
      </c>
      <c r="K33" s="171">
        <f>J33+1</f>
        <v/>
      </c>
      <c r="L33" s="171">
        <f>K33+1</f>
        <v/>
      </c>
      <c r="M33" s="171">
        <f>L33+1</f>
        <v/>
      </c>
      <c r="N33" s="171">
        <f>M33+1</f>
        <v/>
      </c>
      <c r="O33" s="171">
        <f>N33+1</f>
        <v/>
      </c>
      <c r="P33" s="171">
        <f>O33+1</f>
        <v/>
      </c>
      <c r="Q33" s="171">
        <f>P33+1</f>
        <v/>
      </c>
      <c r="R33" s="171">
        <f>Q33+1</f>
        <v/>
      </c>
      <c r="S33" s="171">
        <f>R33+1</f>
        <v/>
      </c>
      <c r="T33" s="171">
        <f>S33+1</f>
        <v/>
      </c>
      <c r="U33" s="171">
        <f>T33+1</f>
        <v/>
      </c>
      <c r="V33" s="171">
        <f>U33+1</f>
        <v/>
      </c>
      <c r="W33" s="171">
        <f>V33+1</f>
        <v/>
      </c>
      <c r="X33" s="171">
        <f>W33+1</f>
        <v/>
      </c>
      <c r="Y33" s="171">
        <f>X33+1</f>
        <v/>
      </c>
      <c r="Z33" s="171">
        <f>Y33+1</f>
        <v/>
      </c>
    </row>
    <row r="34">
      <c r="B34" s="163" t="inlineStr">
        <is>
          <t>Dong Thap</t>
        </is>
      </c>
      <c r="C34" s="162">
        <f>COUNTIFS('South Swap Progress '!D:D,"&lt;&gt;",'South Swap Progress '!I:I,"&lt;&gt;",'South Swap Progress '!B:B,B34)</f>
        <v/>
      </c>
      <c r="D34" s="163" t="inlineStr">
        <is>
          <t>4G</t>
        </is>
      </c>
      <c r="E34" s="163">
        <f>COUNTIFS('Ha Noi Progress'!$B:$B,$B$5,'Ha Noi Progress'!$D:$D,"&lt;&gt;",'Ha Noi Progress'!$I:$I,E33)</f>
        <v/>
      </c>
      <c r="F34" s="163">
        <f>COUNTIFS('Ha Noi Progress'!$B:$B,$B$5,'Ha Noi Progress'!$D:$D,"&lt;&gt;",'Ha Noi Progress'!$I:$I,F33)</f>
        <v/>
      </c>
      <c r="G34" s="163">
        <f>COUNTIFS('Ha Noi Progress'!$B:$B,$B$5,'Ha Noi Progress'!$D:$D,"&lt;&gt;",'Ha Noi Progress'!$I:$I,G33)</f>
        <v/>
      </c>
      <c r="H34" s="163">
        <f>COUNTIFS('Ha Noi Progress'!$B:$B,$B$5,'Ha Noi Progress'!$D:$D,"&lt;&gt;",'Ha Noi Progress'!$I:$I,H33)</f>
        <v/>
      </c>
      <c r="I34" s="163">
        <f>COUNTIFS('Ha Noi Progress'!$B:$B,$B$5,'Ha Noi Progress'!$D:$D,"&lt;&gt;",'Ha Noi Progress'!$I:$I,I33)</f>
        <v/>
      </c>
      <c r="J34" s="163">
        <f>COUNTIFS('Ha Noi Progress'!$B:$B,$B$5,'Ha Noi Progress'!$D:$D,"&lt;&gt;",'Ha Noi Progress'!$I:$I,J33)</f>
        <v/>
      </c>
      <c r="K34" s="163">
        <f>COUNTIFS('Ha Noi Progress'!$B:$B,$B$5,'Ha Noi Progress'!$D:$D,"&lt;&gt;",'Ha Noi Progress'!$I:$I,K33)</f>
        <v/>
      </c>
      <c r="L34" s="163">
        <f>COUNTIFS('Ha Noi Progress'!$B:$B,$B$5,'Ha Noi Progress'!$D:$D,"&lt;&gt;",'Ha Noi Progress'!$I:$I,L33)</f>
        <v/>
      </c>
      <c r="M34" s="163">
        <f>COUNTIFS('Ha Noi Progress'!$B:$B,$B$5,'Ha Noi Progress'!$D:$D,"&lt;&gt;",'Ha Noi Progress'!$I:$I,M33)</f>
        <v/>
      </c>
      <c r="N34" s="163">
        <f>COUNTIFS('Ha Noi Progress'!$B:$B,$B$5,'Ha Noi Progress'!$D:$D,"&lt;&gt;",'Ha Noi Progress'!$I:$I,N33)</f>
        <v/>
      </c>
      <c r="O34" s="163">
        <f>COUNTIFS('Ha Noi Progress'!$B:$B,$B$5,'Ha Noi Progress'!$D:$D,"&lt;&gt;",'Ha Noi Progress'!$I:$I,O33)</f>
        <v/>
      </c>
      <c r="P34" s="163">
        <f>COUNTIFS('Ha Noi Progress'!$B:$B,$B$5,'Ha Noi Progress'!$D:$D,"&lt;&gt;",'Ha Noi Progress'!$I:$I,P33)</f>
        <v/>
      </c>
      <c r="Q34" s="163">
        <f>COUNTIFS('South Swap Progress '!$B:$B,$B$34,'South Swap Progress '!$D:$D,"&lt;&gt;",'South Swap Progress '!$I:$I,Q33)</f>
        <v/>
      </c>
      <c r="R34" s="163">
        <f>COUNTIFS('South Swap Progress '!$B:$B,$B$34,'South Swap Progress '!$D:$D,"&lt;&gt;",'South Swap Progress '!$I:$I,R33)</f>
        <v/>
      </c>
      <c r="S34" s="163">
        <f>COUNTIFS('South Swap Progress '!$B:$B,$B$34,'South Swap Progress '!$D:$D,"&lt;&gt;",'South Swap Progress '!$I:$I,S33)</f>
        <v/>
      </c>
      <c r="T34" s="163">
        <f>COUNTIFS('South Swap Progress '!$B:$B,$B$34,'South Swap Progress '!$D:$D,"&lt;&gt;",'South Swap Progress '!$I:$I,T33)</f>
        <v/>
      </c>
      <c r="U34" s="163">
        <f>COUNTIFS('South Swap Progress '!$B:$B,$B$34,'South Swap Progress '!$D:$D,"&lt;&gt;",'South Swap Progress '!$I:$I,U33)</f>
        <v/>
      </c>
      <c r="V34" s="163">
        <f>COUNTIFS('South Swap Progress '!$B:$B,$B$34,'South Swap Progress '!$D:$D,"&lt;&gt;",'South Swap Progress '!$I:$I,V33)</f>
        <v/>
      </c>
      <c r="W34" s="163">
        <f>COUNTIFS('South Swap Progress '!$B:$B,$B$34,'South Swap Progress '!$D:$D,"&lt;&gt;",'South Swap Progress '!$I:$I,W33)</f>
        <v/>
      </c>
      <c r="X34" s="163">
        <f>COUNTIFS('South Swap Progress '!$B:$B,$B$34,'South Swap Progress '!$D:$D,"&lt;&gt;",'South Swap Progress '!$I:$I,X33)</f>
        <v/>
      </c>
      <c r="Y34" s="163">
        <f>COUNTIFS('South Swap Progress '!$B:$B,$B$34,'South Swap Progress '!$D:$D,"&lt;&gt;",'South Swap Progress '!$I:$I,Y33)</f>
        <v/>
      </c>
      <c r="Z34" s="163">
        <f>COUNTIFS('South Swap Progress '!$B:$B,$B$34,'South Swap Progress '!$D:$D,"&lt;&gt;",'South Swap Progress '!$I:$I,Z33)</f>
        <v/>
      </c>
    </row>
    <row r="35">
      <c r="B35" s="172" t="n"/>
      <c r="C35" s="162">
        <f>SUMPRODUCT(--ISNUMBER('South Swap Progress '!M:M))</f>
        <v/>
      </c>
      <c r="D35" s="166" t="inlineStr">
        <is>
          <t>5G</t>
        </is>
      </c>
      <c r="E35" s="163">
        <f>COUNTIFS('Ha Noi Progress'!$D:$D,"&lt;&gt;",'Ha Noi Progress'!$B:$B,$B$5,'Ha Noi Progress'!$M:$M,E33)</f>
        <v/>
      </c>
      <c r="F35" s="163">
        <f>COUNTIFS('Ha Noi Progress'!$D:$D,"&lt;&gt;",'Ha Noi Progress'!$B:$B,$B$5,'Ha Noi Progress'!$M:$M,F33)</f>
        <v/>
      </c>
      <c r="G35" s="163">
        <f>COUNTIFS('Ha Noi Progress'!$D:$D,"&lt;&gt;",'Ha Noi Progress'!$B:$B,$B$5,'Ha Noi Progress'!$M:$M,G33)</f>
        <v/>
      </c>
      <c r="H35" s="163">
        <f>COUNTIFS('Ha Noi Progress'!$D:$D,"&lt;&gt;",'Ha Noi Progress'!$B:$B,$B$5,'Ha Noi Progress'!$M:$M,H33)</f>
        <v/>
      </c>
      <c r="I35" s="163">
        <f>COUNTIFS('Ha Noi Progress'!$D:$D,"&lt;&gt;",'Ha Noi Progress'!$B:$B,$B$5,'Ha Noi Progress'!$M:$M,I33)</f>
        <v/>
      </c>
      <c r="J35" s="163">
        <f>COUNTIFS('Ha Noi Progress'!$D:$D,"&lt;&gt;",'Ha Noi Progress'!$B:$B,$B$5,'Ha Noi Progress'!$M:$M,J33)</f>
        <v/>
      </c>
      <c r="K35" s="163">
        <f>COUNTIFS('Ha Noi Progress'!$D:$D,"&lt;&gt;",'Ha Noi Progress'!$B:$B,$B$5,'Ha Noi Progress'!$M:$M,K33)</f>
        <v/>
      </c>
      <c r="L35" s="163">
        <f>COUNTIFS('Ha Noi Progress'!$D:$D,"&lt;&gt;",'Ha Noi Progress'!$B:$B,$B$5,'Ha Noi Progress'!$M:$M,L33)</f>
        <v/>
      </c>
      <c r="M35" s="163">
        <f>COUNTIFS('Ha Noi Progress'!$D:$D,"&lt;&gt;",'Ha Noi Progress'!$B:$B,$B$5,'Ha Noi Progress'!$M:$M,M33)</f>
        <v/>
      </c>
      <c r="N35" s="163">
        <f>COUNTIFS('Ha Noi Progress'!$D:$D,"&lt;&gt;",'Ha Noi Progress'!$B:$B,$B$5,'Ha Noi Progress'!$M:$M,N33)</f>
        <v/>
      </c>
      <c r="O35" s="163">
        <f>COUNTIFS('Ha Noi Progress'!$D:$D,"&lt;&gt;",'Ha Noi Progress'!$B:$B,$B$5,'Ha Noi Progress'!$M:$M,O33)</f>
        <v/>
      </c>
      <c r="P35" s="163">
        <f>COUNTIFS('Ha Noi Progress'!$D:$D,"&lt;&gt;",'Ha Noi Progress'!$B:$B,$B$5,'Ha Noi Progress'!$M:$M,P33)</f>
        <v/>
      </c>
      <c r="Q35" s="163">
        <f>COUNTIFS('South Swap Progress '!$B:$B,$B$34,'South Swap Progress '!$D:$D,"&lt;&gt;",'South Swap Progress '!$M:$M,Q33)</f>
        <v/>
      </c>
      <c r="R35" s="163">
        <f>COUNTIFS('South Swap Progress '!$B:$B,$B$34,'South Swap Progress '!$D:$D,"&lt;&gt;",'South Swap Progress '!$M:$M,R33)</f>
        <v/>
      </c>
      <c r="S35" s="163">
        <f>COUNTIFS('South Swap Progress '!$B:$B,$B$34,'South Swap Progress '!$D:$D,"&lt;&gt;",'South Swap Progress '!$M:$M,S33)</f>
        <v/>
      </c>
      <c r="T35" s="163">
        <f>COUNTIFS('South Swap Progress '!$B:$B,$B$34,'South Swap Progress '!$D:$D,"&lt;&gt;",'South Swap Progress '!$M:$M,T33)</f>
        <v/>
      </c>
      <c r="U35" s="163">
        <f>COUNTIFS('South Swap Progress '!$B:$B,$B$34,'South Swap Progress '!$D:$D,"&lt;&gt;",'South Swap Progress '!$M:$M,U33)</f>
        <v/>
      </c>
      <c r="V35" s="163">
        <f>COUNTIFS('South Swap Progress '!$B:$B,$B$34,'South Swap Progress '!$D:$D,"&lt;&gt;",'South Swap Progress '!$M:$M,V33)</f>
        <v/>
      </c>
      <c r="W35" s="163">
        <f>COUNTIFS('South Swap Progress '!$B:$B,$B$34,'South Swap Progress '!$D:$D,"&lt;&gt;",'South Swap Progress '!$M:$M,W33)</f>
        <v/>
      </c>
      <c r="X35" s="163">
        <f>COUNTIFS('South Swap Progress '!$B:$B,$B$34,'South Swap Progress '!$D:$D,"&lt;&gt;",'South Swap Progress '!$M:$M,X33)</f>
        <v/>
      </c>
      <c r="Y35" s="163">
        <f>COUNTIFS('South Swap Progress '!$B:$B,$B$34,'South Swap Progress '!$D:$D,"&lt;&gt;",'South Swap Progress '!$M:$M,Y33)</f>
        <v/>
      </c>
      <c r="Z35" s="163">
        <f>COUNTIFS('South Swap Progress '!$B:$B,$B$34,'South Swap Progress '!$D:$D,"&lt;&gt;",'South Swap Progress '!$M:$M,Z33)</f>
        <v/>
      </c>
    </row>
  </sheetData>
  <mergeCells count="3">
    <mergeCell ref="B25:B26"/>
    <mergeCell ref="B5:B6"/>
    <mergeCell ref="B34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xSplit="7" ySplit="3" topLeftCell="H4" activePane="bottomRight" state="frozen"/>
      <selection activeCell="A1" sqref="A1"/>
      <selection pane="topRight" activeCell="A1" sqref="A1"/>
      <selection pane="bottomLeft" activeCell="A1" sqref="A1"/>
      <selection pane="bottomRight" activeCell="L4" sqref="L4:M7"/>
    </sheetView>
  </sheetViews>
  <sheetFormatPr baseColWidth="8" defaultColWidth="9" defaultRowHeight="14.25"/>
  <cols>
    <col width="3.375" customWidth="1" style="67" min="1" max="1"/>
    <col width="7.25" customWidth="1" style="67" min="2" max="2"/>
    <col width="9.125" customWidth="1" style="70" min="3" max="3"/>
    <col width="24.15" customWidth="1" style="70" min="4" max="4"/>
    <col width="11.5" customWidth="1" style="67" min="5" max="5"/>
    <col width="5.50833333333333" customWidth="1" style="67" min="6" max="6"/>
    <col width="5.50833333333333" customWidth="1" style="70" min="7" max="7"/>
    <col width="8.875" customWidth="1" style="70" min="8" max="8"/>
    <col width="8.75" customWidth="1" style="70" min="9" max="9"/>
    <col width="9.375" customWidth="1" style="70" min="10" max="10"/>
    <col width="10.625" customWidth="1" style="70" min="11" max="11"/>
    <col width="8.875" customWidth="1" style="70" min="12" max="12"/>
    <col width="8.75" customWidth="1" style="70" min="13" max="13"/>
    <col width="9.375" customWidth="1" style="70" min="14" max="14"/>
    <col width="15.025" customWidth="1" style="70" min="15" max="15"/>
    <col width="8.41666666666667" customWidth="1" style="70" min="16" max="16"/>
    <col width="9.225" customWidth="1" style="70" min="17" max="17"/>
    <col width="13.8916666666667" customWidth="1" style="70" min="18" max="18"/>
    <col width="18.125" customWidth="1" style="70" min="19" max="19"/>
    <col width="23.6666666666667" customWidth="1" style="70" min="20" max="20"/>
    <col width="13.2666666666667" customWidth="1" style="67" min="21" max="21"/>
    <col width="13.625" customWidth="1" style="67" min="22" max="22"/>
    <col width="22.625" customWidth="1" style="70" min="23" max="23"/>
    <col width="7" customWidth="1" style="70" min="24" max="24"/>
    <col width="6.5" customWidth="1" style="70" min="25" max="25"/>
    <col width="42.175" customWidth="1" style="70" min="26" max="26"/>
    <col width="9" customWidth="1" style="70" min="28" max="16384"/>
  </cols>
  <sheetData>
    <row r="1" ht="21.85" customHeight="1">
      <c r="B1" s="31" t="n"/>
      <c r="C1" s="49" t="n"/>
      <c r="D1" s="49" t="n"/>
      <c r="E1" s="31" t="n"/>
      <c r="F1" s="31" t="n"/>
      <c r="G1" s="49" t="n"/>
      <c r="H1" s="173" t="inlineStr">
        <is>
          <t>4G</t>
        </is>
      </c>
      <c r="I1" s="174" t="n"/>
      <c r="J1" s="174" t="n"/>
      <c r="K1" s="175" t="n"/>
      <c r="L1" s="176" t="inlineStr">
        <is>
          <t>5G</t>
        </is>
      </c>
      <c r="M1" s="174" t="n"/>
      <c r="N1" s="174" t="n"/>
      <c r="O1" s="175" t="n"/>
      <c r="P1" s="49" t="n"/>
      <c r="Q1" s="49" t="n"/>
      <c r="R1" s="49" t="n"/>
      <c r="S1" s="49" t="n"/>
      <c r="T1" s="49" t="n"/>
      <c r="U1" s="55" t="inlineStr">
        <is>
          <t>Monitor</t>
        </is>
      </c>
    </row>
    <row r="2" ht="39.5" customFormat="1" customHeight="1" s="67">
      <c r="A2" s="5" t="inlineStr">
        <is>
          <t>No</t>
        </is>
      </c>
      <c r="B2" s="99" t="inlineStr">
        <is>
          <t>Province</t>
        </is>
      </c>
      <c r="C2" s="100" t="inlineStr">
        <is>
          <t>Cluster</t>
        </is>
      </c>
      <c r="D2" s="101" t="inlineStr">
        <is>
          <t>Site Name</t>
        </is>
      </c>
      <c r="E2" s="37" t="inlineStr">
        <is>
          <t>OM Link Status</t>
        </is>
      </c>
      <c r="F2" s="109" t="inlineStr">
        <is>
          <t>Pre Swap Scripts</t>
        </is>
      </c>
      <c r="G2" s="101" t="inlineStr">
        <is>
          <t>Site Status</t>
        </is>
      </c>
      <c r="H2" s="110" t="inlineStr">
        <is>
          <t>Plan On-air</t>
        </is>
      </c>
      <c r="I2" s="110" t="inlineStr">
        <is>
          <t>On-air Day</t>
        </is>
      </c>
      <c r="J2" s="110" t="inlineStr">
        <is>
          <t>On-air Time</t>
        </is>
      </c>
      <c r="K2" s="118" t="inlineStr">
        <is>
          <t>Status</t>
        </is>
      </c>
      <c r="L2" s="119" t="inlineStr">
        <is>
          <t>Plan On-air</t>
        </is>
      </c>
      <c r="M2" s="119" t="inlineStr">
        <is>
          <t>On-air Day</t>
        </is>
      </c>
      <c r="N2" s="119" t="inlineStr">
        <is>
          <t>On-air Time</t>
        </is>
      </c>
      <c r="O2" s="130" t="inlineStr">
        <is>
          <t>Status</t>
        </is>
      </c>
      <c r="P2" s="109" t="inlineStr">
        <is>
          <t>Post Swap Scripts</t>
        </is>
      </c>
      <c r="Q2" s="109" t="inlineStr">
        <is>
          <t>NSN-&gt;HW Neighbors</t>
        </is>
      </c>
      <c r="R2" s="109" t="inlineStr">
        <is>
          <t xml:space="preserve">CQT Start Time </t>
        </is>
      </c>
      <c r="S2" s="109" t="inlineStr">
        <is>
          <t>CQT Complete Time</t>
        </is>
      </c>
      <c r="T2" s="100" t="inlineStr">
        <is>
          <t>Remark</t>
        </is>
      </c>
      <c r="U2" s="149" t="inlineStr">
        <is>
          <t>NEName_New4G</t>
        </is>
      </c>
      <c r="V2" s="149" t="inlineStr">
        <is>
          <t>NEName_New5G</t>
        </is>
      </c>
      <c r="W2" s="149" t="inlineStr">
        <is>
          <t>NEname_Old_4G_NSN</t>
        </is>
      </c>
      <c r="X2" s="149" t="inlineStr">
        <is>
          <t>batch</t>
        </is>
      </c>
      <c r="Y2" s="149" t="inlineStr">
        <is>
          <t>Vendor</t>
        </is>
      </c>
      <c r="Z2" s="29" t="inlineStr">
        <is>
          <t>Alarm（update on May 20 10:00)</t>
        </is>
      </c>
      <c r="AA2" t="inlineStr">
        <is>
          <t>RFI Date</t>
        </is>
      </c>
    </row>
    <row r="3" ht="39.5" customFormat="1" customHeight="1" s="67">
      <c r="A3" s="5" t="n"/>
      <c r="B3" s="99" t="n"/>
      <c r="C3" s="100" t="n"/>
      <c r="D3" s="102" t="n"/>
      <c r="E3" s="37" t="n"/>
      <c r="F3" s="111" t="n"/>
      <c r="G3" s="101" t="n"/>
      <c r="H3" s="110" t="n"/>
      <c r="I3" s="110" t="n"/>
      <c r="J3" s="110" t="n"/>
      <c r="K3" s="43" t="n"/>
      <c r="L3" s="119" t="n"/>
      <c r="M3" s="119" t="n"/>
      <c r="N3" s="119" t="n"/>
      <c r="O3" s="131" t="n"/>
      <c r="P3" s="132" t="n"/>
      <c r="Q3" s="137" t="n"/>
      <c r="R3" s="132" t="n"/>
      <c r="S3" s="132" t="n"/>
      <c r="T3" s="138" t="n"/>
      <c r="U3" s="149" t="n"/>
      <c r="V3" s="149" t="n"/>
      <c r="W3" s="149" t="n"/>
      <c r="X3" s="150" t="n"/>
      <c r="Y3" s="150" t="n"/>
      <c r="Z3" s="98" t="n"/>
    </row>
    <row r="4">
      <c r="A4" s="98" t="n">
        <v>1</v>
      </c>
      <c r="B4" s="103" t="inlineStr">
        <is>
          <t>Ha Noi</t>
        </is>
      </c>
      <c r="C4" s="47" t="inlineStr">
        <is>
          <t>Pilot</t>
        </is>
      </c>
      <c r="D4" s="144" t="inlineStr">
        <is>
          <t>HN_GLM_CN_NINH_HIEP</t>
        </is>
      </c>
      <c r="E4" s="98" t="inlineStr">
        <is>
          <t>Connected</t>
        </is>
      </c>
      <c r="F4" s="103" t="inlineStr">
        <is>
          <t>Done</t>
        </is>
      </c>
      <c r="G4" s="31" t="inlineStr">
        <is>
          <t>On Air</t>
        </is>
      </c>
      <c r="H4" s="112" t="n">
        <v>46148</v>
      </c>
      <c r="I4" s="112" t="n">
        <v>46148</v>
      </c>
      <c r="J4" s="120" t="n">
        <v>0.6993055555555555</v>
      </c>
      <c r="K4" s="121" t="inlineStr">
        <is>
          <t>OK</t>
        </is>
      </c>
      <c r="L4" s="112" t="n">
        <v>46148</v>
      </c>
      <c r="M4" s="112" t="n">
        <v>46148</v>
      </c>
      <c r="N4" s="120" t="n">
        <v>0.6993055555555555</v>
      </c>
      <c r="O4" s="51" t="inlineStr">
        <is>
          <t>OK</t>
        </is>
      </c>
      <c r="P4" s="51" t="inlineStr">
        <is>
          <t>Done</t>
        </is>
      </c>
      <c r="Q4" s="54" t="inlineStr">
        <is>
          <t>Not Yet</t>
        </is>
      </c>
      <c r="R4" s="139" t="n"/>
      <c r="S4" s="139" t="n"/>
      <c r="T4" s="52" t="inlineStr">
        <is>
          <t>4G Swap+New 5G Building 2.6G</t>
        </is>
      </c>
      <c r="U4" s="98" t="inlineStr">
        <is>
          <t>HNIPDG02</t>
        </is>
      </c>
      <c r="V4" s="98" t="inlineStr">
        <is>
          <t>HNIPDG02</t>
        </is>
      </c>
      <c r="W4" s="98" t="inlineStr">
        <is>
          <t>HN_GLM_CN_NINH_HIEP</t>
        </is>
      </c>
      <c r="X4" s="105" t="inlineStr">
        <is>
          <t>batch1</t>
        </is>
      </c>
      <c r="Y4" s="151" t="inlineStr">
        <is>
          <t>NSN</t>
        </is>
      </c>
      <c r="Z4" s="17" t="n"/>
      <c r="AA4" s="177" t="n">
        <v>46154</v>
      </c>
    </row>
    <row r="5">
      <c r="A5" s="98" t="n">
        <v>2</v>
      </c>
      <c r="B5" s="103" t="inlineStr">
        <is>
          <t>Ha Noi</t>
        </is>
      </c>
      <c r="C5" s="47" t="inlineStr">
        <is>
          <t>Pilot</t>
        </is>
      </c>
      <c r="D5" s="144" t="inlineStr">
        <is>
          <t>HN_GLM_CN_NINH_HIEP_CRAN_2</t>
        </is>
      </c>
      <c r="E5" s="98" t="inlineStr">
        <is>
          <t>Connected</t>
        </is>
      </c>
      <c r="F5" s="103" t="inlineStr">
        <is>
          <t>Done</t>
        </is>
      </c>
      <c r="G5" s="47" t="inlineStr">
        <is>
          <t>On Air</t>
        </is>
      </c>
      <c r="H5" s="113" t="n">
        <v>46153</v>
      </c>
      <c r="I5" s="113" t="n">
        <v>46153</v>
      </c>
      <c r="J5" s="122" t="n">
        <v>0.6354166666666666</v>
      </c>
      <c r="K5" s="121" t="inlineStr">
        <is>
          <t>OK</t>
        </is>
      </c>
      <c r="L5" s="47" t="inlineStr">
        <is>
          <t>NA</t>
        </is>
      </c>
      <c r="M5" s="47" t="inlineStr">
        <is>
          <t>NA</t>
        </is>
      </c>
      <c r="N5" s="47" t="inlineStr">
        <is>
          <t>NA</t>
        </is>
      </c>
      <c r="O5" s="51" t="inlineStr">
        <is>
          <t>NA</t>
        </is>
      </c>
      <c r="P5" s="51" t="inlineStr">
        <is>
          <t>Done</t>
        </is>
      </c>
      <c r="Q5" s="54" t="inlineStr">
        <is>
          <t>Not Yet</t>
        </is>
      </c>
      <c r="R5" s="105" t="n"/>
      <c r="S5" s="105" t="n"/>
      <c r="T5" s="140" t="inlineStr">
        <is>
          <t>4G Swap</t>
        </is>
      </c>
      <c r="U5" s="98" t="inlineStr">
        <is>
          <t>HNIPDG03</t>
        </is>
      </c>
      <c r="V5" s="98" t="n"/>
      <c r="W5" s="98" t="inlineStr">
        <is>
          <t>HN_GLM_CN_NINH_HIEP</t>
        </is>
      </c>
      <c r="X5" s="105" t="inlineStr">
        <is>
          <t>batch2</t>
        </is>
      </c>
      <c r="Y5" s="151" t="inlineStr">
        <is>
          <t>NSN</t>
        </is>
      </c>
      <c r="Z5" s="148" t="inlineStr">
        <is>
          <t>4G:DC Low Alarm,Rectifier Failure Alarm</t>
        </is>
      </c>
      <c r="AA5" s="177" t="n">
        <v>46154</v>
      </c>
    </row>
    <row r="6">
      <c r="A6" s="98" t="n">
        <v>3</v>
      </c>
      <c r="B6" s="103" t="inlineStr">
        <is>
          <t>Ha Noi</t>
        </is>
      </c>
      <c r="C6" s="47" t="inlineStr">
        <is>
          <t>Pilot</t>
        </is>
      </c>
      <c r="D6" s="144" t="inlineStr">
        <is>
          <t>HN_GLM_NINH_HIEP_2_CRAN</t>
        </is>
      </c>
      <c r="E6" s="98" t="inlineStr">
        <is>
          <t>Connected</t>
        </is>
      </c>
      <c r="F6" s="114" t="inlineStr">
        <is>
          <t>Done</t>
        </is>
      </c>
      <c r="G6" s="47" t="inlineStr">
        <is>
          <t>On Air</t>
        </is>
      </c>
      <c r="H6" s="113" t="n">
        <v>46153</v>
      </c>
      <c r="I6" s="113" t="n">
        <v>46153</v>
      </c>
      <c r="J6" s="122" t="n">
        <v>0.7534722222222222</v>
      </c>
      <c r="K6" s="121" t="inlineStr">
        <is>
          <t>OK</t>
        </is>
      </c>
      <c r="L6" s="47" t="inlineStr">
        <is>
          <t>NA</t>
        </is>
      </c>
      <c r="M6" s="47" t="inlineStr">
        <is>
          <t>NA</t>
        </is>
      </c>
      <c r="N6" s="47" t="inlineStr">
        <is>
          <t>NA</t>
        </is>
      </c>
      <c r="O6" s="51" t="inlineStr">
        <is>
          <t>NA</t>
        </is>
      </c>
      <c r="P6" s="51" t="inlineStr">
        <is>
          <t>Done</t>
        </is>
      </c>
      <c r="Q6" s="54" t="inlineStr">
        <is>
          <t>Not Yet</t>
        </is>
      </c>
      <c r="R6" s="105" t="n"/>
      <c r="S6" s="105" t="n"/>
      <c r="T6" s="140" t="inlineStr">
        <is>
          <t>4G Swap</t>
        </is>
      </c>
      <c r="U6" s="98" t="inlineStr">
        <is>
          <t>HNIPDG14</t>
        </is>
      </c>
      <c r="V6" s="98" t="n"/>
      <c r="W6" s="98" t="inlineStr">
        <is>
          <t>HN_GLM_NINH_HIEP</t>
        </is>
      </c>
      <c r="X6" s="105" t="inlineStr">
        <is>
          <t>batch2</t>
        </is>
      </c>
      <c r="Y6" s="151" t="inlineStr">
        <is>
          <t>NSN</t>
        </is>
      </c>
      <c r="Z6" s="17" t="n"/>
      <c r="AA6" s="177" t="n">
        <v>46154</v>
      </c>
    </row>
    <row r="7">
      <c r="A7" s="98" t="n">
        <v>4</v>
      </c>
      <c r="B7" s="103" t="inlineStr">
        <is>
          <t>Ha Noi</t>
        </is>
      </c>
      <c r="C7" s="47" t="inlineStr">
        <is>
          <t>Pilot</t>
        </is>
      </c>
      <c r="D7" s="144" t="inlineStr">
        <is>
          <t>HN_GLM_CAU_DUONG</t>
        </is>
      </c>
      <c r="E7" s="98" t="inlineStr">
        <is>
          <t>Connected</t>
        </is>
      </c>
      <c r="F7" s="114" t="inlineStr">
        <is>
          <t>Done</t>
        </is>
      </c>
      <c r="G7" s="78" t="inlineStr">
        <is>
          <t>On Air</t>
        </is>
      </c>
      <c r="H7" s="115" t="n">
        <v>46157</v>
      </c>
      <c r="I7" s="20" t="n">
        <v>46157</v>
      </c>
      <c r="J7" s="123" t="n">
        <v>0.75</v>
      </c>
      <c r="K7" s="121" t="inlineStr">
        <is>
          <t>OK</t>
        </is>
      </c>
      <c r="L7" s="20" t="n">
        <v>46157</v>
      </c>
      <c r="M7" s="20" t="n">
        <v>46157</v>
      </c>
      <c r="N7" s="123" t="n">
        <v>0.75</v>
      </c>
      <c r="O7" s="133" t="inlineStr">
        <is>
          <t>OK</t>
        </is>
      </c>
      <c r="P7" s="54" t="inlineStr">
        <is>
          <t>Done</t>
        </is>
      </c>
      <c r="Q7" s="54" t="inlineStr">
        <is>
          <t>Not Yet</t>
        </is>
      </c>
      <c r="R7" s="141" t="n">
        <v>46157.78472222222</v>
      </c>
      <c r="S7" s="142" t="n">
        <v>46157.85</v>
      </c>
      <c r="T7" s="143" t="inlineStr">
        <is>
          <t>Swap 4G + Newbuild 5G Single 2.6 32T</t>
        </is>
      </c>
      <c r="U7" s="98" t="inlineStr">
        <is>
          <t>HNIPDG01</t>
        </is>
      </c>
      <c r="V7" s="98" t="inlineStr">
        <is>
          <t>HNIPDG01</t>
        </is>
      </c>
      <c r="W7" s="98" t="inlineStr">
        <is>
          <t>HN_GLM_CAU_DUONG</t>
        </is>
      </c>
      <c r="X7" s="105" t="inlineStr">
        <is>
          <t>batch3</t>
        </is>
      </c>
      <c r="Y7" s="151" t="inlineStr">
        <is>
          <t>NSN</t>
        </is>
      </c>
      <c r="Z7" s="148" t="inlineStr">
        <is>
          <t>45G,User Plane Fault</t>
        </is>
      </c>
      <c r="AA7" s="177" t="n">
        <v>46154</v>
      </c>
    </row>
    <row r="8">
      <c r="A8" s="98" t="n">
        <v>5</v>
      </c>
      <c r="B8" s="103" t="inlineStr">
        <is>
          <t>Ha Noi</t>
        </is>
      </c>
      <c r="C8" s="105" t="inlineStr">
        <is>
          <t>Pilot</t>
        </is>
      </c>
      <c r="D8" s="144" t="inlineStr">
        <is>
          <t>HN_GLM_CONG_THON</t>
        </is>
      </c>
      <c r="E8" s="98" t="inlineStr">
        <is>
          <t>Connected</t>
        </is>
      </c>
      <c r="F8" s="114" t="inlineStr">
        <is>
          <t>Done</t>
        </is>
      </c>
      <c r="G8" s="78" t="inlineStr">
        <is>
          <t>On Air</t>
        </is>
      </c>
      <c r="H8" s="39" t="n">
        <v>46157</v>
      </c>
      <c r="I8" s="20" t="n">
        <v>46157</v>
      </c>
      <c r="J8" s="123" t="n">
        <v>0.75</v>
      </c>
      <c r="K8" s="121" t="inlineStr">
        <is>
          <t>OK</t>
        </is>
      </c>
      <c r="L8" s="20" t="n">
        <v>46157</v>
      </c>
      <c r="M8" s="20" t="n">
        <v>46157</v>
      </c>
      <c r="N8" s="123" t="n">
        <v>0.75</v>
      </c>
      <c r="O8" s="133" t="inlineStr">
        <is>
          <t>2 sectors OK, 1 is NOK due to CPRI issue</t>
        </is>
      </c>
      <c r="P8" s="22" t="inlineStr">
        <is>
          <t>Done</t>
        </is>
      </c>
      <c r="Q8" s="54" t="inlineStr">
        <is>
          <t>Not Yet</t>
        </is>
      </c>
      <c r="R8" s="141" t="n">
        <v>46157.75</v>
      </c>
      <c r="S8" s="142" t="n">
        <v>46157.90486111111</v>
      </c>
      <c r="T8" s="144" t="inlineStr">
        <is>
          <t>Swap 4G + Newbuild 5G Single 2.6 32T</t>
        </is>
      </c>
      <c r="U8" s="98" t="inlineStr">
        <is>
          <t>HNIPDG04</t>
        </is>
      </c>
      <c r="V8" s="98" t="inlineStr">
        <is>
          <t>HNIPDG04</t>
        </is>
      </c>
      <c r="W8" s="98" t="inlineStr">
        <is>
          <t>HN_GLM_CONG_THON</t>
        </is>
      </c>
      <c r="X8" s="105" t="inlineStr">
        <is>
          <t>batch3</t>
        </is>
      </c>
      <c r="Y8" s="151" t="inlineStr">
        <is>
          <t>NSN</t>
        </is>
      </c>
      <c r="Z8" s="148" t="inlineStr">
        <is>
          <t>45G,User Plane Fault,5G,BBU CPRI Interface Error,5G,RF Unit Maintenance Link Failure</t>
        </is>
      </c>
      <c r="AA8" s="177" t="n">
        <v>46154</v>
      </c>
    </row>
    <row r="9">
      <c r="A9" s="98" t="n">
        <v>6</v>
      </c>
      <c r="B9" s="103" t="inlineStr">
        <is>
          <t>Ha Noi</t>
        </is>
      </c>
      <c r="C9" s="105" t="inlineStr">
        <is>
          <t>Pilot</t>
        </is>
      </c>
      <c r="D9" s="144" t="inlineStr">
        <is>
          <t>HN_GLM_DINH_XUYEN_2</t>
        </is>
      </c>
      <c r="E9" s="98" t="inlineStr">
        <is>
          <t>Connected</t>
        </is>
      </c>
      <c r="F9" s="114" t="inlineStr">
        <is>
          <t>Done</t>
        </is>
      </c>
      <c r="G9" s="78" t="inlineStr">
        <is>
          <t>On Air</t>
        </is>
      </c>
      <c r="H9" s="39" t="n">
        <v>46157</v>
      </c>
      <c r="I9" s="20" t="n">
        <v>46157</v>
      </c>
      <c r="J9" s="45" t="n">
        <v>0.6180555555555556</v>
      </c>
      <c r="K9" s="124" t="inlineStr">
        <is>
          <t>OK</t>
        </is>
      </c>
      <c r="L9" s="20" t="n">
        <v>46157</v>
      </c>
      <c r="M9" s="20" t="n">
        <v>46157</v>
      </c>
      <c r="N9" s="45" t="n">
        <v>0.6180555555555556</v>
      </c>
      <c r="O9" s="134" t="inlineStr">
        <is>
          <t>OK</t>
        </is>
      </c>
      <c r="P9" s="134" t="inlineStr">
        <is>
          <t>Done</t>
        </is>
      </c>
      <c r="Q9" s="54" t="inlineStr">
        <is>
          <t>Not Yet</t>
        </is>
      </c>
      <c r="R9" s="142" t="inlineStr">
        <is>
          <t xml:space="preserve"> 2026/5/15 17:00</t>
        </is>
      </c>
      <c r="S9" s="142" t="n">
        <v>46157.89166666667</v>
      </c>
      <c r="T9" s="144" t="inlineStr">
        <is>
          <t>Swap 4G + Newbuild 5G Single 2.6 32T</t>
        </is>
      </c>
      <c r="U9" s="98" t="inlineStr">
        <is>
          <t>HNIPDG06</t>
        </is>
      </c>
      <c r="V9" s="98" t="inlineStr">
        <is>
          <t>HNIPDG06</t>
        </is>
      </c>
      <c r="W9" s="98" t="inlineStr">
        <is>
          <t>HN_GLM_DINH_XUYEN_2</t>
        </is>
      </c>
      <c r="X9" s="105" t="inlineStr">
        <is>
          <t>batch3</t>
        </is>
      </c>
      <c r="Y9" s="151" t="inlineStr">
        <is>
          <t>NSN</t>
        </is>
      </c>
      <c r="Z9" s="17" t="n"/>
      <c r="AA9" s="177" t="n">
        <v>46154</v>
      </c>
    </row>
    <row r="10">
      <c r="A10" s="98" t="n">
        <v>7</v>
      </c>
      <c r="B10" s="103" t="inlineStr">
        <is>
          <t>Ha Noi</t>
        </is>
      </c>
      <c r="C10" s="105" t="inlineStr">
        <is>
          <t>Pilot</t>
        </is>
      </c>
      <c r="D10" s="144" t="inlineStr">
        <is>
          <t>HN_GLM_DINH_XUYEN_3</t>
        </is>
      </c>
      <c r="E10" s="98" t="inlineStr">
        <is>
          <t>Connected</t>
        </is>
      </c>
      <c r="F10" s="114" t="inlineStr">
        <is>
          <t>Done</t>
        </is>
      </c>
      <c r="G10" s="78" t="inlineStr">
        <is>
          <t>On Air</t>
        </is>
      </c>
      <c r="H10" s="39" t="n">
        <v>46157</v>
      </c>
      <c r="I10" s="20" t="n">
        <v>46157</v>
      </c>
      <c r="J10" s="45" t="n">
        <v>0.7534722222222222</v>
      </c>
      <c r="K10" s="124" t="inlineStr">
        <is>
          <t>OK</t>
        </is>
      </c>
      <c r="L10" s="20" t="n">
        <v>46157</v>
      </c>
      <c r="M10" s="20" t="n">
        <v>46157</v>
      </c>
      <c r="N10" s="45" t="n">
        <v>0.7534722222222222</v>
      </c>
      <c r="O10" s="133" t="inlineStr">
        <is>
          <t>2 sectors OK, 1 is NOK due to CPRI issue</t>
        </is>
      </c>
      <c r="P10" s="22" t="inlineStr">
        <is>
          <t>Done</t>
        </is>
      </c>
      <c r="Q10" s="54" t="inlineStr">
        <is>
          <t>Not Yet</t>
        </is>
      </c>
      <c r="R10" s="142" t="n">
        <v>46157.76388888889</v>
      </c>
      <c r="S10" s="142" t="n">
        <v>46157.82361111111</v>
      </c>
      <c r="T10" s="144" t="inlineStr">
        <is>
          <t>Swap 4G + Newbuild 5G Single 2.6 32T</t>
        </is>
      </c>
      <c r="U10" s="98" t="inlineStr">
        <is>
          <t>HNIPDG07</t>
        </is>
      </c>
      <c r="V10" s="98" t="inlineStr">
        <is>
          <t>HNIPDG07</t>
        </is>
      </c>
      <c r="W10" s="98" t="inlineStr">
        <is>
          <t>HN_GLM_DINH_XUYEN_3</t>
        </is>
      </c>
      <c r="X10" s="105" t="inlineStr">
        <is>
          <t>batch3</t>
        </is>
      </c>
      <c r="Y10" s="151" t="inlineStr">
        <is>
          <t>NSN</t>
        </is>
      </c>
      <c r="Z10" s="148" t="inlineStr">
        <is>
          <t>45G,Transmission Optical Interface Error,5G,BBU CPRI Interface Error,5G,RF Unit Maintenance Link Failure</t>
        </is>
      </c>
      <c r="AA10" s="177" t="n">
        <v>46154</v>
      </c>
    </row>
    <row r="11">
      <c r="A11" s="98" t="n">
        <v>8</v>
      </c>
      <c r="B11" s="103" t="inlineStr">
        <is>
          <t>Ha Noi</t>
        </is>
      </c>
      <c r="C11" s="105" t="inlineStr">
        <is>
          <t>Pilot</t>
        </is>
      </c>
      <c r="D11" s="144" t="inlineStr">
        <is>
          <t>HN_GLM_DUONG_HA</t>
        </is>
      </c>
      <c r="E11" s="98" t="inlineStr">
        <is>
          <t>Connected</t>
        </is>
      </c>
      <c r="F11" s="114" t="inlineStr">
        <is>
          <t>Done</t>
        </is>
      </c>
      <c r="G11" s="78" t="inlineStr">
        <is>
          <t>On Air</t>
        </is>
      </c>
      <c r="H11" s="39" t="n">
        <v>46157</v>
      </c>
      <c r="I11" s="20" t="n">
        <v>46157</v>
      </c>
      <c r="J11" s="45" t="n">
        <v>0.7534722222222222</v>
      </c>
      <c r="K11" s="45" t="inlineStr">
        <is>
          <t>2 sectors OK, 1 is NOK due to CPRI issue</t>
        </is>
      </c>
      <c r="L11" s="20" t="n">
        <v>46157</v>
      </c>
      <c r="M11" s="20" t="n">
        <v>46157</v>
      </c>
      <c r="N11" s="45" t="n">
        <v>0.7534722222222222</v>
      </c>
      <c r="O11" s="133" t="inlineStr">
        <is>
          <t>2 sectors OK, 1 is NOK due to CPRI issue</t>
        </is>
      </c>
      <c r="P11" s="22" t="inlineStr">
        <is>
          <t>Done</t>
        </is>
      </c>
      <c r="Q11" s="54" t="inlineStr">
        <is>
          <t>Not Yet</t>
        </is>
      </c>
      <c r="R11" s="142" t="n">
        <v>46157.85</v>
      </c>
      <c r="S11" s="142" t="inlineStr">
        <is>
          <t>2026/5/15 22:24:00 sector C issue</t>
        </is>
      </c>
      <c r="T11" s="144" t="inlineStr">
        <is>
          <t>Swap 4G + Newbuild 5G Single 2.6 32T</t>
        </is>
      </c>
      <c r="U11" s="98" t="inlineStr">
        <is>
          <t>HNIPDG08</t>
        </is>
      </c>
      <c r="V11" s="98" t="inlineStr">
        <is>
          <t>HNIPDG08</t>
        </is>
      </c>
      <c r="W11" s="98" t="inlineStr">
        <is>
          <t>HN_GLM_CAU_DUONG</t>
        </is>
      </c>
      <c r="X11" s="105" t="inlineStr">
        <is>
          <t>batch3</t>
        </is>
      </c>
      <c r="Y11" s="151" t="inlineStr">
        <is>
          <t>NSN</t>
        </is>
      </c>
      <c r="Z11" s="148" t="inlineStr">
        <is>
          <t>4G,BBU CPRI Interface Error,4G,Cell Blocked,4G,Data Configuration Exceeding Licensed Limit,4G,RF Unit Maintenance Link Failure,5G,BBU CPRI Interface Error,5G,RF Unit Maintenance Link Failure</t>
        </is>
      </c>
      <c r="AA11" s="177" t="n">
        <v>46154</v>
      </c>
    </row>
    <row r="12">
      <c r="A12" s="98" t="n">
        <v>9</v>
      </c>
      <c r="B12" s="103" t="inlineStr">
        <is>
          <t>Ha Noi</t>
        </is>
      </c>
      <c r="C12" s="105" t="inlineStr">
        <is>
          <t>Pilot</t>
        </is>
      </c>
      <c r="D12" s="144" t="inlineStr">
        <is>
          <t>HN_GLM_DUONG_HA_2</t>
        </is>
      </c>
      <c r="E12" s="98" t="inlineStr">
        <is>
          <t>Connected</t>
        </is>
      </c>
      <c r="F12" s="114" t="inlineStr">
        <is>
          <t>Done</t>
        </is>
      </c>
      <c r="G12" s="78" t="inlineStr">
        <is>
          <t>On Air</t>
        </is>
      </c>
      <c r="H12" s="39" t="n">
        <v>46157</v>
      </c>
      <c r="I12" s="20" t="n">
        <v>46157</v>
      </c>
      <c r="J12" s="45" t="n">
        <v>0.7569444444444444</v>
      </c>
      <c r="K12" s="122" t="inlineStr">
        <is>
          <t>OK</t>
        </is>
      </c>
      <c r="L12" s="47" t="inlineStr">
        <is>
          <t>NA</t>
        </is>
      </c>
      <c r="M12" s="47" t="inlineStr">
        <is>
          <t>NA</t>
        </is>
      </c>
      <c r="N12" s="47" t="inlineStr">
        <is>
          <t>NA</t>
        </is>
      </c>
      <c r="O12" s="134" t="inlineStr">
        <is>
          <t>NOK due to CPRI issue</t>
        </is>
      </c>
      <c r="P12" s="22" t="inlineStr">
        <is>
          <t>Done</t>
        </is>
      </c>
      <c r="Q12" s="54" t="inlineStr">
        <is>
          <t>Not Yet</t>
        </is>
      </c>
      <c r="R12" s="142" t="n">
        <v>46157.79861111111</v>
      </c>
      <c r="S12" s="142" t="n">
        <v>46157.85</v>
      </c>
      <c r="T12" s="144" t="inlineStr">
        <is>
          <t>Swap 4G + Newbuild 5G Single 2.6 32T</t>
        </is>
      </c>
      <c r="U12" s="98" t="inlineStr">
        <is>
          <t>HNIPDG09</t>
        </is>
      </c>
      <c r="V12" s="98" t="inlineStr">
        <is>
          <t>HNIPDG09</t>
        </is>
      </c>
      <c r="W12" s="98" t="inlineStr">
        <is>
          <t>HN_GLM_DUONG_HA_2</t>
        </is>
      </c>
      <c r="X12" s="105" t="inlineStr">
        <is>
          <t>batch3</t>
        </is>
      </c>
      <c r="Y12" s="151" t="inlineStr">
        <is>
          <t>NSN</t>
        </is>
      </c>
      <c r="Z12" s="148" t="inlineStr">
        <is>
          <t>45G,User Plane Fault,5G,BBU CPRI Interface Error,5G,RF Unit Maintenance Link Failure</t>
        </is>
      </c>
      <c r="AA12" s="177" t="n">
        <v>46154</v>
      </c>
    </row>
    <row r="13">
      <c r="A13" s="98" t="n">
        <v>10</v>
      </c>
      <c r="B13" s="103" t="inlineStr">
        <is>
          <t>Ha Noi</t>
        </is>
      </c>
      <c r="C13" s="105" t="inlineStr">
        <is>
          <t>Pilot</t>
        </is>
      </c>
      <c r="D13" s="144" t="inlineStr">
        <is>
          <t>HN_GLM_HA_HUY_TAP</t>
        </is>
      </c>
      <c r="E13" s="98" t="inlineStr">
        <is>
          <t>Connected</t>
        </is>
      </c>
      <c r="F13" s="114" t="inlineStr">
        <is>
          <t>Done</t>
        </is>
      </c>
      <c r="G13" s="78" t="inlineStr">
        <is>
          <t>On Air</t>
        </is>
      </c>
      <c r="H13" s="39" t="n">
        <v>46157</v>
      </c>
      <c r="I13" s="20" t="n">
        <v>46157</v>
      </c>
      <c r="J13" s="45" t="n">
        <v>0.7569444444444444</v>
      </c>
      <c r="K13" s="45" t="inlineStr">
        <is>
          <t>2 sectors OK, 1 is NOK due to CPRI issue</t>
        </is>
      </c>
      <c r="L13" s="47" t="inlineStr">
        <is>
          <t>NA</t>
        </is>
      </c>
      <c r="M13" s="47" t="inlineStr">
        <is>
          <t>NA</t>
        </is>
      </c>
      <c r="N13" s="47" t="inlineStr">
        <is>
          <t>NA</t>
        </is>
      </c>
      <c r="O13" s="134" t="inlineStr">
        <is>
          <t>NOK due to CPRI issue</t>
        </is>
      </c>
      <c r="P13" s="22" t="inlineStr">
        <is>
          <t>Done</t>
        </is>
      </c>
      <c r="Q13" s="54" t="inlineStr">
        <is>
          <t>Not Yet</t>
        </is>
      </c>
      <c r="R13" s="142" t="n">
        <v>46157.89930555555</v>
      </c>
      <c r="S13" s="142" t="inlineStr">
        <is>
          <t>2026/5/15 22:10:00. 4G sector C locked</t>
        </is>
      </c>
      <c r="T13" s="144" t="inlineStr">
        <is>
          <t>Swap 4G + Newbuild 5G Single 2.6 32T</t>
        </is>
      </c>
      <c r="U13" s="98" t="inlineStr">
        <is>
          <t>HNIPDG10</t>
        </is>
      </c>
      <c r="V13" s="98" t="inlineStr">
        <is>
          <t>HNIPDG10</t>
        </is>
      </c>
      <c r="W13" s="98" t="inlineStr">
        <is>
          <t>HN_GLM_YEN_THUONG_CRAN</t>
        </is>
      </c>
      <c r="X13" s="105" t="inlineStr">
        <is>
          <t>batch3</t>
        </is>
      </c>
      <c r="Y13" s="151" t="inlineStr">
        <is>
          <t>NSN</t>
        </is>
      </c>
      <c r="Z13" s="148" t="inlineStr">
        <is>
          <t>45G,User Plane Fault,5G,BBU CPRI Interface Error,5G,RF Unit Maintenance Link Failure,BBU CPRI Optical Module or Electrical Port Not Ready</t>
        </is>
      </c>
      <c r="AA13" s="177" t="n">
        <v>46154</v>
      </c>
    </row>
    <row r="14">
      <c r="A14" s="98" t="n">
        <v>11</v>
      </c>
      <c r="B14" s="103" t="inlineStr">
        <is>
          <t>Ha Noi</t>
        </is>
      </c>
      <c r="C14" s="105" t="inlineStr">
        <is>
          <t>Pilot</t>
        </is>
      </c>
      <c r="D14" s="144" t="inlineStr">
        <is>
          <t>HN_GLM_LA_COI</t>
        </is>
      </c>
      <c r="E14" s="98" t="inlineStr">
        <is>
          <t>Connected</t>
        </is>
      </c>
      <c r="F14" s="114" t="inlineStr">
        <is>
          <t>Done</t>
        </is>
      </c>
      <c r="G14" s="78" t="inlineStr">
        <is>
          <t>On Air</t>
        </is>
      </c>
      <c r="H14" s="39" t="n">
        <v>46157</v>
      </c>
      <c r="I14" s="20" t="n">
        <v>46157</v>
      </c>
      <c r="J14" s="45" t="n">
        <v>0.6722222222222223</v>
      </c>
      <c r="K14" s="124" t="inlineStr">
        <is>
          <t>OK</t>
        </is>
      </c>
      <c r="L14" s="20" t="n">
        <v>46157</v>
      </c>
      <c r="M14" s="20" t="n">
        <v>46157</v>
      </c>
      <c r="N14" s="45" t="n">
        <v>0.6722222222222223</v>
      </c>
      <c r="O14" s="134" t="inlineStr">
        <is>
          <t>OK</t>
        </is>
      </c>
      <c r="P14" s="22" t="inlineStr">
        <is>
          <t>Done</t>
        </is>
      </c>
      <c r="Q14" s="54" t="inlineStr">
        <is>
          <t>Not Yet</t>
        </is>
      </c>
      <c r="R14" s="141" t="n">
        <v>46157.98263888889</v>
      </c>
      <c r="S14" s="142" t="n">
        <v>46158.04027777778</v>
      </c>
      <c r="T14" s="144" t="inlineStr">
        <is>
          <t>Swap 4G + Newbuild 5G Single 2.6 32T</t>
        </is>
      </c>
      <c r="U14" s="98" t="inlineStr">
        <is>
          <t>HNIPDG11</t>
        </is>
      </c>
      <c r="V14" s="98" t="inlineStr">
        <is>
          <t>HNIPDG11</t>
        </is>
      </c>
      <c r="W14" s="98" t="inlineStr">
        <is>
          <t>HN_GLM_LA_COI</t>
        </is>
      </c>
      <c r="X14" s="105" t="inlineStr">
        <is>
          <t>batch3</t>
        </is>
      </c>
      <c r="Y14" s="151" t="inlineStr">
        <is>
          <t>NSN</t>
        </is>
      </c>
      <c r="Z14" s="148" t="inlineStr">
        <is>
          <t>4G,Cell Unavailable 5G,BBU CPRI Interface Error,45G,User Plane Fault</t>
        </is>
      </c>
      <c r="AA14" s="177" t="n">
        <v>46154</v>
      </c>
    </row>
    <row r="15">
      <c r="A15" s="98" t="n">
        <v>12</v>
      </c>
      <c r="B15" s="103" t="inlineStr">
        <is>
          <t>Ha Noi</t>
        </is>
      </c>
      <c r="C15" s="105" t="inlineStr">
        <is>
          <t>Pilot</t>
        </is>
      </c>
      <c r="D15" s="144" t="inlineStr">
        <is>
          <t>HN_GLM_NGA_4_NINH_HIEP</t>
        </is>
      </c>
      <c r="E15" s="98" t="inlineStr">
        <is>
          <t>Connected</t>
        </is>
      </c>
      <c r="F15" s="114" t="inlineStr">
        <is>
          <t>Done</t>
        </is>
      </c>
      <c r="G15" s="78" t="inlineStr">
        <is>
          <t>On Air</t>
        </is>
      </c>
      <c r="H15" s="39" t="n">
        <v>46157</v>
      </c>
      <c r="I15" s="20" t="n">
        <v>46157</v>
      </c>
      <c r="J15" s="45" t="n">
        <v>0.6722222222222223</v>
      </c>
      <c r="K15" s="124" t="inlineStr">
        <is>
          <t>OK</t>
        </is>
      </c>
      <c r="L15" s="20" t="n">
        <v>46157</v>
      </c>
      <c r="M15" s="20" t="n">
        <v>46157</v>
      </c>
      <c r="N15" s="45" t="n">
        <v>0.6722222222222223</v>
      </c>
      <c r="O15" s="134" t="inlineStr">
        <is>
          <t>OK</t>
        </is>
      </c>
      <c r="P15" s="134" t="inlineStr">
        <is>
          <t>Done</t>
        </is>
      </c>
      <c r="Q15" s="54" t="inlineStr">
        <is>
          <t>Not Yet</t>
        </is>
      </c>
      <c r="R15" s="142" t="n">
        <v>46157.96875</v>
      </c>
      <c r="S15" s="142" t="n">
        <v>46157.99652777778</v>
      </c>
      <c r="T15" s="144" t="inlineStr">
        <is>
          <t>Swap 4G + Newbuild 5G Single 2.6 32T</t>
        </is>
      </c>
      <c r="U15" s="98" t="inlineStr">
        <is>
          <t>HNIPDG12</t>
        </is>
      </c>
      <c r="V15" s="98" t="inlineStr">
        <is>
          <t>HNIPDG12</t>
        </is>
      </c>
      <c r="W15" s="98" t="inlineStr">
        <is>
          <t>HN_GLM_NGA_4_NINH_HIEP</t>
        </is>
      </c>
      <c r="X15" s="105" t="inlineStr">
        <is>
          <t>batch3</t>
        </is>
      </c>
      <c r="Y15" s="151" t="inlineStr">
        <is>
          <t>NSN</t>
        </is>
      </c>
      <c r="Z15" s="148" t="inlineStr">
        <is>
          <t>45G,User Plane Fault</t>
        </is>
      </c>
      <c r="AA15" s="177" t="n">
        <v>46154</v>
      </c>
    </row>
    <row r="16">
      <c r="A16" s="98" t="n">
        <v>13</v>
      </c>
      <c r="B16" s="103" t="inlineStr">
        <is>
          <t>Ha Noi</t>
        </is>
      </c>
      <c r="C16" s="105" t="inlineStr">
        <is>
          <t>Pilot</t>
        </is>
      </c>
      <c r="D16" s="144" t="inlineStr">
        <is>
          <t>HN_GLM_NINH_HIEP</t>
        </is>
      </c>
      <c r="E16" s="98" t="inlineStr">
        <is>
          <t>Connected</t>
        </is>
      </c>
      <c r="F16" s="114" t="inlineStr">
        <is>
          <t>Done</t>
        </is>
      </c>
      <c r="G16" s="78" t="inlineStr">
        <is>
          <t>On Air</t>
        </is>
      </c>
      <c r="H16" s="39" t="n">
        <v>46157</v>
      </c>
      <c r="I16" s="20" t="n">
        <v>46157</v>
      </c>
      <c r="J16" s="45" t="n">
        <v>0.6458333333333334</v>
      </c>
      <c r="K16" s="124" t="inlineStr">
        <is>
          <t>OK</t>
        </is>
      </c>
      <c r="L16" s="20" t="n">
        <v>46157</v>
      </c>
      <c r="M16" s="20" t="n">
        <v>46157</v>
      </c>
      <c r="N16" s="45" t="n">
        <v>0.6458333333333334</v>
      </c>
      <c r="O16" s="134" t="inlineStr">
        <is>
          <t>OK</t>
        </is>
      </c>
      <c r="P16" s="22" t="inlineStr">
        <is>
          <t>Done</t>
        </is>
      </c>
      <c r="Q16" s="54" t="inlineStr">
        <is>
          <t>Not Yet</t>
        </is>
      </c>
      <c r="R16" s="142" t="n">
        <v>46157.70833333334</v>
      </c>
      <c r="S16" s="142" t="n">
        <v>46157.95138888889</v>
      </c>
      <c r="T16" s="144" t="inlineStr">
        <is>
          <t>Swap 4G + Newbuild 5G Single 2.6 32T</t>
        </is>
      </c>
      <c r="U16" s="98" t="inlineStr">
        <is>
          <t>HNIPDG13</t>
        </is>
      </c>
      <c r="V16" s="98" t="inlineStr">
        <is>
          <t>HNIPDG13</t>
        </is>
      </c>
      <c r="W16" s="98" t="inlineStr">
        <is>
          <t>HN_GLM_NINH_HIEP</t>
        </is>
      </c>
      <c r="X16" s="105" t="inlineStr">
        <is>
          <t>batch3</t>
        </is>
      </c>
      <c r="Y16" s="151" t="inlineStr">
        <is>
          <t>NSN</t>
        </is>
      </c>
      <c r="Z16" s="17" t="n"/>
      <c r="AA16" s="177" t="n">
        <v>46154</v>
      </c>
    </row>
    <row r="17">
      <c r="A17" s="61" t="n">
        <v>14</v>
      </c>
      <c r="B17" s="114" t="inlineStr">
        <is>
          <t>Ha Noi</t>
        </is>
      </c>
      <c r="C17" s="54" t="inlineStr">
        <is>
          <t>Pilot</t>
        </is>
      </c>
      <c r="D17" s="144" t="inlineStr">
        <is>
          <t>HN_GLM_XUAN_DUC</t>
        </is>
      </c>
      <c r="E17" s="98" t="inlineStr">
        <is>
          <t>Connected</t>
        </is>
      </c>
      <c r="F17" s="114" t="inlineStr">
        <is>
          <t>Done</t>
        </is>
      </c>
      <c r="G17" s="78" t="inlineStr">
        <is>
          <t>On Air</t>
        </is>
      </c>
      <c r="H17" s="116" t="n">
        <v>46157</v>
      </c>
      <c r="I17" s="20" t="n">
        <v>46157</v>
      </c>
      <c r="J17" s="125" t="n">
        <v>0.7569444444444444</v>
      </c>
      <c r="K17" s="121" t="inlineStr">
        <is>
          <t>OK</t>
        </is>
      </c>
      <c r="L17" s="47" t="inlineStr">
        <is>
          <t>NA</t>
        </is>
      </c>
      <c r="M17" s="178" t="n">
        <v>46157</v>
      </c>
      <c r="N17" s="47" t="inlineStr">
        <is>
          <t>NA</t>
        </is>
      </c>
      <c r="O17" s="54" t="inlineStr">
        <is>
          <t>NOK due to CRPI issue</t>
        </is>
      </c>
      <c r="P17" s="135" t="inlineStr">
        <is>
          <t>Done</t>
        </is>
      </c>
      <c r="Q17" s="54" t="inlineStr">
        <is>
          <t>Not Yet</t>
        </is>
      </c>
      <c r="R17" s="142" t="n">
        <v>46157.91666666666</v>
      </c>
      <c r="S17" s="135" t="inlineStr">
        <is>
          <t>2026/5/15 22:00:00 No 5G</t>
        </is>
      </c>
      <c r="T17" s="145" t="inlineStr">
        <is>
          <t>Swap 4G + Newbuild 5G Single 2.6 32T</t>
        </is>
      </c>
      <c r="U17" s="98" t="inlineStr">
        <is>
          <t>HNIPDG21</t>
        </is>
      </c>
      <c r="V17" s="98" t="inlineStr">
        <is>
          <t>HNIPDG21</t>
        </is>
      </c>
      <c r="W17" s="98" t="inlineStr">
        <is>
          <t>HN_GLM_CAU_DUONG</t>
        </is>
      </c>
      <c r="X17" s="105" t="inlineStr">
        <is>
          <t>batch3</t>
        </is>
      </c>
      <c r="Y17" s="151" t="inlineStr">
        <is>
          <t>NSN</t>
        </is>
      </c>
      <c r="Z17" s="148" t="inlineStr">
        <is>
          <t>45G,Transmission Optical Interface Error,45G,User Plane Fault</t>
        </is>
      </c>
      <c r="AA17" s="177" t="n">
        <v>46154</v>
      </c>
    </row>
    <row r="18">
      <c r="A18" s="61" t="n">
        <v>15</v>
      </c>
      <c r="B18" s="107" t="inlineStr">
        <is>
          <t>Ha Noi</t>
        </is>
      </c>
      <c r="C18" s="107" t="inlineStr">
        <is>
          <t>Pilot</t>
        </is>
      </c>
      <c r="D18" s="145" t="inlineStr">
        <is>
          <t>HN_GLM_YEN_THUONG</t>
        </is>
      </c>
      <c r="E18" s="61" t="inlineStr">
        <is>
          <t>Connected</t>
        </is>
      </c>
      <c r="F18" s="114" t="inlineStr">
        <is>
          <t>Done</t>
        </is>
      </c>
      <c r="G18" s="107" t="inlineStr">
        <is>
          <t>On Air</t>
        </is>
      </c>
      <c r="H18" s="116" t="n">
        <v>46157</v>
      </c>
      <c r="I18" s="126" t="n">
        <v>46157</v>
      </c>
      <c r="J18" s="125" t="n">
        <v>0.7590277777777777</v>
      </c>
      <c r="K18" s="127" t="inlineStr">
        <is>
          <t>OK</t>
        </is>
      </c>
      <c r="L18" s="126" t="n">
        <v>46157</v>
      </c>
      <c r="M18" s="126" t="n">
        <v>46157</v>
      </c>
      <c r="N18" s="125" t="n">
        <v>0.7590277777777777</v>
      </c>
      <c r="O18" s="136" t="inlineStr">
        <is>
          <t>OK</t>
        </is>
      </c>
      <c r="P18" s="135" t="inlineStr">
        <is>
          <t>Done</t>
        </is>
      </c>
      <c r="Q18" s="54" t="inlineStr">
        <is>
          <t>Not Yet</t>
        </is>
      </c>
      <c r="R18" s="146" t="n">
        <v>46157.84652777778</v>
      </c>
      <c r="S18" s="135" t="inlineStr">
        <is>
          <t>2026/5/15 21:50:00 Cannot camp on 5G</t>
        </is>
      </c>
      <c r="T18" s="145" t="inlineStr">
        <is>
          <t>Swap 4G + Newbuild 5G Single 2.6 32T</t>
        </is>
      </c>
      <c r="U18" s="61" t="inlineStr">
        <is>
          <t>HNIPDG22</t>
        </is>
      </c>
      <c r="V18" s="61" t="inlineStr">
        <is>
          <t>HNIPDG22</t>
        </is>
      </c>
      <c r="W18" s="61" t="inlineStr">
        <is>
          <t>HN_GLM_YEN_THUONG_CRAN</t>
        </is>
      </c>
      <c r="X18" s="105" t="inlineStr">
        <is>
          <t>batch3</t>
        </is>
      </c>
      <c r="Y18" s="152" t="inlineStr">
        <is>
          <t>NSN</t>
        </is>
      </c>
      <c r="Z18" s="148" t="inlineStr">
        <is>
          <t>5G,BBU CPRI Interface Error,5G,gNodeB Out of Service,5G,NR DU Cell TRP Unavailable,5G,RF Unit DC Input Power Failure,5G,RF Unit External Power Supply Insufficient,5G,RF Unit Maintenance Link Failure</t>
        </is>
      </c>
      <c r="AA18" s="177" t="n">
        <v>46154</v>
      </c>
    </row>
    <row r="19" ht="12.75" customHeight="1">
      <c r="A19" s="98" t="n">
        <v>16</v>
      </c>
      <c r="B19" s="78" t="inlineStr">
        <is>
          <t>Ha Noi</t>
        </is>
      </c>
      <c r="C19" s="78" t="inlineStr">
        <is>
          <t>Pilot</t>
        </is>
      </c>
      <c r="D19" s="17" t="inlineStr">
        <is>
          <t>HN_GLM_YEN_THUONG_CRAN</t>
        </is>
      </c>
      <c r="E19" s="98" t="inlineStr">
        <is>
          <t>Connected</t>
        </is>
      </c>
      <c r="F19" s="78" t="inlineStr">
        <is>
          <t>Done</t>
        </is>
      </c>
      <c r="G19" s="78" t="inlineStr">
        <is>
          <t>On Air</t>
        </is>
      </c>
      <c r="H19" s="39" t="n">
        <v>46157</v>
      </c>
      <c r="I19" s="20" t="n">
        <v>46157</v>
      </c>
      <c r="J19" s="45" t="n">
        <v>0.7590277777777777</v>
      </c>
      <c r="K19" s="124" t="inlineStr">
        <is>
          <t>OK</t>
        </is>
      </c>
      <c r="L19" s="128" t="inlineStr">
        <is>
          <t>NA</t>
        </is>
      </c>
      <c r="M19" s="128" t="inlineStr">
        <is>
          <t>NA</t>
        </is>
      </c>
      <c r="N19" s="124" t="inlineStr">
        <is>
          <t>NA</t>
        </is>
      </c>
      <c r="O19" s="124" t="inlineStr">
        <is>
          <t>NA</t>
        </is>
      </c>
      <c r="P19" s="78" t="inlineStr">
        <is>
          <t>Done</t>
        </is>
      </c>
      <c r="Q19" s="78" t="inlineStr">
        <is>
          <t>Not Yet</t>
        </is>
      </c>
      <c r="R19" s="147" t="n">
        <v>46157.79166666666</v>
      </c>
      <c r="S19" s="147" t="n">
        <v>46157.84652777778</v>
      </c>
      <c r="T19" s="148" t="inlineStr">
        <is>
          <t>Swap 4G</t>
        </is>
      </c>
      <c r="U19" s="98" t="inlineStr">
        <is>
          <t>HNIPDG22</t>
        </is>
      </c>
      <c r="V19" s="98" t="n"/>
      <c r="W19" s="98" t="inlineStr">
        <is>
          <t>HN_GLM_YEN_THUONG_CRAN</t>
        </is>
      </c>
      <c r="X19" s="105" t="inlineStr">
        <is>
          <t>batch3</t>
        </is>
      </c>
      <c r="Y19" s="153" t="inlineStr">
        <is>
          <t>NSN</t>
        </is>
      </c>
      <c r="Z19" s="148" t="inlineStr">
        <is>
          <t>5G,BBU CPRI Interface Error,5G,gNodeB Out of Service,5G,NR DU Cell TRP Unavailable,5G,RF Unit DC Input Power Failure,5G,RF Unit External Power Supply Insufficient,5G,RF Unit Maintenance Link Failure</t>
        </is>
      </c>
      <c r="AA19" s="177" t="n">
        <v>46154</v>
      </c>
    </row>
    <row r="20" ht="12.75" customHeight="1">
      <c r="A20" s="61" t="n">
        <v>17</v>
      </c>
      <c r="B20" s="78" t="inlineStr">
        <is>
          <t>Ha Noi</t>
        </is>
      </c>
      <c r="C20" s="78" t="inlineStr">
        <is>
          <t>PO1_CL09</t>
        </is>
      </c>
      <c r="D20" s="17" t="inlineStr">
        <is>
          <t>H2_MLH_CHU_PHAN</t>
        </is>
      </c>
      <c r="E20" s="98" t="n"/>
      <c r="F20" s="78" t="n"/>
      <c r="G20" s="78" t="n"/>
      <c r="H20" s="39" t="n">
        <v>46163</v>
      </c>
      <c r="I20" s="20" t="n"/>
      <c r="J20" s="45" t="n"/>
      <c r="K20" s="124" t="n"/>
      <c r="L20" s="20" t="n">
        <v>46163</v>
      </c>
      <c r="M20" s="20" t="n"/>
      <c r="N20" s="45" t="n"/>
      <c r="O20" s="124" t="n"/>
      <c r="P20" s="78" t="n"/>
      <c r="Q20" s="78" t="n"/>
      <c r="R20" s="147" t="n"/>
      <c r="S20" s="147" t="n"/>
      <c r="T20" s="148" t="inlineStr">
        <is>
          <t>Swap 4G + New 5G</t>
        </is>
      </c>
      <c r="U20" s="98" t="inlineStr">
        <is>
          <t>HNIYLG01</t>
        </is>
      </c>
      <c r="V20" s="98" t="inlineStr">
        <is>
          <t>HNIYLG01</t>
        </is>
      </c>
      <c r="W20" s="98" t="n"/>
      <c r="X20" s="105" t="n"/>
      <c r="Y20" s="153" t="n"/>
      <c r="Z20" s="148" t="n"/>
      <c r="AA20" s="177" t="n">
        <v>46154</v>
      </c>
    </row>
    <row r="21" ht="12.75" customHeight="1">
      <c r="A21" s="98" t="n">
        <v>18</v>
      </c>
      <c r="B21" s="78" t="inlineStr">
        <is>
          <t>Ha Noi</t>
        </is>
      </c>
      <c r="C21" s="78" t="inlineStr">
        <is>
          <t>PO1_CL09</t>
        </is>
      </c>
      <c r="D21" s="17" t="inlineStr">
        <is>
          <t>H2_MLH_LIEN_MAC</t>
        </is>
      </c>
      <c r="E21" s="98" t="n"/>
      <c r="F21" s="78" t="n"/>
      <c r="G21" s="78" t="n"/>
      <c r="H21" s="39" t="n">
        <v>46163</v>
      </c>
      <c r="I21" s="20" t="n"/>
      <c r="J21" s="45" t="n"/>
      <c r="K21" s="124" t="n"/>
      <c r="L21" s="20" t="n">
        <v>46163</v>
      </c>
      <c r="M21" s="20" t="n"/>
      <c r="N21" s="45" t="n"/>
      <c r="O21" s="124" t="n"/>
      <c r="P21" s="78" t="n"/>
      <c r="Q21" s="78" t="n"/>
      <c r="R21" s="147" t="n"/>
      <c r="S21" s="147" t="n"/>
      <c r="T21" s="148" t="inlineStr">
        <is>
          <t>Swap 4G + New 5G</t>
        </is>
      </c>
      <c r="U21" s="98" t="inlineStr">
        <is>
          <t>HNIYLG02</t>
        </is>
      </c>
      <c r="V21" s="98" t="inlineStr">
        <is>
          <t>HNIYLG02</t>
        </is>
      </c>
      <c r="W21" s="98" t="n"/>
      <c r="X21" s="105" t="n"/>
      <c r="Y21" s="153" t="n"/>
      <c r="Z21" s="148" t="n"/>
      <c r="AA21" s="177" t="n">
        <v>46154</v>
      </c>
    </row>
    <row r="22" ht="12.75" customHeight="1">
      <c r="A22" s="61" t="n">
        <v>19</v>
      </c>
      <c r="B22" s="78" t="inlineStr">
        <is>
          <t>Ha Noi</t>
        </is>
      </c>
      <c r="C22" s="78" t="inlineStr">
        <is>
          <t>PO1_CL09</t>
        </is>
      </c>
      <c r="D22" s="17" t="inlineStr">
        <is>
          <t>H2_MLH_LIEN_MAC_01R</t>
        </is>
      </c>
      <c r="E22" s="98" t="n"/>
      <c r="F22" s="78" t="n"/>
      <c r="G22" s="78" t="n"/>
      <c r="H22" s="39" t="n">
        <v>46163</v>
      </c>
      <c r="I22" s="20" t="n"/>
      <c r="J22" s="45" t="n"/>
      <c r="K22" s="124" t="n"/>
      <c r="L22" s="20" t="inlineStr">
        <is>
          <t>NA</t>
        </is>
      </c>
      <c r="M22" s="20" t="inlineStr">
        <is>
          <t>NA</t>
        </is>
      </c>
      <c r="N22" s="45" t="inlineStr">
        <is>
          <t>NA</t>
        </is>
      </c>
      <c r="O22" s="124" t="inlineStr">
        <is>
          <t>NA</t>
        </is>
      </c>
      <c r="P22" s="78" t="n"/>
      <c r="Q22" s="78" t="n"/>
      <c r="R22" s="147" t="n"/>
      <c r="S22" s="147" t="n"/>
      <c r="T22" s="148" t="inlineStr">
        <is>
          <t>Swap 4G only</t>
        </is>
      </c>
      <c r="U22" s="98" t="inlineStr">
        <is>
          <t>HNIYLG02</t>
        </is>
      </c>
      <c r="V22" s="98" t="n"/>
      <c r="W22" s="98" t="n"/>
      <c r="X22" s="105" t="n"/>
      <c r="Y22" s="153" t="n"/>
      <c r="Z22" s="148" t="n"/>
      <c r="AA22" s="177" t="n">
        <v>46154</v>
      </c>
    </row>
    <row r="23" ht="12.75" customHeight="1">
      <c r="A23" s="98" t="n">
        <v>20</v>
      </c>
      <c r="B23" s="78" t="inlineStr">
        <is>
          <t>Ha Noi</t>
        </is>
      </c>
      <c r="C23" s="78" t="inlineStr">
        <is>
          <t>PO1_CL09</t>
        </is>
      </c>
      <c r="D23" s="17" t="inlineStr">
        <is>
          <t>H2_MLH_NAI_CHAU_CRAN</t>
        </is>
      </c>
      <c r="E23" s="98" t="n"/>
      <c r="F23" s="78" t="n"/>
      <c r="G23" s="78" t="n"/>
      <c r="H23" s="39" t="n">
        <v>46163</v>
      </c>
      <c r="I23" s="20" t="n"/>
      <c r="J23" s="45" t="n"/>
      <c r="K23" s="124" t="n"/>
      <c r="L23" s="20" t="inlineStr">
        <is>
          <t>NA</t>
        </is>
      </c>
      <c r="M23" s="20" t="inlineStr">
        <is>
          <t>NA</t>
        </is>
      </c>
      <c r="N23" s="45" t="inlineStr">
        <is>
          <t>NA</t>
        </is>
      </c>
      <c r="O23" s="124" t="inlineStr">
        <is>
          <t>NA</t>
        </is>
      </c>
      <c r="P23" s="78" t="n"/>
      <c r="Q23" s="78" t="n"/>
      <c r="R23" s="147" t="n"/>
      <c r="S23" s="147" t="n"/>
      <c r="T23" s="148" t="inlineStr">
        <is>
          <t>Swap 4G only</t>
        </is>
      </c>
      <c r="U23" s="98" t="inlineStr">
        <is>
          <t>HNIYLG01</t>
        </is>
      </c>
      <c r="V23" s="98" t="n"/>
      <c r="W23" s="98" t="n"/>
      <c r="X23" s="105" t="n"/>
      <c r="Y23" s="153" t="n"/>
      <c r="Z23" s="148" t="n"/>
      <c r="AA23" s="177" t="n">
        <v>46154</v>
      </c>
    </row>
    <row r="24" ht="12.75" customHeight="1">
      <c r="A24" s="61" t="n">
        <v>21</v>
      </c>
      <c r="B24" s="78" t="inlineStr">
        <is>
          <t>Ha Noi</t>
        </is>
      </c>
      <c r="C24" s="78" t="inlineStr">
        <is>
          <t>PO1_CL09</t>
        </is>
      </c>
      <c r="D24" s="17" t="inlineStr">
        <is>
          <t>H2_MLH_THACH_DA</t>
        </is>
      </c>
      <c r="E24" s="98" t="n"/>
      <c r="F24" s="78" t="n"/>
      <c r="G24" s="78" t="n"/>
      <c r="H24" s="39" t="n">
        <v>46163</v>
      </c>
      <c r="I24" s="20" t="n"/>
      <c r="J24" s="45" t="n"/>
      <c r="K24" s="124" t="n"/>
      <c r="L24" s="20" t="inlineStr">
        <is>
          <t>NA</t>
        </is>
      </c>
      <c r="M24" s="20" t="inlineStr">
        <is>
          <t>NA</t>
        </is>
      </c>
      <c r="N24" s="45" t="inlineStr">
        <is>
          <t>NA</t>
        </is>
      </c>
      <c r="O24" s="124" t="inlineStr">
        <is>
          <t>NA</t>
        </is>
      </c>
      <c r="P24" s="78" t="n"/>
      <c r="Q24" s="78" t="n"/>
      <c r="R24" s="147" t="n"/>
      <c r="S24" s="147" t="n"/>
      <c r="T24" s="148" t="inlineStr">
        <is>
          <t>Swap 4G only</t>
        </is>
      </c>
      <c r="U24" s="98" t="inlineStr">
        <is>
          <t>HNIYLG05</t>
        </is>
      </c>
      <c r="V24" s="98" t="n"/>
      <c r="W24" s="98" t="n"/>
      <c r="X24" s="105" t="n"/>
      <c r="Y24" s="153" t="n"/>
      <c r="Z24" s="148" t="n"/>
      <c r="AA24" s="177" t="n">
        <v>46154</v>
      </c>
    </row>
    <row r="25" ht="12.75" customHeight="1">
      <c r="A25" s="98" t="n">
        <v>22</v>
      </c>
      <c r="B25" s="78" t="inlineStr">
        <is>
          <t>Ha Noi</t>
        </is>
      </c>
      <c r="C25" s="78" t="inlineStr">
        <is>
          <t>PO1_CL09</t>
        </is>
      </c>
      <c r="D25" s="17" t="inlineStr">
        <is>
          <t>H2_MLH_THACH_DA_01R</t>
        </is>
      </c>
      <c r="E25" s="98" t="n"/>
      <c r="F25" s="78" t="n"/>
      <c r="G25" s="78" t="n"/>
      <c r="H25" s="39" t="n">
        <v>46163</v>
      </c>
      <c r="I25" s="20" t="n"/>
      <c r="J25" s="45" t="n"/>
      <c r="K25" s="124" t="n"/>
      <c r="L25" s="20" t="inlineStr">
        <is>
          <t>NA</t>
        </is>
      </c>
      <c r="M25" s="20" t="inlineStr">
        <is>
          <t>NA</t>
        </is>
      </c>
      <c r="N25" s="45" t="inlineStr">
        <is>
          <t>NA</t>
        </is>
      </c>
      <c r="O25" s="124" t="inlineStr">
        <is>
          <t>NA</t>
        </is>
      </c>
      <c r="P25" s="78" t="n"/>
      <c r="Q25" s="78" t="n"/>
      <c r="R25" s="147" t="n"/>
      <c r="S25" s="147" t="n"/>
      <c r="T25" s="148" t="inlineStr">
        <is>
          <t>Swap 4G only</t>
        </is>
      </c>
      <c r="U25" s="98" t="inlineStr">
        <is>
          <t>HNIYLG05</t>
        </is>
      </c>
      <c r="V25" s="98" t="n"/>
      <c r="W25" s="98" t="n"/>
      <c r="X25" s="105" t="n"/>
      <c r="Y25" s="153" t="n"/>
      <c r="Z25" s="148" t="n"/>
      <c r="AA25" s="177" t="n">
        <v>46154</v>
      </c>
    </row>
    <row r="26" ht="12.75" customHeight="1">
      <c r="A26" s="61" t="n">
        <v>23</v>
      </c>
      <c r="B26" s="78" t="inlineStr">
        <is>
          <t>Ha Noi</t>
        </is>
      </c>
      <c r="C26" s="78" t="inlineStr">
        <is>
          <t>PO1_CL09</t>
        </is>
      </c>
      <c r="D26" s="17" t="inlineStr">
        <is>
          <t>H2_MLH_THACH_DA_02R</t>
        </is>
      </c>
      <c r="E26" s="98" t="n"/>
      <c r="F26" s="78" t="n"/>
      <c r="G26" s="78" t="n"/>
      <c r="H26" s="39" t="n">
        <v>46163</v>
      </c>
      <c r="I26" s="20" t="n"/>
      <c r="J26" s="45" t="n"/>
      <c r="K26" s="124" t="n"/>
      <c r="L26" s="20" t="inlineStr">
        <is>
          <t>NA</t>
        </is>
      </c>
      <c r="M26" s="20" t="inlineStr">
        <is>
          <t>NA</t>
        </is>
      </c>
      <c r="N26" s="45" t="inlineStr">
        <is>
          <t>NA</t>
        </is>
      </c>
      <c r="O26" s="124" t="inlineStr">
        <is>
          <t>NA</t>
        </is>
      </c>
      <c r="P26" s="78" t="n"/>
      <c r="Q26" s="78" t="n"/>
      <c r="R26" s="147" t="n"/>
      <c r="S26" s="147" t="n"/>
      <c r="T26" s="148" t="inlineStr">
        <is>
          <t>Swap 4G only</t>
        </is>
      </c>
      <c r="U26" s="98" t="inlineStr">
        <is>
          <t>HNIYLG05</t>
        </is>
      </c>
      <c r="V26" s="98" t="n"/>
      <c r="W26" s="98" t="n"/>
      <c r="X26" s="105" t="n"/>
      <c r="Y26" s="153" t="n"/>
      <c r="Z26" s="148" t="n"/>
      <c r="AA26" s="177" t="n">
        <v>46154</v>
      </c>
    </row>
    <row r="27" ht="12.75" customHeight="1">
      <c r="A27" s="98" t="n">
        <v>24</v>
      </c>
      <c r="B27" s="78" t="inlineStr">
        <is>
          <t>Ha Noi</t>
        </is>
      </c>
      <c r="C27" s="78" t="inlineStr">
        <is>
          <t>PO1_CL09</t>
        </is>
      </c>
      <c r="D27" s="17" t="inlineStr">
        <is>
          <t>H2_MLH_THACH_DA_2</t>
        </is>
      </c>
      <c r="E27" s="98" t="n"/>
      <c r="F27" s="78" t="n"/>
      <c r="G27" s="78" t="n"/>
      <c r="H27" s="39" t="n">
        <v>46163</v>
      </c>
      <c r="I27" s="20" t="n"/>
      <c r="J27" s="45" t="n"/>
      <c r="K27" s="124" t="n"/>
      <c r="L27" s="20" t="n">
        <v>46163</v>
      </c>
      <c r="M27" s="20" t="n"/>
      <c r="N27" s="45" t="n"/>
      <c r="O27" s="124" t="n"/>
      <c r="P27" s="78" t="n"/>
      <c r="Q27" s="78" t="n"/>
      <c r="R27" s="147" t="n"/>
      <c r="S27" s="147" t="n"/>
      <c r="T27" s="148" t="inlineStr">
        <is>
          <t>Swap 4G + New 5G</t>
        </is>
      </c>
      <c r="U27" s="98" t="inlineStr">
        <is>
          <t>HNIYLG08</t>
        </is>
      </c>
      <c r="V27" s="98" t="inlineStr">
        <is>
          <t>HNIYLG08</t>
        </is>
      </c>
      <c r="W27" s="98" t="n"/>
      <c r="X27" s="105" t="n"/>
      <c r="Y27" s="153" t="n"/>
      <c r="Z27" s="148" t="n"/>
      <c r="AA27" s="177" t="n">
        <v>46154</v>
      </c>
    </row>
    <row r="28" ht="12.75" customHeight="1">
      <c r="A28" s="61" t="n">
        <v>25</v>
      </c>
      <c r="B28" s="78" t="inlineStr">
        <is>
          <t>Ha Noi</t>
        </is>
      </c>
      <c r="C28" s="78" t="inlineStr">
        <is>
          <t>PO1_CL09</t>
        </is>
      </c>
      <c r="D28" s="17" t="inlineStr">
        <is>
          <t>H2_MLH_TIEN_THINH</t>
        </is>
      </c>
      <c r="E28" s="98" t="n"/>
      <c r="F28" s="78" t="n"/>
      <c r="G28" s="78" t="n"/>
      <c r="H28" s="39" t="n">
        <v>46163</v>
      </c>
      <c r="I28" s="20" t="n"/>
      <c r="J28" s="45" t="n"/>
      <c r="K28" s="124" t="n"/>
      <c r="L28" s="20" t="n">
        <v>46163</v>
      </c>
      <c r="M28" s="20" t="n"/>
      <c r="N28" s="45" t="n"/>
      <c r="O28" s="124" t="n"/>
      <c r="P28" s="78" t="n"/>
      <c r="Q28" s="78" t="n"/>
      <c r="R28" s="147" t="n"/>
      <c r="S28" s="147" t="n"/>
      <c r="T28" s="148" t="inlineStr">
        <is>
          <t>Swap 4G + New 5G</t>
        </is>
      </c>
      <c r="U28" s="98" t="inlineStr">
        <is>
          <t>HNIYLG09</t>
        </is>
      </c>
      <c r="V28" s="98" t="inlineStr">
        <is>
          <t>HNIYLG09</t>
        </is>
      </c>
      <c r="W28" s="98" t="n"/>
      <c r="X28" s="105" t="n"/>
      <c r="Y28" s="153" t="n"/>
      <c r="Z28" s="148" t="n"/>
      <c r="AA28" s="177" t="n">
        <v>46154</v>
      </c>
    </row>
    <row r="29" ht="12.75" customHeight="1">
      <c r="A29" s="98" t="n">
        <v>26</v>
      </c>
      <c r="B29" s="78" t="inlineStr">
        <is>
          <t>Ha Noi</t>
        </is>
      </c>
      <c r="C29" s="78" t="inlineStr">
        <is>
          <t>PO1_CL09</t>
        </is>
      </c>
      <c r="D29" s="17" t="inlineStr">
        <is>
          <t>H2_MLH_VAN_YEN</t>
        </is>
      </c>
      <c r="E29" s="98" t="n"/>
      <c r="F29" s="78" t="n"/>
      <c r="G29" s="78" t="n"/>
      <c r="H29" s="39" t="n">
        <v>46163</v>
      </c>
      <c r="I29" s="20" t="n"/>
      <c r="J29" s="45" t="n"/>
      <c r="K29" s="124" t="n"/>
      <c r="L29" s="20" t="n">
        <v>46163</v>
      </c>
      <c r="M29" s="20" t="n"/>
      <c r="N29" s="45" t="n"/>
      <c r="O29" s="124" t="n"/>
      <c r="P29" s="78" t="n"/>
      <c r="Q29" s="78" t="n"/>
      <c r="R29" s="147" t="n"/>
      <c r="S29" s="147" t="n"/>
      <c r="T29" s="148" t="inlineStr">
        <is>
          <t>Swap 4G + New 5G</t>
        </is>
      </c>
      <c r="U29" s="98" t="inlineStr">
        <is>
          <t>HNIYLG10</t>
        </is>
      </c>
      <c r="V29" s="98" t="inlineStr">
        <is>
          <t>HNIYLG10</t>
        </is>
      </c>
      <c r="W29" s="98" t="n"/>
      <c r="X29" s="105" t="n"/>
      <c r="Y29" s="153" t="n"/>
      <c r="Z29" s="148" t="n"/>
      <c r="AA29" s="177" t="n">
        <v>46154</v>
      </c>
    </row>
    <row r="30" ht="12.75" customHeight="1">
      <c r="A30" s="61" t="n">
        <v>27</v>
      </c>
      <c r="B30" s="78" t="inlineStr">
        <is>
          <t>Ha Noi</t>
        </is>
      </c>
      <c r="C30" s="78" t="inlineStr">
        <is>
          <t>PO1_CL09</t>
        </is>
      </c>
      <c r="D30" s="17" t="inlineStr">
        <is>
          <t>H2_MLH_CN_QUANG_MINH_2</t>
        </is>
      </c>
      <c r="E30" s="98" t="n"/>
      <c r="F30" s="78" t="n"/>
      <c r="G30" s="78" t="n"/>
      <c r="H30" s="39" t="n">
        <v>46164</v>
      </c>
      <c r="I30" s="20" t="n"/>
      <c r="J30" s="45" t="n"/>
      <c r="K30" s="124" t="n"/>
      <c r="L30" s="20" t="n">
        <v>46164</v>
      </c>
      <c r="M30" s="20" t="n"/>
      <c r="N30" s="45" t="n"/>
      <c r="O30" s="124" t="n"/>
      <c r="P30" s="78" t="n"/>
      <c r="Q30" s="78" t="n"/>
      <c r="R30" s="147" t="n"/>
      <c r="S30" s="147" t="n"/>
      <c r="T30" s="148" t="inlineStr">
        <is>
          <t>Swap 4G + New 5G</t>
        </is>
      </c>
      <c r="U30" s="98" t="inlineStr">
        <is>
          <t>HNIQMH04</t>
        </is>
      </c>
      <c r="V30" s="98" t="inlineStr">
        <is>
          <t>HNIQMH04</t>
        </is>
      </c>
      <c r="AA30" s="177" t="n">
        <v>46154</v>
      </c>
    </row>
    <row r="31" ht="12.75" customHeight="1">
      <c r="A31" s="98" t="n">
        <v>28</v>
      </c>
      <c r="B31" s="78" t="inlineStr">
        <is>
          <t>Ha Noi</t>
        </is>
      </c>
      <c r="C31" s="78" t="inlineStr">
        <is>
          <t>PO1_CL09</t>
        </is>
      </c>
      <c r="D31" s="17" t="inlineStr">
        <is>
          <t>H2_MLH_DAI_THINH</t>
        </is>
      </c>
      <c r="E31" s="98" t="n"/>
      <c r="F31" s="78" t="n"/>
      <c r="G31" s="78" t="n"/>
      <c r="H31" s="39" t="n">
        <v>46164</v>
      </c>
      <c r="I31" s="20" t="n"/>
      <c r="J31" s="45" t="n"/>
      <c r="K31" s="124" t="n"/>
      <c r="L31" s="20" t="n">
        <v>46164</v>
      </c>
      <c r="M31" s="20" t="n"/>
      <c r="N31" s="45" t="n"/>
      <c r="O31" s="124" t="n"/>
      <c r="P31" s="78" t="n"/>
      <c r="Q31" s="78" t="n"/>
      <c r="R31" s="147" t="n"/>
      <c r="S31" s="147" t="n"/>
      <c r="T31" s="148" t="inlineStr">
        <is>
          <t>Swap 4G + New 5G</t>
        </is>
      </c>
      <c r="U31" s="98" t="inlineStr">
        <is>
          <t>HNIQMH09</t>
        </is>
      </c>
      <c r="V31" s="98" t="inlineStr">
        <is>
          <t>HNIQMH09</t>
        </is>
      </c>
      <c r="AA31" s="177" t="n">
        <v>46154</v>
      </c>
    </row>
    <row r="32" ht="12.75" customHeight="1">
      <c r="A32" s="61" t="n">
        <v>29</v>
      </c>
      <c r="B32" s="78" t="inlineStr">
        <is>
          <t>Ha Noi</t>
        </is>
      </c>
      <c r="C32" s="78" t="inlineStr">
        <is>
          <t>PO1_CL09</t>
        </is>
      </c>
      <c r="D32" s="17" t="inlineStr">
        <is>
          <t>H2_MLH_KIM_HOA</t>
        </is>
      </c>
      <c r="E32" s="98" t="n"/>
      <c r="F32" s="78" t="n"/>
      <c r="G32" s="78" t="n"/>
      <c r="H32" s="39" t="n">
        <v>46164</v>
      </c>
      <c r="I32" s="20" t="n"/>
      <c r="J32" s="45" t="n"/>
      <c r="K32" s="124" t="n"/>
      <c r="L32" s="20" t="n">
        <v>46164</v>
      </c>
      <c r="M32" s="20" t="n"/>
      <c r="N32" s="45" t="n"/>
      <c r="O32" s="124" t="n"/>
      <c r="P32" s="78" t="n"/>
      <c r="Q32" s="78" t="n"/>
      <c r="R32" s="147" t="n"/>
      <c r="S32" s="147" t="n"/>
      <c r="T32" s="148" t="inlineStr">
        <is>
          <t>Swap 4G + New 5G</t>
        </is>
      </c>
      <c r="U32" s="98" t="inlineStr">
        <is>
          <t>HNIQMH11</t>
        </is>
      </c>
      <c r="V32" s="98" t="inlineStr">
        <is>
          <t>HNIQMH11</t>
        </is>
      </c>
      <c r="AA32" s="177" t="n">
        <v>46154</v>
      </c>
    </row>
    <row r="33" ht="12.75" customHeight="1">
      <c r="A33" s="98" t="n">
        <v>30</v>
      </c>
      <c r="B33" s="78" t="inlineStr">
        <is>
          <t>Ha Noi</t>
        </is>
      </c>
      <c r="C33" s="78" t="inlineStr">
        <is>
          <t>PO1_CL09</t>
        </is>
      </c>
      <c r="D33" s="17" t="inlineStr">
        <is>
          <t>H2_MLH_ME_LINH_2</t>
        </is>
      </c>
      <c r="E33" s="98" t="n"/>
      <c r="F33" s="78" t="n"/>
      <c r="G33" s="78" t="n"/>
      <c r="H33" s="39" t="n">
        <v>46164</v>
      </c>
      <c r="I33" s="20" t="n"/>
      <c r="J33" s="45" t="n"/>
      <c r="K33" s="124" t="n"/>
      <c r="L33" s="20" t="n">
        <v>46164</v>
      </c>
      <c r="M33" s="20" t="n"/>
      <c r="N33" s="45" t="n"/>
      <c r="O33" s="124" t="n"/>
      <c r="P33" s="78" t="n"/>
      <c r="Q33" s="78" t="n"/>
      <c r="R33" s="147" t="n"/>
      <c r="S33" s="147" t="n"/>
      <c r="T33" s="148" t="inlineStr">
        <is>
          <t>Swap 4G + New 5G</t>
        </is>
      </c>
      <c r="U33" s="98" t="inlineStr">
        <is>
          <t>HNIQMH13</t>
        </is>
      </c>
      <c r="V33" s="98" t="inlineStr">
        <is>
          <t>HNIQMH13</t>
        </is>
      </c>
      <c r="AA33" s="177" t="n">
        <v>46154</v>
      </c>
    </row>
    <row r="34" ht="12.75" customHeight="1">
      <c r="A34" s="61" t="n">
        <v>31</v>
      </c>
      <c r="B34" s="78" t="inlineStr">
        <is>
          <t>Ha Noi</t>
        </is>
      </c>
      <c r="C34" s="78" t="inlineStr">
        <is>
          <t>PO1_CL09</t>
        </is>
      </c>
      <c r="D34" s="17" t="inlineStr">
        <is>
          <t>H2_MLH_QUANG_MINH_2</t>
        </is>
      </c>
      <c r="E34" s="98" t="n"/>
      <c r="F34" s="78" t="n"/>
      <c r="G34" s="78" t="n"/>
      <c r="H34" s="39" t="n">
        <v>46164</v>
      </c>
      <c r="I34" s="20" t="n"/>
      <c r="J34" s="45" t="n"/>
      <c r="K34" s="124" t="n"/>
      <c r="L34" s="20" t="n">
        <v>46164</v>
      </c>
      <c r="M34" s="20" t="n"/>
      <c r="N34" s="45" t="n"/>
      <c r="O34" s="124" t="n"/>
      <c r="P34" s="78" t="n"/>
      <c r="Q34" s="78" t="n"/>
      <c r="R34" s="147" t="n"/>
      <c r="S34" s="147" t="n"/>
      <c r="T34" s="148" t="inlineStr">
        <is>
          <t>Swap 4G + New 5G</t>
        </is>
      </c>
      <c r="U34" s="98" t="inlineStr">
        <is>
          <t>HNIQMH15</t>
        </is>
      </c>
      <c r="V34" s="98" t="inlineStr">
        <is>
          <t>HNIQMH15</t>
        </is>
      </c>
      <c r="AA34" s="177" t="n">
        <v>46154</v>
      </c>
    </row>
    <row r="35" ht="12.75" customHeight="1">
      <c r="A35" s="98" t="n">
        <v>32</v>
      </c>
      <c r="B35" s="78" t="inlineStr">
        <is>
          <t>Ha Noi</t>
        </is>
      </c>
      <c r="C35" s="78" t="inlineStr">
        <is>
          <t>PO1_CL09</t>
        </is>
      </c>
      <c r="D35" s="17" t="inlineStr">
        <is>
          <t>H2_MLH_TAM_DONG</t>
        </is>
      </c>
      <c r="E35" s="98" t="n"/>
      <c r="F35" s="78" t="n"/>
      <c r="G35" s="78" t="n"/>
      <c r="H35" s="39" t="n">
        <v>46164</v>
      </c>
      <c r="I35" s="20" t="n"/>
      <c r="J35" s="45" t="n"/>
      <c r="K35" s="124" t="n"/>
      <c r="L35" s="20" t="n">
        <v>46164</v>
      </c>
      <c r="M35" s="20" t="n"/>
      <c r="N35" s="45" t="n"/>
      <c r="O35" s="124" t="n"/>
      <c r="P35" s="78" t="n"/>
      <c r="Q35" s="78" t="n"/>
      <c r="R35" s="147" t="n"/>
      <c r="S35" s="147" t="n"/>
      <c r="T35" s="148" t="inlineStr">
        <is>
          <t>Swap 4G + New 5G</t>
        </is>
      </c>
      <c r="U35" s="98" t="inlineStr">
        <is>
          <t>HNITTG01</t>
        </is>
      </c>
      <c r="V35" s="98" t="inlineStr">
        <is>
          <t>HNITTG01</t>
        </is>
      </c>
      <c r="AA35" s="177" t="n">
        <v>46154</v>
      </c>
    </row>
    <row r="36" ht="12.75" customHeight="1">
      <c r="A36" s="61" t="n">
        <v>33</v>
      </c>
      <c r="B36" s="78" t="inlineStr">
        <is>
          <t>Ha Noi</t>
        </is>
      </c>
      <c r="C36" s="78" t="inlineStr">
        <is>
          <t>PO1_CL09</t>
        </is>
      </c>
      <c r="D36" s="17" t="inlineStr">
        <is>
          <t>H2_MLH_THANH_LAM</t>
        </is>
      </c>
      <c r="E36" s="98" t="n"/>
      <c r="F36" s="78" t="n"/>
      <c r="G36" s="78" t="n"/>
      <c r="H36" s="39" t="n">
        <v>46164</v>
      </c>
      <c r="I36" s="20" t="n"/>
      <c r="J36" s="45" t="n"/>
      <c r="K36" s="124" t="n"/>
      <c r="L36" s="20" t="n">
        <v>46164</v>
      </c>
      <c r="M36" s="20" t="n"/>
      <c r="N36" s="45" t="n"/>
      <c r="O36" s="124" t="n"/>
      <c r="P36" s="78" t="n"/>
      <c r="Q36" s="78" t="n"/>
      <c r="R36" s="147" t="n"/>
      <c r="S36" s="147" t="n"/>
      <c r="T36" s="148" t="inlineStr">
        <is>
          <t>Swap 4G + New 5G</t>
        </is>
      </c>
      <c r="U36" s="98" t="inlineStr">
        <is>
          <t>HNITTG02</t>
        </is>
      </c>
      <c r="V36" s="98" t="inlineStr">
        <is>
          <t>HNITTG02</t>
        </is>
      </c>
      <c r="AA36" s="177" t="n">
        <v>46154</v>
      </c>
    </row>
    <row r="37" ht="12.75" customHeight="1">
      <c r="A37" s="98" t="n">
        <v>34</v>
      </c>
      <c r="B37" s="78" t="inlineStr">
        <is>
          <t>Ha Noi</t>
        </is>
      </c>
      <c r="C37" s="78" t="inlineStr">
        <is>
          <t>PO1_CL09</t>
        </is>
      </c>
      <c r="D37" s="17" t="inlineStr">
        <is>
          <t>H2_MLH_THANH_LAM_2</t>
        </is>
      </c>
      <c r="E37" s="98" t="n"/>
      <c r="F37" s="78" t="n"/>
      <c r="G37" s="78" t="n"/>
      <c r="H37" s="39" t="n">
        <v>46164</v>
      </c>
      <c r="I37" s="20" t="n"/>
      <c r="J37" s="45" t="n"/>
      <c r="K37" s="124" t="n"/>
      <c r="L37" s="20" t="n">
        <v>46164</v>
      </c>
      <c r="M37" s="20" t="n"/>
      <c r="N37" s="45" t="n"/>
      <c r="O37" s="124" t="n"/>
      <c r="P37" s="78" t="n"/>
      <c r="Q37" s="78" t="n"/>
      <c r="R37" s="147" t="n"/>
      <c r="S37" s="147" t="n"/>
      <c r="T37" s="148" t="inlineStr">
        <is>
          <t>Swap 4G + New 5G</t>
        </is>
      </c>
      <c r="U37" s="98" t="inlineStr">
        <is>
          <t>HNITTG03</t>
        </is>
      </c>
      <c r="V37" s="98" t="inlineStr">
        <is>
          <t>HNITTG03</t>
        </is>
      </c>
      <c r="AA37" s="177" t="n">
        <v>46154</v>
      </c>
    </row>
    <row r="38" ht="12.75" customHeight="1">
      <c r="A38" s="61" t="n">
        <v>35</v>
      </c>
      <c r="B38" s="78" t="inlineStr">
        <is>
          <t>Ha Noi</t>
        </is>
      </c>
      <c r="C38" s="78" t="inlineStr">
        <is>
          <t>PO1_CL09</t>
        </is>
      </c>
      <c r="D38" s="17" t="inlineStr">
        <is>
          <t>H2_MLH_TIEN_THANG</t>
        </is>
      </c>
      <c r="E38" s="98" t="n"/>
      <c r="F38" s="78" t="n"/>
      <c r="G38" s="78" t="n"/>
      <c r="H38" s="39" t="n">
        <v>46164</v>
      </c>
      <c r="I38" s="20" t="n"/>
      <c r="J38" s="45" t="n"/>
      <c r="K38" s="124" t="n"/>
      <c r="L38" s="20" t="n">
        <v>46164</v>
      </c>
      <c r="M38" s="20" t="n"/>
      <c r="N38" s="45" t="n"/>
      <c r="O38" s="124" t="n"/>
      <c r="P38" s="78" t="n"/>
      <c r="Q38" s="78" t="n"/>
      <c r="R38" s="147" t="n"/>
      <c r="S38" s="147" t="n"/>
      <c r="T38" s="148" t="inlineStr">
        <is>
          <t>Swap 4G + New 5G</t>
        </is>
      </c>
      <c r="U38" s="98" t="inlineStr">
        <is>
          <t>HNITTG04</t>
        </is>
      </c>
      <c r="V38" s="98" t="inlineStr">
        <is>
          <t>HNITTG04</t>
        </is>
      </c>
      <c r="AA38" s="177" t="n">
        <v>46154</v>
      </c>
    </row>
    <row r="39" ht="12.75" customHeight="1">
      <c r="A39" s="98" t="n">
        <v>36</v>
      </c>
      <c r="B39" s="78" t="inlineStr">
        <is>
          <t>Ha Noi</t>
        </is>
      </c>
      <c r="C39" s="78" t="inlineStr">
        <is>
          <t>PO1_CL09</t>
        </is>
      </c>
      <c r="D39" s="17" t="inlineStr">
        <is>
          <t>H2_MLH_TIEN_THANG_01R</t>
        </is>
      </c>
      <c r="E39" s="98" t="n"/>
      <c r="F39" s="78" t="n"/>
      <c r="G39" s="78" t="n"/>
      <c r="H39" s="39" t="n">
        <v>46164</v>
      </c>
      <c r="I39" s="20" t="n"/>
      <c r="J39" s="45" t="n"/>
      <c r="K39" s="124" t="n"/>
      <c r="L39" s="128" t="inlineStr">
        <is>
          <t>NA</t>
        </is>
      </c>
      <c r="M39" s="128" t="inlineStr">
        <is>
          <t>NA</t>
        </is>
      </c>
      <c r="N39" s="124" t="inlineStr">
        <is>
          <t>NA</t>
        </is>
      </c>
      <c r="O39" s="124" t="inlineStr">
        <is>
          <t>NA</t>
        </is>
      </c>
      <c r="P39" s="78" t="n"/>
      <c r="Q39" s="78" t="n"/>
      <c r="R39" s="147" t="n"/>
      <c r="S39" s="147" t="n"/>
      <c r="T39" s="148" t="inlineStr">
        <is>
          <t>Swap 4G only</t>
        </is>
      </c>
      <c r="U39" s="98" t="inlineStr">
        <is>
          <t>HNITTG04</t>
        </is>
      </c>
      <c r="V39" s="98" t="n"/>
      <c r="AA39" s="177" t="n">
        <v>46154</v>
      </c>
    </row>
    <row r="40" ht="12.75" customHeight="1">
      <c r="A40" s="61" t="n">
        <v>37</v>
      </c>
      <c r="B40" s="78" t="inlineStr">
        <is>
          <t>Ha Noi</t>
        </is>
      </c>
      <c r="C40" s="78" t="inlineStr">
        <is>
          <t>PO1_CL09</t>
        </is>
      </c>
      <c r="D40" s="17" t="inlineStr">
        <is>
          <t>H2_MLH_TU_LAP</t>
        </is>
      </c>
      <c r="E40" s="98" t="n"/>
      <c r="F40" s="78" t="n"/>
      <c r="G40" s="78" t="n"/>
      <c r="H40" s="39" t="n">
        <v>46164</v>
      </c>
      <c r="I40" s="20" t="n"/>
      <c r="J40" s="45" t="n"/>
      <c r="K40" s="124" t="n"/>
      <c r="L40" s="128" t="inlineStr">
        <is>
          <t>NA</t>
        </is>
      </c>
      <c r="M40" s="128" t="inlineStr">
        <is>
          <t>NA</t>
        </is>
      </c>
      <c r="N40" s="124" t="inlineStr">
        <is>
          <t>NA</t>
        </is>
      </c>
      <c r="O40" s="124" t="inlineStr">
        <is>
          <t>NA</t>
        </is>
      </c>
      <c r="P40" s="78" t="n"/>
      <c r="Q40" s="78" t="n"/>
      <c r="R40" s="147" t="n"/>
      <c r="S40" s="147" t="n"/>
      <c r="T40" s="148" t="inlineStr">
        <is>
          <t>Swap 4G only</t>
        </is>
      </c>
      <c r="U40" s="98" t="inlineStr">
        <is>
          <t>HNITTG06</t>
        </is>
      </c>
      <c r="V40" s="98" t="n"/>
      <c r="AA40" s="177" t="n">
        <v>46154</v>
      </c>
    </row>
    <row r="41" ht="12.75" customHeight="1">
      <c r="A41" s="98" t="n">
        <v>38</v>
      </c>
      <c r="B41" s="78" t="inlineStr">
        <is>
          <t>Ha Noi</t>
        </is>
      </c>
      <c r="C41" s="78" t="inlineStr">
        <is>
          <t>PO1_CL09</t>
        </is>
      </c>
      <c r="D41" s="17" t="inlineStr">
        <is>
          <t>H2_MLH_TU_LAP_01R</t>
        </is>
      </c>
      <c r="E41" s="98" t="n"/>
      <c r="F41" s="78" t="n"/>
      <c r="G41" s="78" t="n"/>
      <c r="H41" s="39" t="n">
        <v>46164</v>
      </c>
      <c r="I41" s="20" t="n"/>
      <c r="J41" s="45" t="n"/>
      <c r="K41" s="124" t="n"/>
      <c r="L41" s="128" t="inlineStr">
        <is>
          <t>NA</t>
        </is>
      </c>
      <c r="M41" s="128" t="inlineStr">
        <is>
          <t>NA</t>
        </is>
      </c>
      <c r="N41" s="124" t="inlineStr">
        <is>
          <t>NA</t>
        </is>
      </c>
      <c r="O41" s="124" t="inlineStr">
        <is>
          <t>NA</t>
        </is>
      </c>
      <c r="P41" s="78" t="n"/>
      <c r="Q41" s="78" t="n"/>
      <c r="R41" s="147" t="n"/>
      <c r="S41" s="147" t="n"/>
      <c r="T41" s="148" t="inlineStr">
        <is>
          <t>Swap 4G only</t>
        </is>
      </c>
      <c r="U41" s="98" t="inlineStr">
        <is>
          <t>HNITTG06</t>
        </is>
      </c>
      <c r="V41" s="98" t="n"/>
      <c r="AA41" s="177" t="n">
        <v>46154</v>
      </c>
    </row>
    <row r="42" ht="12.75" customHeight="1">
      <c r="A42" s="61" t="n">
        <v>39</v>
      </c>
      <c r="B42" s="78" t="inlineStr">
        <is>
          <t>Ha Noi</t>
        </is>
      </c>
      <c r="C42" s="78" t="inlineStr">
        <is>
          <t>PO1_CL09</t>
        </is>
      </c>
      <c r="D42" s="17" t="inlineStr">
        <is>
          <t>H2_MLH_TU_LAP_2</t>
        </is>
      </c>
      <c r="E42" s="98" t="n"/>
      <c r="F42" s="78" t="n"/>
      <c r="G42" s="78" t="n"/>
      <c r="H42" s="39" t="n">
        <v>46164</v>
      </c>
      <c r="I42" s="20" t="n"/>
      <c r="J42" s="45" t="n"/>
      <c r="K42" s="124" t="n"/>
      <c r="L42" s="20" t="n">
        <v>46164</v>
      </c>
      <c r="M42" s="20" t="n"/>
      <c r="N42" s="45" t="n"/>
      <c r="O42" s="124" t="n"/>
      <c r="P42" s="78" t="n"/>
      <c r="Q42" s="78" t="n"/>
      <c r="R42" s="147" t="n"/>
      <c r="S42" s="147" t="n"/>
      <c r="T42" s="148" t="inlineStr">
        <is>
          <t>Swap 4G + New 5G</t>
        </is>
      </c>
      <c r="U42" s="98" t="inlineStr">
        <is>
          <t>HNITTG08</t>
        </is>
      </c>
      <c r="V42" s="98" t="inlineStr">
        <is>
          <t>HNITTG08</t>
        </is>
      </c>
      <c r="AA42" s="177" t="n">
        <v>46154</v>
      </c>
    </row>
    <row r="43" ht="12.75" customHeight="1"/>
  </sheetData>
  <autoFilter ref="A3:Z42"/>
  <mergeCells count="3">
    <mergeCell ref="H1:K1"/>
    <mergeCell ref="L1:O1"/>
    <mergeCell ref="U1:Y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"/>
  <sheetViews>
    <sheetView tabSelected="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R3" sqref="R3:S3"/>
    </sheetView>
  </sheetViews>
  <sheetFormatPr baseColWidth="8" defaultColWidth="9" defaultRowHeight="12.75"/>
  <cols>
    <col width="3.375" customWidth="1" style="67" min="1" max="1"/>
    <col width="9.75" customWidth="1" style="70" min="2" max="2"/>
    <col width="26.375" customWidth="1" style="70" min="3" max="3"/>
    <col width="9.858333333333331" customWidth="1" style="70" min="4" max="4"/>
    <col width="8.625" customWidth="1" style="70" min="5" max="5"/>
    <col width="8.875" customWidth="1" style="70" min="6" max="6"/>
    <col width="11.125" customWidth="1" style="70" min="7" max="7"/>
    <col width="9.375" customWidth="1" style="70" min="8" max="8"/>
    <col width="8.875" customWidth="1" style="70" min="9" max="9"/>
    <col width="12.625" customWidth="1" style="70" min="10" max="10"/>
    <col width="9.375" customWidth="1" style="70" min="11" max="11"/>
    <col width="13.625" customWidth="1" style="70" min="12" max="12"/>
    <col width="16.125" customWidth="1" style="70" min="13" max="13"/>
    <col width="12.25" customWidth="1" style="70" min="14" max="14"/>
    <col width="15.625" customWidth="1" style="70" min="15" max="15"/>
    <col width="28.5" customWidth="1" style="70" min="16" max="16"/>
    <col width="11.5" customWidth="1" style="70" min="17" max="17"/>
    <col width="25.625" customWidth="1" style="70" min="18" max="18"/>
    <col width="6.125" customWidth="1" style="70" min="19" max="19"/>
    <col width="6.5" customWidth="1" style="70" min="20" max="20"/>
    <col width="53.5083333333333" customWidth="1" style="70" min="21" max="21"/>
    <col width="9" customWidth="1" style="70" min="22" max="16384"/>
  </cols>
  <sheetData>
    <row r="1" ht="19.35" customHeight="1">
      <c r="A1" s="98" t="n"/>
      <c r="B1" s="17" t="n"/>
      <c r="C1" s="17" t="n"/>
      <c r="D1" s="17" t="n"/>
      <c r="E1" s="17" t="n"/>
      <c r="F1" s="10" t="inlineStr">
        <is>
          <t>3.8G_N77</t>
        </is>
      </c>
      <c r="G1" s="179" t="n"/>
      <c r="H1" s="180" t="n"/>
      <c r="I1" s="15" t="inlineStr">
        <is>
          <t>2.6G_N41</t>
        </is>
      </c>
      <c r="J1" s="179" t="n"/>
      <c r="K1" s="180" t="n"/>
      <c r="L1" s="17" t="n"/>
      <c r="M1" s="17" t="n"/>
      <c r="N1" s="17" t="n"/>
      <c r="O1" s="17" t="n"/>
      <c r="P1" s="17" t="n"/>
      <c r="Q1" s="78" t="inlineStr">
        <is>
          <t>Monitor</t>
        </is>
      </c>
      <c r="R1" s="179" t="n"/>
      <c r="S1" s="179" t="n"/>
      <c r="T1" s="180" t="n"/>
    </row>
    <row r="2" ht="20.1" customHeight="1">
      <c r="A2" s="5" t="inlineStr">
        <is>
          <t>No</t>
        </is>
      </c>
      <c r="B2" s="5" t="inlineStr">
        <is>
          <t>Province</t>
        </is>
      </c>
      <c r="C2" s="5" t="inlineStr">
        <is>
          <t>Site Name</t>
        </is>
      </c>
      <c r="D2" s="6" t="inlineStr">
        <is>
          <t>OM Link Status</t>
        </is>
      </c>
      <c r="E2" s="5" t="inlineStr">
        <is>
          <t>Site Status</t>
        </is>
      </c>
      <c r="F2" s="12" t="inlineStr">
        <is>
          <t>Plan On-air</t>
        </is>
      </c>
      <c r="G2" s="12" t="inlineStr">
        <is>
          <t>On-air Day</t>
        </is>
      </c>
      <c r="H2" s="12" t="inlineStr">
        <is>
          <t>On-air Time</t>
        </is>
      </c>
      <c r="I2" s="18" t="inlineStr">
        <is>
          <t>Plan On-air</t>
        </is>
      </c>
      <c r="J2" s="18" t="inlineStr">
        <is>
          <t>On-air Day</t>
        </is>
      </c>
      <c r="K2" s="18" t="inlineStr">
        <is>
          <t>On-air Time</t>
        </is>
      </c>
      <c r="L2" s="6" t="inlineStr">
        <is>
          <t>Post Swap Scripts</t>
        </is>
      </c>
      <c r="M2" s="6" t="inlineStr">
        <is>
          <t>NSN-&gt;HW Neighbors</t>
        </is>
      </c>
      <c r="N2" s="6" t="inlineStr">
        <is>
          <t xml:space="preserve">CQT Start Time </t>
        </is>
      </c>
      <c r="O2" s="6" t="inlineStr">
        <is>
          <t>CQT Complete Time</t>
        </is>
      </c>
      <c r="P2" s="5" t="inlineStr">
        <is>
          <t>Remark</t>
        </is>
      </c>
      <c r="Q2" s="25" t="inlineStr">
        <is>
          <t>NEName_New</t>
        </is>
      </c>
      <c r="R2" s="26" t="inlineStr">
        <is>
          <t>NEname_Old</t>
        </is>
      </c>
      <c r="S2" s="27" t="inlineStr">
        <is>
          <t>Batch</t>
        </is>
      </c>
      <c r="T2" s="26" t="inlineStr">
        <is>
          <t>Vendor</t>
        </is>
      </c>
      <c r="U2" s="29" t="inlineStr">
        <is>
          <t>Alarm（update on May 20 10:00)</t>
        </is>
      </c>
      <c r="V2" t="inlineStr">
        <is>
          <t>RFI Date</t>
        </is>
      </c>
    </row>
    <row r="3">
      <c r="A3" s="98" t="n">
        <v>1</v>
      </c>
      <c r="B3" s="17" t="inlineStr">
        <is>
          <t>Hai Phong</t>
        </is>
      </c>
      <c r="C3" s="9" t="inlineStr">
        <is>
          <t>HPG_CHI_DONG_BAI</t>
        </is>
      </c>
      <c r="D3" s="9" t="n"/>
      <c r="E3" s="98" t="inlineStr">
        <is>
          <t>On Air</t>
        </is>
      </c>
      <c r="F3" s="13" t="n"/>
      <c r="G3" s="13" t="n">
        <v>46141</v>
      </c>
      <c r="H3" s="14" t="n"/>
      <c r="I3" s="13" t="n">
        <v>46141</v>
      </c>
      <c r="J3" s="13" t="n">
        <v>46141</v>
      </c>
      <c r="K3" s="14" t="n">
        <v>0.7916666666666666</v>
      </c>
      <c r="L3" s="14" t="n"/>
      <c r="M3" s="14" t="n"/>
      <c r="N3" s="14" t="n"/>
      <c r="O3" s="14" t="n"/>
      <c r="P3" s="17" t="inlineStr">
        <is>
          <t>Newbuild 5G Dual (2.6 64T + 3.8 64T)</t>
        </is>
      </c>
      <c r="Q3" s="181" t="inlineStr">
        <is>
          <t>HPGCHI02_5G</t>
        </is>
      </c>
      <c r="R3" s="98" t="inlineStr">
        <is>
          <t>HPG_CHI_DONG_BAI_4G</t>
        </is>
      </c>
      <c r="S3" s="78" t="inlineStr">
        <is>
          <t>batch1</t>
        </is>
      </c>
      <c r="T3" s="98" t="inlineStr">
        <is>
          <t>HUA</t>
        </is>
      </c>
    </row>
    <row r="4">
      <c r="A4" s="98" t="n">
        <v>2</v>
      </c>
      <c r="B4" s="17" t="inlineStr">
        <is>
          <t>Hai Phong</t>
        </is>
      </c>
      <c r="C4" s="17" t="inlineStr">
        <is>
          <t>HPG_TNN_TT_HANH_CHINH_2_01R</t>
        </is>
      </c>
      <c r="D4" s="17" t="n"/>
      <c r="E4" s="98" t="inlineStr">
        <is>
          <t>On Air</t>
        </is>
      </c>
      <c r="F4" s="17" t="n"/>
      <c r="G4" s="182" t="n">
        <v>46149</v>
      </c>
      <c r="H4" s="17" t="n"/>
      <c r="I4" s="13" t="n">
        <v>46149</v>
      </c>
      <c r="J4" s="13" t="n">
        <v>46149</v>
      </c>
      <c r="K4" s="14" t="n">
        <v>0.6597222222222222</v>
      </c>
      <c r="L4" s="14" t="n"/>
      <c r="M4" s="14" t="n"/>
      <c r="N4" s="14" t="n"/>
      <c r="O4" s="14" t="n"/>
      <c r="P4" s="17" t="inlineStr">
        <is>
          <t>Newbuild 5G Dual (2.6 64T + 3.8 64T)</t>
        </is>
      </c>
      <c r="Q4" s="96" t="inlineStr">
        <is>
          <t>HPGTNN57_5G</t>
        </is>
      </c>
      <c r="R4" s="78" t="inlineStr">
        <is>
          <t>HPG_TNN_TT_HANH_CHINH_2_4G</t>
        </is>
      </c>
      <c r="S4" s="78" t="inlineStr">
        <is>
          <t>batch1</t>
        </is>
      </c>
      <c r="T4" s="98" t="inlineStr">
        <is>
          <t>HUA</t>
        </is>
      </c>
      <c r="U4" s="70" t="inlineStr">
        <is>
          <t>5G,RF Unit DC Input Power Failure,5G,RF Unit Maintenance Link Failure</t>
        </is>
      </c>
    </row>
    <row r="5">
      <c r="A5" s="98" t="n">
        <v>3</v>
      </c>
      <c r="B5" s="17" t="inlineStr">
        <is>
          <t>Hai Phong</t>
        </is>
      </c>
      <c r="C5" s="17" t="inlineStr">
        <is>
          <t>HPG_CHI_CAT_BA_4</t>
        </is>
      </c>
      <c r="D5" s="17" t="n"/>
      <c r="E5" s="98" t="inlineStr">
        <is>
          <t>On Air</t>
        </is>
      </c>
      <c r="F5" s="17" t="n"/>
      <c r="G5" s="182" t="n">
        <v>46150</v>
      </c>
      <c r="H5" s="17" t="n"/>
      <c r="I5" s="13" t="n">
        <v>46149</v>
      </c>
      <c r="J5" s="13" t="n">
        <v>46150</v>
      </c>
      <c r="K5" s="14" t="n">
        <v>0.3958333333333333</v>
      </c>
      <c r="L5" s="14" t="n"/>
      <c r="M5" s="14" t="n"/>
      <c r="N5" s="14" t="n"/>
      <c r="O5" s="14" t="n"/>
      <c r="P5" s="148" t="inlineStr">
        <is>
          <t>Newbuild 5G Single 2.6 32T</t>
        </is>
      </c>
      <c r="Q5" s="97" t="inlineStr">
        <is>
          <t>HPGCHI07_5G</t>
        </is>
      </c>
      <c r="R5" s="78" t="inlineStr">
        <is>
          <t>HPG_CHI_CAT_BA_4_4G</t>
        </is>
      </c>
      <c r="S5" s="78" t="inlineStr">
        <is>
          <t>batch1</t>
        </is>
      </c>
      <c r="T5" s="98" t="inlineStr">
        <is>
          <t>HUA</t>
        </is>
      </c>
    </row>
    <row r="6">
      <c r="A6" s="98" t="n">
        <v>4</v>
      </c>
      <c r="B6" s="17" t="inlineStr">
        <is>
          <t>Hai Phong</t>
        </is>
      </c>
      <c r="C6" s="17" t="inlineStr">
        <is>
          <t>HDG_CGG_DUC_CHINH_3</t>
        </is>
      </c>
      <c r="D6" s="17" t="n"/>
      <c r="E6" s="98" t="n"/>
      <c r="F6" s="13" t="n"/>
      <c r="G6" s="13" t="n"/>
      <c r="H6" s="14" t="n"/>
      <c r="I6" s="19" t="inlineStr">
        <is>
          <t>NA</t>
        </is>
      </c>
      <c r="J6" s="13" t="n"/>
      <c r="K6" s="14" t="n"/>
      <c r="L6" s="14" t="n"/>
      <c r="M6" s="14" t="n"/>
      <c r="N6" s="14" t="n"/>
      <c r="O6" s="14" t="n"/>
      <c r="P6" s="148" t="inlineStr">
        <is>
          <t>Newbuild 5G Single 2.6 32T</t>
        </is>
      </c>
      <c r="Q6" s="78" t="inlineStr">
        <is>
          <t>HPGVHA10_5G</t>
        </is>
      </c>
      <c r="R6" s="98" t="inlineStr">
        <is>
          <t>HDG_CGG_DUC_CHINH_3_4G</t>
        </is>
      </c>
      <c r="S6" s="78" t="inlineStr">
        <is>
          <t>batch1</t>
        </is>
      </c>
      <c r="T6" s="98" t="inlineStr">
        <is>
          <t>HUA</t>
        </is>
      </c>
      <c r="V6" s="177" t="n">
        <v>46134</v>
      </c>
    </row>
    <row r="7">
      <c r="A7" s="98" t="n">
        <v>5</v>
      </c>
      <c r="B7" s="148" t="inlineStr">
        <is>
          <t>Hung Yen</t>
        </is>
      </c>
      <c r="C7" s="17" t="inlineStr">
        <is>
          <t>HYN_VLM_CHI_DAO_2</t>
        </is>
      </c>
      <c r="D7" s="17" t="n"/>
      <c r="E7" s="17" t="n"/>
      <c r="F7" s="17" t="n"/>
      <c r="G7" s="17" t="n"/>
      <c r="H7" s="17" t="n"/>
      <c r="I7" s="20" t="n">
        <v>46160</v>
      </c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</row>
    <row r="8">
      <c r="A8" s="98" t="n">
        <v>6</v>
      </c>
      <c r="B8" s="148" t="inlineStr">
        <is>
          <t>Thai Nguyen</t>
        </is>
      </c>
      <c r="C8" s="17" t="inlineStr">
        <is>
          <t>TNN_PBH_THUONG_DINH_2</t>
        </is>
      </c>
      <c r="D8" s="17" t="n"/>
      <c r="E8" s="17" t="n"/>
      <c r="F8" s="17" t="n"/>
      <c r="G8" s="17" t="n"/>
      <c r="H8" s="17" t="n"/>
      <c r="I8" s="20" t="n">
        <v>46160</v>
      </c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V8" s="177" t="n">
        <v>46134</v>
      </c>
    </row>
    <row r="9">
      <c r="A9" s="98" t="n">
        <v>7</v>
      </c>
      <c r="B9" s="148" t="inlineStr">
        <is>
          <t>Hai Duong</t>
        </is>
      </c>
      <c r="C9" s="17" t="inlineStr">
        <is>
          <t>HDG_CGG_CAM_DINH</t>
        </is>
      </c>
      <c r="D9" s="17" t="n"/>
      <c r="E9" s="17" t="n"/>
      <c r="F9" s="17" t="n"/>
      <c r="G9" s="17" t="n"/>
      <c r="H9" s="17" t="n"/>
      <c r="I9" s="20" t="n">
        <v>46160</v>
      </c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V9" s="177" t="n">
        <v>46134</v>
      </c>
    </row>
    <row r="10">
      <c r="A10" s="98" t="n">
        <v>8</v>
      </c>
      <c r="B10" s="148" t="inlineStr">
        <is>
          <t>Hai Duong</t>
        </is>
      </c>
      <c r="C10" s="17" t="inlineStr">
        <is>
          <t>HDG_CGG_CAM_GIANG_2</t>
        </is>
      </c>
      <c r="D10" s="17" t="n"/>
      <c r="E10" s="17" t="n"/>
      <c r="F10" s="17" t="n"/>
      <c r="G10" s="17" t="n"/>
      <c r="H10" s="17" t="n"/>
      <c r="I10" s="20" t="n">
        <v>46160</v>
      </c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V10" s="177" t="n">
        <v>46134</v>
      </c>
    </row>
    <row r="11">
      <c r="A11" s="98" t="n">
        <v>9</v>
      </c>
      <c r="B11" s="148" t="inlineStr">
        <is>
          <t>Hai Duong</t>
        </is>
      </c>
      <c r="C11" s="17" t="inlineStr">
        <is>
          <t>HDG_CGG_CAM_PHUC</t>
        </is>
      </c>
      <c r="D11" s="17" t="n"/>
      <c r="E11" s="17" t="n"/>
      <c r="F11" s="17" t="n"/>
      <c r="G11" s="17" t="n"/>
      <c r="H11" s="17" t="n"/>
      <c r="I11" s="20" t="n">
        <v>46160</v>
      </c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V11" s="177" t="n">
        <v>46134</v>
      </c>
    </row>
    <row r="12">
      <c r="A12" s="98" t="n">
        <v>10</v>
      </c>
      <c r="B12" s="148" t="inlineStr">
        <is>
          <t>Hai Duong</t>
        </is>
      </c>
      <c r="C12" s="17" t="inlineStr">
        <is>
          <t>HDG_CGG_CAM_VU</t>
        </is>
      </c>
      <c r="D12" s="17" t="n"/>
      <c r="E12" s="17" t="n"/>
      <c r="F12" s="17" t="n"/>
      <c r="G12" s="17" t="n"/>
      <c r="H12" s="17" t="n"/>
      <c r="I12" s="20" t="n">
        <v>46160</v>
      </c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V12" s="177" t="n">
        <v>46134</v>
      </c>
    </row>
    <row r="13">
      <c r="A13" s="98" t="n">
        <v>11</v>
      </c>
      <c r="B13" s="148" t="inlineStr">
        <is>
          <t>Hai Duong</t>
        </is>
      </c>
      <c r="C13" s="17" t="inlineStr">
        <is>
          <t>HDG_CGG_CAO_AN</t>
        </is>
      </c>
      <c r="D13" s="17" t="n"/>
      <c r="E13" s="17" t="n"/>
      <c r="F13" s="17" t="n"/>
      <c r="G13" s="17" t="n"/>
      <c r="H13" s="17" t="n"/>
      <c r="I13" s="20" t="n">
        <v>46160</v>
      </c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V13" s="177" t="n">
        <v>46134</v>
      </c>
    </row>
    <row r="14">
      <c r="A14" s="98" t="n">
        <v>12</v>
      </c>
      <c r="B14" s="148" t="inlineStr">
        <is>
          <t>Hai Duong</t>
        </is>
      </c>
      <c r="C14" s="17" t="inlineStr">
        <is>
          <t>HDG_CGG_CAO_AN_2</t>
        </is>
      </c>
      <c r="D14" s="17" t="n"/>
      <c r="E14" s="17" t="n"/>
      <c r="F14" s="17" t="n"/>
      <c r="G14" s="17" t="n"/>
      <c r="H14" s="17" t="n"/>
      <c r="I14" s="20" t="n">
        <v>46160</v>
      </c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V14" s="177" t="n">
        <v>46134</v>
      </c>
    </row>
    <row r="15">
      <c r="A15" s="98" t="n">
        <v>13</v>
      </c>
      <c r="B15" s="148" t="inlineStr">
        <is>
          <t>Hung Yen</t>
        </is>
      </c>
      <c r="C15" s="17" t="inlineStr">
        <is>
          <t>HYN_YMY_LIEU_XA_3</t>
        </is>
      </c>
      <c r="D15" s="17" t="n"/>
      <c r="E15" s="17" t="n"/>
      <c r="F15" s="17" t="n"/>
      <c r="G15" s="17" t="n"/>
      <c r="H15" s="17" t="n"/>
      <c r="I15" s="20" t="n">
        <v>46160</v>
      </c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V15" s="177" t="n">
        <v>46134</v>
      </c>
    </row>
    <row r="16">
      <c r="A16" s="98" t="n">
        <v>14</v>
      </c>
      <c r="B16" s="148" t="inlineStr">
        <is>
          <t>Thai Binh</t>
        </is>
      </c>
      <c r="C16" s="17" t="inlineStr">
        <is>
          <t>TBH_DHG_DONG_XUAN</t>
        </is>
      </c>
      <c r="D16" s="17" t="n"/>
      <c r="E16" s="17" t="n"/>
      <c r="F16" s="17" t="n"/>
      <c r="G16" s="17" t="n"/>
      <c r="H16" s="17" t="n"/>
      <c r="I16" s="20" t="n">
        <v>46160</v>
      </c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V16" s="177" t="n">
        <v>46134</v>
      </c>
    </row>
    <row r="17">
      <c r="A17" s="98" t="n">
        <v>15</v>
      </c>
      <c r="B17" s="148" t="inlineStr">
        <is>
          <t>Ninh Binh</t>
        </is>
      </c>
      <c r="C17" s="17" t="inlineStr">
        <is>
          <t>NB_GVN_GIA_SINH_2</t>
        </is>
      </c>
      <c r="D17" s="148" t="n"/>
      <c r="E17" s="98" t="inlineStr">
        <is>
          <t>On Air</t>
        </is>
      </c>
      <c r="F17" s="17" t="n"/>
      <c r="G17" s="182" t="n">
        <v>46160</v>
      </c>
      <c r="H17" s="17" t="n"/>
      <c r="I17" s="20" t="n">
        <v>46160</v>
      </c>
      <c r="J17" s="20" t="n">
        <v>46160</v>
      </c>
      <c r="K17" s="94" t="n">
        <v>0.6923611111111111</v>
      </c>
      <c r="L17" s="17" t="n"/>
      <c r="M17" s="17" t="n"/>
      <c r="N17" s="17" t="n"/>
      <c r="O17" s="17" t="n"/>
      <c r="P17" s="17" t="n"/>
      <c r="Q17" s="148" t="inlineStr">
        <is>
          <t>NBHTHL03_5G</t>
        </is>
      </c>
      <c r="R17" s="17" t="n"/>
      <c r="S17" s="17" t="n"/>
      <c r="T17" s="17" t="n"/>
      <c r="V17" s="177" t="n">
        <v>46134</v>
      </c>
    </row>
  </sheetData>
  <autoFilter ref="A2:T17"/>
  <mergeCells count="3">
    <mergeCell ref="Q1:T1"/>
    <mergeCell ref="F1:H1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0"/>
  <sheetViews>
    <sheetView topLeftCell="V1" workbookViewId="0">
      <pane ySplit="2" topLeftCell="A3" activePane="bottomLeft" state="frozen"/>
      <selection activeCell="A1" sqref="A1"/>
      <selection pane="bottomLeft" activeCell="A3" sqref="A3"/>
    </sheetView>
  </sheetViews>
  <sheetFormatPr baseColWidth="8" defaultColWidth="9" defaultRowHeight="12.75"/>
  <cols>
    <col width="3.375" customWidth="1" style="67" min="1" max="1"/>
    <col width="7.25" customWidth="1" style="67" min="2" max="2"/>
    <col width="14.8333333333333" customWidth="1" style="70" min="3" max="3"/>
    <col width="11.925" customWidth="1" style="70" min="4" max="4"/>
    <col width="10.875" customWidth="1" style="67" min="5" max="5"/>
    <col width="7.5" customWidth="1" style="67" min="6" max="6"/>
    <col width="5.50833333333333" customWidth="1" style="70" min="7" max="7"/>
    <col width="10.275" customWidth="1" style="70" min="8" max="8"/>
    <col width="8.75" customWidth="1" style="70" min="9" max="9"/>
    <col width="9.375" customWidth="1" style="70" min="10" max="10"/>
    <col width="11.525" customWidth="1" style="70" min="11" max="11"/>
    <col width="8.75" customWidth="1" style="70" min="12" max="12"/>
    <col width="9.375" customWidth="1" style="70" min="13" max="13"/>
    <col width="8.41666666666667" customWidth="1" style="70" min="14" max="14"/>
    <col width="9.225" customWidth="1" style="70" min="15" max="15"/>
    <col width="10.2" customWidth="1" style="70" min="16" max="16"/>
    <col width="10.25" customWidth="1" style="70" min="17" max="17"/>
    <col width="32.7083333333333" customWidth="1" style="70" min="18" max="18"/>
    <col width="8.050000000000001" customWidth="1" style="67" min="19" max="19"/>
    <col width="8.074999999999999" customWidth="1" style="67" min="20" max="20"/>
    <col width="10.775" customWidth="1" style="70" min="21" max="21"/>
    <col width="7" customWidth="1" style="70" min="22" max="22"/>
    <col width="6" customWidth="1" style="70" min="23" max="23"/>
    <col width="50.375" customWidth="1" style="70" min="24" max="24"/>
    <col width="9" customWidth="1" style="70" min="25" max="16381"/>
    <col width="9" customWidth="1" style="70" min="16382" max="16384"/>
  </cols>
  <sheetData>
    <row r="1" ht="21.85" customHeight="1">
      <c r="A1" s="81" t="n"/>
      <c r="B1" s="81" t="n"/>
      <c r="C1" s="93" t="n"/>
      <c r="D1" s="93" t="n"/>
      <c r="E1" s="81" t="n"/>
      <c r="F1" s="81" t="n"/>
      <c r="G1" s="93" t="n"/>
      <c r="H1" s="11" t="inlineStr">
        <is>
          <t>4G</t>
        </is>
      </c>
      <c r="I1" s="179" t="n"/>
      <c r="J1" s="180" t="n"/>
      <c r="K1" s="16" t="inlineStr">
        <is>
          <t>5G</t>
        </is>
      </c>
      <c r="L1" s="179" t="n"/>
      <c r="M1" s="180" t="n"/>
      <c r="N1" s="93" t="n"/>
      <c r="O1" s="93" t="n"/>
      <c r="P1" s="93" t="n"/>
      <c r="Q1" s="93" t="n"/>
      <c r="R1" s="93" t="n"/>
      <c r="S1" s="163" t="inlineStr">
        <is>
          <t>Monitor</t>
        </is>
      </c>
      <c r="T1" s="179" t="n"/>
      <c r="U1" s="179" t="n"/>
      <c r="V1" s="179" t="n"/>
      <c r="W1" s="180" t="n"/>
      <c r="X1" s="93" t="n"/>
    </row>
    <row r="2" ht="39.5" customFormat="1" customHeight="1" s="67">
      <c r="A2" s="5" t="inlineStr">
        <is>
          <t>No</t>
        </is>
      </c>
      <c r="B2" s="5" t="inlineStr">
        <is>
          <t>Province</t>
        </is>
      </c>
      <c r="C2" s="5" t="inlineStr">
        <is>
          <t>Cluster</t>
        </is>
      </c>
      <c r="D2" s="83" t="inlineStr">
        <is>
          <t>Site Name</t>
        </is>
      </c>
      <c r="E2" s="86" t="inlineStr">
        <is>
          <t>OM Link Status</t>
        </is>
      </c>
      <c r="F2" s="86" t="inlineStr">
        <is>
          <t>Pre Swap Scripts</t>
        </is>
      </c>
      <c r="G2" s="83" t="inlineStr">
        <is>
          <t>Site Status</t>
        </is>
      </c>
      <c r="H2" s="12" t="inlineStr">
        <is>
          <t>Plan On-air</t>
        </is>
      </c>
      <c r="I2" s="12" t="inlineStr">
        <is>
          <t>On-air Day</t>
        </is>
      </c>
      <c r="J2" s="12" t="inlineStr">
        <is>
          <t>On-air Time</t>
        </is>
      </c>
      <c r="K2" s="18" t="inlineStr">
        <is>
          <t>Plan On-air</t>
        </is>
      </c>
      <c r="L2" s="18" t="inlineStr">
        <is>
          <t>On-air Day</t>
        </is>
      </c>
      <c r="M2" s="18" t="inlineStr">
        <is>
          <t>On-air Time</t>
        </is>
      </c>
      <c r="N2" s="86" t="inlineStr">
        <is>
          <t>Post Swap Scripts</t>
        </is>
      </c>
      <c r="O2" s="86" t="inlineStr">
        <is>
          <t>NSN-&gt;HW Neighbors</t>
        </is>
      </c>
      <c r="P2" s="86" t="inlineStr">
        <is>
          <t xml:space="preserve">CQT Start Time </t>
        </is>
      </c>
      <c r="Q2" s="86" t="inlineStr">
        <is>
          <t>CQT Complete Time</t>
        </is>
      </c>
      <c r="R2" s="5" t="inlineStr">
        <is>
          <t>Remark</t>
        </is>
      </c>
      <c r="S2" s="91" t="inlineStr">
        <is>
          <t>NEName_New4G</t>
        </is>
      </c>
      <c r="T2" s="91" t="inlineStr">
        <is>
          <t>NEName_New5G</t>
        </is>
      </c>
      <c r="U2" s="91" t="inlineStr">
        <is>
          <t>NEname_Old_4G_NSN</t>
        </is>
      </c>
      <c r="V2" s="27" t="inlineStr">
        <is>
          <t>batch</t>
        </is>
      </c>
      <c r="W2" s="27" t="inlineStr">
        <is>
          <t>Vendor</t>
        </is>
      </c>
      <c r="X2" s="6" t="inlineStr">
        <is>
          <t>Alarm（update on May 18 15:00)</t>
        </is>
      </c>
      <c r="Y2" t="inlineStr">
        <is>
          <t>RFI Date</t>
        </is>
      </c>
    </row>
    <row r="3" ht="15" customFormat="1" customHeight="1" s="79">
      <c r="A3" s="163" t="n">
        <v>1</v>
      </c>
      <c r="B3" s="88" t="inlineStr">
        <is>
          <t>Da Nang</t>
        </is>
      </c>
      <c r="C3" s="75" t="inlineStr">
        <is>
          <t>Hoa Vang 2</t>
        </is>
      </c>
      <c r="D3" s="75" t="inlineStr">
        <is>
          <t>DNHV13</t>
        </is>
      </c>
      <c r="E3" s="163" t="n"/>
      <c r="F3" s="163" t="n"/>
      <c r="G3" s="88" t="n"/>
      <c r="H3" s="183" t="n">
        <v>46162</v>
      </c>
      <c r="I3" s="88" t="n"/>
      <c r="J3" s="88" t="n"/>
      <c r="K3" s="183" t="n">
        <v>46162</v>
      </c>
      <c r="L3" s="89" t="n"/>
      <c r="M3" s="88" t="n"/>
      <c r="N3" s="88" t="n"/>
      <c r="O3" s="88" t="n"/>
      <c r="P3" s="88" t="n"/>
      <c r="Q3" s="88" t="n"/>
      <c r="R3" s="92" t="inlineStr">
        <is>
          <t>Swap 4G + Newbuild 5G Single 2.6 32T</t>
        </is>
      </c>
      <c r="S3" s="163" t="n"/>
      <c r="T3" s="163" t="n"/>
      <c r="U3" s="88" t="n"/>
      <c r="V3" s="88" t="inlineStr">
        <is>
          <t>Batch 1</t>
        </is>
      </c>
      <c r="W3" s="88" t="inlineStr">
        <is>
          <t>NSN</t>
        </is>
      </c>
      <c r="X3" s="88" t="n"/>
      <c r="Y3" s="177" t="n">
        <v>46148</v>
      </c>
    </row>
    <row r="4" ht="15" customFormat="1" customHeight="1" s="79">
      <c r="A4" s="163" t="n">
        <v>2</v>
      </c>
      <c r="B4" s="88" t="inlineStr">
        <is>
          <t>Da Nang</t>
        </is>
      </c>
      <c r="C4" s="75" t="inlineStr">
        <is>
          <t>Hoa Vang 2</t>
        </is>
      </c>
      <c r="D4" s="75" t="inlineStr">
        <is>
          <t>DNHV20</t>
        </is>
      </c>
      <c r="E4" s="163" t="n"/>
      <c r="F4" s="163" t="n"/>
      <c r="G4" s="88" t="n"/>
      <c r="H4" s="183" t="n">
        <v>46162</v>
      </c>
      <c r="I4" s="88" t="n"/>
      <c r="J4" s="88" t="n"/>
      <c r="K4" s="183" t="n">
        <v>46162</v>
      </c>
      <c r="L4" s="88" t="n"/>
      <c r="M4" s="88" t="n"/>
      <c r="N4" s="88" t="n"/>
      <c r="O4" s="88" t="n"/>
      <c r="P4" s="88" t="n"/>
      <c r="Q4" s="88" t="n"/>
      <c r="R4" s="92" t="inlineStr">
        <is>
          <t>Swap 4G + Newbuild 5G Single 2.6 32T</t>
        </is>
      </c>
      <c r="S4" s="163" t="n"/>
      <c r="T4" s="163" t="n"/>
      <c r="U4" s="88" t="n"/>
      <c r="V4" s="88" t="inlineStr">
        <is>
          <t>Batch 1</t>
        </is>
      </c>
      <c r="W4" s="88" t="inlineStr">
        <is>
          <t>NSN</t>
        </is>
      </c>
      <c r="X4" s="88" t="n"/>
      <c r="Y4" s="177" t="n">
        <v>46141</v>
      </c>
    </row>
    <row r="5" ht="15" customFormat="1" customHeight="1" s="79">
      <c r="A5" s="163" t="n">
        <v>3</v>
      </c>
      <c r="B5" s="88" t="inlineStr">
        <is>
          <t>Da Nang</t>
        </is>
      </c>
      <c r="C5" s="75" t="inlineStr">
        <is>
          <t>Hoa Vang 2</t>
        </is>
      </c>
      <c r="D5" s="75" t="inlineStr">
        <is>
          <t>DNHV41</t>
        </is>
      </c>
      <c r="E5" s="163" t="n"/>
      <c r="F5" s="163" t="n"/>
      <c r="G5" s="88" t="n"/>
      <c r="H5" s="183" t="n">
        <v>46162</v>
      </c>
      <c r="I5" s="88" t="n"/>
      <c r="J5" s="88" t="n"/>
      <c r="K5" s="183" t="n">
        <v>46162</v>
      </c>
      <c r="L5" s="88" t="n"/>
      <c r="M5" s="88" t="n"/>
      <c r="N5" s="88" t="n"/>
      <c r="O5" s="88" t="n"/>
      <c r="P5" s="88" t="n"/>
      <c r="Q5" s="88" t="n"/>
      <c r="R5" s="92" t="inlineStr">
        <is>
          <t>Swap 4G + Newbuild 5G Single 2.6 32T</t>
        </is>
      </c>
      <c r="S5" s="163" t="n"/>
      <c r="T5" s="163" t="n"/>
      <c r="U5" s="88" t="n"/>
      <c r="V5" s="88" t="inlineStr">
        <is>
          <t>Batch 1</t>
        </is>
      </c>
      <c r="W5" s="88" t="inlineStr">
        <is>
          <t>NSN</t>
        </is>
      </c>
      <c r="X5" s="88" t="n"/>
      <c r="Y5" s="177" t="n">
        <v>46153</v>
      </c>
    </row>
    <row r="6" ht="15" customFormat="1" customHeight="1" s="79">
      <c r="A6" s="163" t="n">
        <v>4</v>
      </c>
      <c r="B6" s="88" t="inlineStr">
        <is>
          <t>Da Nang</t>
        </is>
      </c>
      <c r="C6" s="75" t="inlineStr">
        <is>
          <t>Hoa Vang 2</t>
        </is>
      </c>
      <c r="D6" s="75" t="inlineStr">
        <is>
          <t>DNHV56</t>
        </is>
      </c>
      <c r="E6" s="163" t="n"/>
      <c r="F6" s="163" t="n"/>
      <c r="G6" s="88" t="n"/>
      <c r="H6" s="183" t="n">
        <v>46162</v>
      </c>
      <c r="I6" s="88" t="n"/>
      <c r="J6" s="88" t="n"/>
      <c r="K6" s="183" t="n">
        <v>46162</v>
      </c>
      <c r="L6" s="88" t="n"/>
      <c r="M6" s="88" t="n"/>
      <c r="N6" s="88" t="n"/>
      <c r="O6" s="88" t="n"/>
      <c r="P6" s="88" t="n"/>
      <c r="Q6" s="88" t="n"/>
      <c r="R6" s="92" t="inlineStr">
        <is>
          <t>Swap 4G + Newbuild 5G Single 2.6 32T</t>
        </is>
      </c>
      <c r="S6" s="163" t="n"/>
      <c r="T6" s="163" t="n"/>
      <c r="U6" s="88" t="n"/>
      <c r="V6" s="88" t="inlineStr">
        <is>
          <t>Batch 1</t>
        </is>
      </c>
      <c r="W6" s="88" t="inlineStr">
        <is>
          <t>NSN</t>
        </is>
      </c>
      <c r="X6" s="88" t="n"/>
      <c r="Y6" s="177" t="n">
        <v>46155</v>
      </c>
    </row>
    <row r="7" ht="15" customFormat="1" customHeight="1" s="79">
      <c r="A7" s="163" t="n">
        <v>5</v>
      </c>
      <c r="B7" s="88" t="inlineStr">
        <is>
          <t>Da Nang</t>
        </is>
      </c>
      <c r="C7" s="75" t="inlineStr">
        <is>
          <t>Hoa Vang 2</t>
        </is>
      </c>
      <c r="D7" s="75" t="inlineStr">
        <is>
          <t>DNHV63</t>
        </is>
      </c>
      <c r="E7" s="163" t="n"/>
      <c r="F7" s="163" t="n"/>
      <c r="G7" s="88" t="n"/>
      <c r="H7" s="183" t="n">
        <v>46162</v>
      </c>
      <c r="I7" s="88" t="n"/>
      <c r="J7" s="88" t="n"/>
      <c r="K7" s="183" t="n">
        <v>46162</v>
      </c>
      <c r="L7" s="88" t="n"/>
      <c r="M7" s="88" t="n"/>
      <c r="N7" s="88" t="n"/>
      <c r="O7" s="88" t="n"/>
      <c r="P7" s="88" t="n"/>
      <c r="Q7" s="88" t="n"/>
      <c r="R7" s="92" t="inlineStr">
        <is>
          <t>Swap 4G + Newbuild 5G Single 2.6 32T</t>
        </is>
      </c>
      <c r="S7" s="163" t="n"/>
      <c r="T7" s="163" t="n"/>
      <c r="U7" s="88" t="n"/>
      <c r="V7" s="88" t="inlineStr">
        <is>
          <t>Batch 1</t>
        </is>
      </c>
      <c r="W7" s="88" t="inlineStr">
        <is>
          <t>NSN</t>
        </is>
      </c>
      <c r="X7" s="88" t="n"/>
      <c r="Y7" s="177" t="n">
        <v>46150</v>
      </c>
    </row>
    <row r="8" ht="15" customFormat="1" customHeight="1" s="79">
      <c r="A8" s="163" t="n">
        <v>6</v>
      </c>
      <c r="B8" s="88" t="inlineStr">
        <is>
          <t>Da Nang</t>
        </is>
      </c>
      <c r="C8" s="75" t="inlineStr">
        <is>
          <t>Hoa Vang 2</t>
        </is>
      </c>
      <c r="D8" s="75" t="inlineStr">
        <is>
          <t>DNHV79</t>
        </is>
      </c>
      <c r="E8" s="163" t="n"/>
      <c r="F8" s="163" t="n"/>
      <c r="G8" s="88" t="n"/>
      <c r="H8" s="183" t="n">
        <v>46162</v>
      </c>
      <c r="I8" s="88" t="n"/>
      <c r="J8" s="88" t="n"/>
      <c r="K8" s="183" t="n">
        <v>46162</v>
      </c>
      <c r="L8" s="88" t="n"/>
      <c r="M8" s="88" t="n"/>
      <c r="N8" s="88" t="n"/>
      <c r="O8" s="88" t="n"/>
      <c r="P8" s="88" t="n"/>
      <c r="Q8" s="88" t="n"/>
      <c r="R8" s="92" t="inlineStr">
        <is>
          <t>Swap 4G + Newbuild 5G Single 2.6 32T</t>
        </is>
      </c>
      <c r="S8" s="163" t="n"/>
      <c r="T8" s="163" t="n"/>
      <c r="U8" s="88" t="n"/>
      <c r="V8" s="88" t="inlineStr">
        <is>
          <t>Batch 1</t>
        </is>
      </c>
      <c r="W8" s="88" t="inlineStr">
        <is>
          <t>NSN</t>
        </is>
      </c>
      <c r="X8" s="88" t="n"/>
      <c r="Y8" s="177" t="n">
        <v>46150</v>
      </c>
    </row>
    <row r="9" ht="14.25" customHeight="1">
      <c r="S9" s="58" t="n"/>
    </row>
    <row r="10" ht="14.25" customHeight="1">
      <c r="S10" s="58" t="n"/>
    </row>
    <row r="11" ht="14.25" customHeight="1">
      <c r="S11" s="58" t="n"/>
    </row>
    <row r="12" ht="14.25" customHeight="1">
      <c r="S12" s="58" t="n"/>
    </row>
    <row r="13" ht="14.25" customHeight="1">
      <c r="S13" s="58" t="n"/>
    </row>
    <row r="14" ht="14.25" customHeight="1">
      <c r="S14" s="58" t="n"/>
    </row>
    <row r="15" ht="14.25" customHeight="1">
      <c r="S15" s="58" t="n"/>
    </row>
    <row r="16" ht="14.25" customHeight="1">
      <c r="S16" s="58" t="n"/>
    </row>
    <row r="17" ht="14.25" customHeight="1">
      <c r="S17" s="58" t="n"/>
    </row>
    <row r="18" ht="14.25" customHeight="1">
      <c r="S18" s="58" t="n"/>
    </row>
    <row r="19" ht="14.25" customHeight="1">
      <c r="S19" s="58" t="n"/>
    </row>
    <row r="20" ht="14.25" customHeight="1">
      <c r="S20" s="58" t="n"/>
    </row>
  </sheetData>
  <mergeCells count="3">
    <mergeCell ref="H1:J1"/>
    <mergeCell ref="S1:W1"/>
    <mergeCell ref="K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7"/>
  <sheetViews>
    <sheetView workbookViewId="0">
      <pane xSplit="1" ySplit="2" topLeftCell="T6" activePane="bottomRight" state="frozen"/>
      <selection activeCell="A1" sqref="A1"/>
      <selection pane="topRight" activeCell="A1" sqref="A1"/>
      <selection pane="bottomLeft" activeCell="A1" sqref="A1"/>
      <selection pane="bottomRight" activeCell="B3" sqref="B3"/>
    </sheetView>
  </sheetViews>
  <sheetFormatPr baseColWidth="8" defaultColWidth="9" defaultRowHeight="12.75"/>
  <cols>
    <col width="3.375" customWidth="1" style="67" min="1" max="1"/>
    <col width="9.75" customWidth="1" style="70" min="2" max="2"/>
    <col width="8.5" customWidth="1" style="70" min="3" max="3"/>
    <col width="23.5666666666667" customWidth="1" style="70" min="4" max="4"/>
    <col width="8.625" customWidth="1" style="70" min="5" max="5"/>
    <col width="15.25" customWidth="1" style="70" min="6" max="6"/>
    <col width="11.125" customWidth="1" style="70" min="7" max="7"/>
    <col width="15.5" customWidth="1" style="70" min="8" max="8"/>
    <col width="12.65" customWidth="1" style="70" min="9" max="9"/>
    <col width="12.475" customWidth="1" style="70" min="10" max="10"/>
    <col width="9.375" customWidth="1" style="70" min="11" max="11"/>
    <col width="15" customWidth="1" style="70" min="12" max="12"/>
    <col width="20.25" customWidth="1" style="70" min="13" max="13"/>
    <col width="15.625" customWidth="1" style="70" min="14" max="14"/>
    <col width="17.875" customWidth="1" style="70" min="15" max="15"/>
    <col width="29.825" customWidth="1" style="70" min="16" max="16"/>
    <col width="11.5" customWidth="1" style="70" min="17" max="17"/>
    <col width="18.225" customWidth="1" style="70" min="18" max="18"/>
    <col width="8.475" customWidth="1" style="70" min="19" max="19"/>
    <col width="10.375" customWidth="1" style="70" min="20" max="20"/>
    <col width="53.5083333333333" customWidth="1" style="70" min="21" max="21"/>
    <col width="9" customWidth="1" style="70" min="22" max="16384"/>
  </cols>
  <sheetData>
    <row r="1" ht="19.35" customHeight="1">
      <c r="A1" s="98" t="n"/>
      <c r="B1" s="17" t="n"/>
      <c r="C1" s="17" t="n"/>
      <c r="D1" s="59" t="inlineStr">
        <is>
          <t>Hoang Van Gia Toan 60079944</t>
        </is>
      </c>
      <c r="E1" s="17" t="n"/>
      <c r="F1" s="10" t="inlineStr">
        <is>
          <t>3.8G_N77</t>
        </is>
      </c>
      <c r="G1" s="179" t="n"/>
      <c r="H1" s="180" t="n"/>
      <c r="I1" s="15" t="inlineStr">
        <is>
          <t>2.6G_N41</t>
        </is>
      </c>
      <c r="J1" s="179" t="n"/>
      <c r="K1" s="180" t="n"/>
      <c r="L1" s="17" t="n"/>
      <c r="M1" s="17" t="n"/>
      <c r="N1" s="59" t="inlineStr">
        <is>
          <t>Pham Duy Thanh 60118201</t>
        </is>
      </c>
      <c r="O1" s="59" t="inlineStr">
        <is>
          <t>Pham Duy Thanh 60118201</t>
        </is>
      </c>
      <c r="P1" s="17" t="n"/>
      <c r="Q1" s="78" t="inlineStr">
        <is>
          <t>Monitor</t>
        </is>
      </c>
      <c r="R1" s="179" t="n"/>
      <c r="S1" s="179" t="n"/>
      <c r="T1" s="180" t="n"/>
    </row>
    <row r="2" ht="20.1" customHeight="1">
      <c r="A2" s="5" t="inlineStr">
        <is>
          <t>No</t>
        </is>
      </c>
      <c r="B2" s="5" t="inlineStr">
        <is>
          <t>Province</t>
        </is>
      </c>
      <c r="C2" s="5" t="inlineStr">
        <is>
          <t>Site Name</t>
        </is>
      </c>
      <c r="D2" s="6" t="inlineStr">
        <is>
          <t>OM Link Status</t>
        </is>
      </c>
      <c r="E2" s="5" t="inlineStr">
        <is>
          <t>Site Status</t>
        </is>
      </c>
      <c r="F2" s="12" t="inlineStr">
        <is>
          <t>Plan On-air</t>
        </is>
      </c>
      <c r="G2" s="12" t="inlineStr">
        <is>
          <t>On-air Day</t>
        </is>
      </c>
      <c r="H2" s="12" t="inlineStr">
        <is>
          <t>On-air Time</t>
        </is>
      </c>
      <c r="I2" s="18" t="inlineStr">
        <is>
          <t>Plan On-air</t>
        </is>
      </c>
      <c r="J2" s="18" t="inlineStr">
        <is>
          <t>On-air Day</t>
        </is>
      </c>
      <c r="K2" s="18" t="inlineStr">
        <is>
          <t>On-air Time</t>
        </is>
      </c>
      <c r="L2" s="6" t="inlineStr">
        <is>
          <t>Post Swap Scripts</t>
        </is>
      </c>
      <c r="M2" s="6" t="inlineStr">
        <is>
          <t>NSN-&gt;HW Neighbors</t>
        </is>
      </c>
      <c r="N2" s="6" t="inlineStr">
        <is>
          <t xml:space="preserve">CQT Start Time </t>
        </is>
      </c>
      <c r="O2" s="6" t="inlineStr">
        <is>
          <t>CQT Complete Time</t>
        </is>
      </c>
      <c r="P2" s="5" t="inlineStr">
        <is>
          <t>Remark</t>
        </is>
      </c>
      <c r="Q2" s="25" t="inlineStr">
        <is>
          <t>NEName_New</t>
        </is>
      </c>
      <c r="R2" s="26" t="inlineStr">
        <is>
          <t>NEname_Old</t>
        </is>
      </c>
      <c r="S2" s="27" t="inlineStr">
        <is>
          <t>Batch</t>
        </is>
      </c>
      <c r="T2" s="26" t="inlineStr">
        <is>
          <t>Vendor</t>
        </is>
      </c>
      <c r="U2" s="29" t="inlineStr">
        <is>
          <t>Alarm（update on May 18 15:00)</t>
        </is>
      </c>
    </row>
    <row r="3">
      <c r="A3" s="98" t="n">
        <v>1</v>
      </c>
      <c r="B3" s="148" t="inlineStr">
        <is>
          <t>Da Nang</t>
        </is>
      </c>
      <c r="C3" s="75" t="inlineStr">
        <is>
          <t>DNNH26</t>
        </is>
      </c>
      <c r="D3" s="98" t="inlineStr">
        <is>
          <t>Connected</t>
        </is>
      </c>
      <c r="E3" s="98" t="inlineStr">
        <is>
          <t>On Air</t>
        </is>
      </c>
      <c r="F3" s="13" t="n"/>
      <c r="G3" s="13" t="n"/>
      <c r="H3" s="14" t="n"/>
      <c r="I3" s="183" t="n">
        <v>46168</v>
      </c>
      <c r="J3" s="184" t="n">
        <v>46158</v>
      </c>
      <c r="K3" s="185" t="n">
        <v>0.6770833333333334</v>
      </c>
      <c r="L3" s="14" t="n"/>
      <c r="M3" s="14" t="n"/>
      <c r="N3" s="14" t="n"/>
      <c r="O3" s="14" t="n"/>
      <c r="P3" s="75" t="inlineStr">
        <is>
          <t>Newbuild 5G Single 2.6 32T</t>
        </is>
      </c>
      <c r="Q3" s="77" t="inlineStr">
        <is>
          <t>DNGNHS43-5G</t>
        </is>
      </c>
      <c r="R3" s="98" t="n"/>
      <c r="S3" s="78" t="n"/>
      <c r="T3" s="78" t="inlineStr">
        <is>
          <t>HUA</t>
        </is>
      </c>
    </row>
    <row r="4">
      <c r="A4" s="98" t="n">
        <v>2</v>
      </c>
      <c r="B4" s="148" t="inlineStr">
        <is>
          <t>Da Nang</t>
        </is>
      </c>
      <c r="C4" s="76" t="inlineStr">
        <is>
          <t>DNNH2B</t>
        </is>
      </c>
      <c r="D4" s="98" t="inlineStr">
        <is>
          <t>Connected</t>
        </is>
      </c>
      <c r="E4" s="98" t="inlineStr">
        <is>
          <t>On Air</t>
        </is>
      </c>
      <c r="F4" s="17" t="n"/>
      <c r="G4" s="17" t="n"/>
      <c r="H4" s="17" t="n"/>
      <c r="I4" s="186" t="n">
        <v>46168</v>
      </c>
      <c r="J4" s="187" t="n">
        <v>46158</v>
      </c>
      <c r="K4" s="185" t="n">
        <v>0.6354166666666666</v>
      </c>
      <c r="L4" s="14" t="n"/>
      <c r="M4" s="14" t="n"/>
      <c r="N4" s="14" t="n"/>
      <c r="O4" s="14" t="n"/>
      <c r="P4" s="76" t="inlineStr">
        <is>
          <t>Newbuild 5G Single 2.6 32T</t>
        </is>
      </c>
      <c r="Q4" s="77" t="inlineStr">
        <is>
          <t>DNGNHS48-5G</t>
        </is>
      </c>
      <c r="R4" s="78" t="n"/>
      <c r="S4" s="78" t="n"/>
      <c r="T4" s="78" t="inlineStr">
        <is>
          <t>HUA</t>
        </is>
      </c>
    </row>
    <row r="5">
      <c r="A5" s="61" t="n">
        <v>3</v>
      </c>
      <c r="B5" s="62" t="inlineStr">
        <is>
          <t>Da Nang</t>
        </is>
      </c>
      <c r="C5" s="63" t="inlineStr">
        <is>
          <t>DNTK01</t>
        </is>
      </c>
      <c r="D5" s="98" t="inlineStr">
        <is>
          <t>Connected</t>
        </is>
      </c>
      <c r="E5" s="98" t="inlineStr">
        <is>
          <t>On Air</t>
        </is>
      </c>
      <c r="F5" s="17" t="n"/>
      <c r="G5" s="17" t="n"/>
      <c r="H5" s="17" t="n"/>
      <c r="I5" s="186" t="n">
        <v>46165</v>
      </c>
      <c r="J5" s="187" t="n">
        <v>46159</v>
      </c>
      <c r="K5" s="185" t="n">
        <v>0.6576388888888889</v>
      </c>
      <c r="L5" s="14" t="n"/>
      <c r="M5" s="14" t="n"/>
      <c r="N5" s="14" t="n"/>
      <c r="O5" s="14" t="n"/>
      <c r="P5" s="76" t="inlineStr">
        <is>
          <t>Upgrade to 5G Dual (Existing 3.8 + 2.6 64T)</t>
        </is>
      </c>
      <c r="Q5" s="77" t="inlineStr">
        <is>
          <t>DNGTKE02_5G</t>
        </is>
      </c>
      <c r="R5" s="78" t="n"/>
      <c r="S5" s="78" t="n"/>
      <c r="T5" s="78" t="inlineStr">
        <is>
          <t>HUA</t>
        </is>
      </c>
    </row>
    <row r="6">
      <c r="A6" s="64" t="n"/>
      <c r="B6" s="65" t="n"/>
      <c r="C6" s="66" t="n"/>
    </row>
    <row r="7">
      <c r="A7" s="67" t="n"/>
      <c r="B7" s="79" t="n"/>
      <c r="C7" s="69" t="n"/>
    </row>
    <row r="8">
      <c r="A8" s="67" t="n"/>
      <c r="B8" s="79" t="n"/>
      <c r="C8" s="69" t="n"/>
    </row>
    <row r="9">
      <c r="A9" s="67" t="n"/>
      <c r="B9" s="79" t="n"/>
      <c r="C9" s="69" t="n"/>
    </row>
    <row r="10">
      <c r="A10" s="67" t="n"/>
      <c r="B10" s="79" t="n"/>
      <c r="C10" s="69" t="n"/>
    </row>
    <row r="11">
      <c r="A11" s="67" t="n"/>
      <c r="B11" s="79" t="n"/>
      <c r="C11" s="69" t="n"/>
    </row>
    <row r="12">
      <c r="A12" s="67" t="n"/>
      <c r="B12" s="70" t="n"/>
      <c r="C12" s="70" t="n"/>
    </row>
    <row r="13">
      <c r="A13" s="67" t="n"/>
      <c r="B13" s="70" t="n"/>
      <c r="C13" s="70" t="n"/>
    </row>
    <row r="14">
      <c r="A14" s="67" t="n"/>
      <c r="B14" s="70" t="n"/>
      <c r="C14" s="70" t="n"/>
    </row>
    <row r="15">
      <c r="A15" s="67" t="n"/>
      <c r="B15" s="70" t="n"/>
      <c r="C15" s="70" t="n"/>
    </row>
    <row r="16">
      <c r="A16" s="67" t="n"/>
      <c r="B16" s="70" t="n"/>
      <c r="C16" s="70" t="n"/>
    </row>
    <row r="17">
      <c r="A17" s="67" t="n"/>
      <c r="B17" s="70" t="n"/>
      <c r="C17" s="70" t="n"/>
    </row>
  </sheetData>
  <autoFilter ref="A2:T5"/>
  <mergeCells count="3">
    <mergeCell ref="Q1:T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ySplit="2" topLeftCell="A3" activePane="bottomLeft" state="frozen"/>
      <selection activeCell="A1" sqref="A1"/>
      <selection pane="bottomLeft" activeCell="A31" sqref="A31"/>
    </sheetView>
  </sheetViews>
  <sheetFormatPr baseColWidth="8" defaultColWidth="9" defaultRowHeight="12.75"/>
  <cols>
    <col width="3.375" customWidth="1" style="67" min="1" max="1"/>
    <col width="9.75" customWidth="1" style="67" min="2" max="2"/>
    <col width="9.59166666666667" customWidth="1" style="70" min="3" max="3"/>
    <col width="16.0666666666667" customWidth="1" style="70" min="4" max="4"/>
    <col width="10.6916666666667" customWidth="1" style="67" min="5" max="5"/>
    <col width="8.21666666666667" customWidth="1" style="67" min="6" max="6"/>
    <col width="8.46666666666667" customWidth="1" style="70" min="7" max="7"/>
    <col width="8.875" customWidth="1" style="70" min="8" max="8"/>
    <col width="8.75" customWidth="1" style="70" min="9" max="9"/>
    <col width="9.375" customWidth="1" style="70" min="10" max="11"/>
    <col width="8.875" customWidth="1" style="70" min="12" max="12"/>
    <col width="8.75" customWidth="1" style="70" min="13" max="13"/>
    <col width="9.375" customWidth="1" style="70" min="14" max="15"/>
    <col width="12.9416666666667" customWidth="1" style="70" min="16" max="16"/>
    <col width="13.0916666666667" customWidth="1" style="70" min="17" max="17"/>
    <col width="13.8916666666667" customWidth="1" style="70" min="18" max="18"/>
    <col width="12.5916666666667" customWidth="1" style="70" min="19" max="19"/>
    <col width="33.6333333333333" customWidth="1" style="70" min="20" max="20"/>
    <col width="13.6" customWidth="1" style="67" min="21" max="22"/>
    <col width="17.375" customWidth="1" style="70" min="23" max="23"/>
    <col width="7" customWidth="1" style="70" min="24" max="24"/>
    <col width="11.1916666666667" customWidth="1" style="70" min="25" max="25"/>
    <col width="14.25" customWidth="1" style="70" min="26" max="26"/>
    <col width="9" customWidth="1" style="70" min="27" max="16383"/>
    <col width="9" customWidth="1" style="70" min="16384" max="16384"/>
  </cols>
  <sheetData>
    <row r="1" ht="21.85" customHeight="1">
      <c r="B1" s="31" t="n"/>
      <c r="C1" s="49" t="n"/>
      <c r="D1" s="49" t="n"/>
      <c r="E1" s="31" t="n"/>
      <c r="F1" s="31" t="n"/>
      <c r="G1" s="49" t="n"/>
      <c r="H1" s="36" t="inlineStr">
        <is>
          <t>4G</t>
        </is>
      </c>
      <c r="I1" s="174" t="n"/>
      <c r="J1" s="174" t="n"/>
      <c r="K1" s="174" t="n"/>
      <c r="L1" s="42" t="inlineStr">
        <is>
          <t>5G</t>
        </is>
      </c>
      <c r="M1" s="174" t="n"/>
      <c r="N1" s="174" t="n"/>
      <c r="O1" s="174" t="n"/>
      <c r="P1" s="49" t="n"/>
      <c r="Q1" s="49" t="n"/>
      <c r="R1" s="49" t="n"/>
      <c r="S1" s="49" t="n"/>
      <c r="T1" s="49" t="n"/>
      <c r="U1" s="55" t="inlineStr">
        <is>
          <t>Monitor</t>
        </is>
      </c>
    </row>
    <row r="2" ht="39.5" customFormat="1" customHeight="1" s="67">
      <c r="A2" s="5" t="inlineStr">
        <is>
          <t>No</t>
        </is>
      </c>
      <c r="B2" s="33" t="inlineStr">
        <is>
          <t>Province</t>
        </is>
      </c>
      <c r="C2" s="34" t="inlineStr">
        <is>
          <t>Cluster</t>
        </is>
      </c>
      <c r="D2" s="35" t="inlineStr">
        <is>
          <t>Site Name</t>
        </is>
      </c>
      <c r="E2" s="37" t="inlineStr">
        <is>
          <t>OM Link Status</t>
        </is>
      </c>
      <c r="F2" s="37" t="inlineStr">
        <is>
          <t>Pre Swap Scripts</t>
        </is>
      </c>
      <c r="G2" s="35" t="inlineStr">
        <is>
          <t>Site Status</t>
        </is>
      </c>
      <c r="H2" s="38" t="inlineStr">
        <is>
          <t>Plan On-air</t>
        </is>
      </c>
      <c r="I2" s="38" t="inlineStr">
        <is>
          <t>On-air Day</t>
        </is>
      </c>
      <c r="J2" s="38" t="inlineStr">
        <is>
          <t>On-air Time</t>
        </is>
      </c>
      <c r="K2" s="43" t="inlineStr">
        <is>
          <t>Status</t>
        </is>
      </c>
      <c r="L2" s="44" t="inlineStr">
        <is>
          <t>Plan On-air</t>
        </is>
      </c>
      <c r="M2" s="44" t="inlineStr">
        <is>
          <t>On-air Day</t>
        </is>
      </c>
      <c r="N2" s="44" t="inlineStr">
        <is>
          <t>On-air Time</t>
        </is>
      </c>
      <c r="O2" s="50" t="inlineStr">
        <is>
          <t>Status</t>
        </is>
      </c>
      <c r="P2" s="37" t="inlineStr">
        <is>
          <t>Post Swap Scripts</t>
        </is>
      </c>
      <c r="Q2" s="37" t="inlineStr">
        <is>
          <t>NSN-&gt;HW Neighbors</t>
        </is>
      </c>
      <c r="R2" s="37" t="inlineStr">
        <is>
          <t xml:space="preserve">CQT Start Time </t>
        </is>
      </c>
      <c r="S2" s="37" t="inlineStr">
        <is>
          <t>CQT Complete Time</t>
        </is>
      </c>
      <c r="T2" s="53" t="inlineStr">
        <is>
          <t>Scenario</t>
        </is>
      </c>
      <c r="U2" s="56" t="inlineStr">
        <is>
          <t>NEName_New4G</t>
        </is>
      </c>
      <c r="V2" s="56" t="inlineStr">
        <is>
          <t>NEName_New5G</t>
        </is>
      </c>
      <c r="W2" s="56" t="inlineStr">
        <is>
          <t>NEname_Old_4G_NSN</t>
        </is>
      </c>
      <c r="X2" s="56" t="inlineStr">
        <is>
          <t>batch</t>
        </is>
      </c>
      <c r="Y2" s="56" t="inlineStr">
        <is>
          <t>Vendor</t>
        </is>
      </c>
      <c r="Z2" s="53" t="inlineStr">
        <is>
          <t>Alarm</t>
        </is>
      </c>
    </row>
    <row r="3">
      <c r="A3" s="78" t="n">
        <v>1</v>
      </c>
      <c r="B3" s="148" t="inlineStr">
        <is>
          <t>Dong Thap</t>
        </is>
      </c>
      <c r="C3" s="75" t="inlineStr">
        <is>
          <t>S1_Pilot</t>
        </is>
      </c>
      <c r="D3" s="75" t="inlineStr">
        <is>
          <t>DTPTDG09</t>
        </is>
      </c>
      <c r="E3" s="98" t="inlineStr">
        <is>
          <t>Connected</t>
        </is>
      </c>
      <c r="F3" s="78" t="inlineStr">
        <is>
          <t>Done</t>
        </is>
      </c>
      <c r="G3" s="31" t="inlineStr">
        <is>
          <t>On Air</t>
        </is>
      </c>
      <c r="H3" s="39" t="n">
        <v>46161</v>
      </c>
      <c r="I3" s="39" t="n">
        <v>46161</v>
      </c>
      <c r="J3" s="45" t="n">
        <v>0.7083333333333334</v>
      </c>
      <c r="K3" s="78" t="inlineStr">
        <is>
          <t>OK</t>
        </is>
      </c>
      <c r="L3" s="46" t="inlineStr">
        <is>
          <t>NA</t>
        </is>
      </c>
      <c r="M3" s="46" t="inlineStr">
        <is>
          <t>NA</t>
        </is>
      </c>
      <c r="N3" s="46" t="inlineStr">
        <is>
          <t>NA</t>
        </is>
      </c>
      <c r="O3" s="46" t="inlineStr">
        <is>
          <t>NA</t>
        </is>
      </c>
      <c r="P3" s="51" t="inlineStr">
        <is>
          <t>Done</t>
        </is>
      </c>
      <c r="Q3" s="54" t="inlineStr">
        <is>
          <t>Not Yet</t>
        </is>
      </c>
      <c r="R3" s="20" t="n">
        <v>46162</v>
      </c>
      <c r="S3" s="20" t="n">
        <v>46162</v>
      </c>
      <c r="T3" s="21" t="inlineStr">
        <is>
          <t>Swap 4G</t>
        </is>
      </c>
      <c r="U3" s="78" t="inlineStr">
        <is>
          <t>DTPTDG09</t>
        </is>
      </c>
      <c r="V3" s="98" t="n"/>
      <c r="W3" s="148" t="inlineStr">
        <is>
          <t>TGGD53</t>
        </is>
      </c>
      <c r="X3" s="148" t="inlineStr">
        <is>
          <t>Batch1</t>
        </is>
      </c>
      <c r="Y3" s="148" t="inlineStr">
        <is>
          <t>HUA</t>
        </is>
      </c>
      <c r="Z3" s="17" t="n"/>
    </row>
    <row r="4">
      <c r="A4" s="78" t="n">
        <v>2</v>
      </c>
      <c r="B4" s="148" t="inlineStr">
        <is>
          <t>Dong Thap</t>
        </is>
      </c>
      <c r="C4" s="75" t="inlineStr">
        <is>
          <t>S1_Pilot</t>
        </is>
      </c>
      <c r="D4" s="75" t="inlineStr">
        <is>
          <t>DTPGTN10</t>
        </is>
      </c>
      <c r="E4" s="98" t="inlineStr">
        <is>
          <t>Connected</t>
        </is>
      </c>
      <c r="F4" s="78" t="inlineStr">
        <is>
          <t>Done</t>
        </is>
      </c>
      <c r="G4" s="31" t="inlineStr">
        <is>
          <t>On Air</t>
        </is>
      </c>
      <c r="H4" s="39" t="n">
        <v>46162</v>
      </c>
      <c r="I4" s="39" t="n">
        <v>46162</v>
      </c>
      <c r="J4" s="45" t="n">
        <v>0.625</v>
      </c>
      <c r="K4" s="17" t="n"/>
      <c r="L4" s="39" t="n">
        <v>46162</v>
      </c>
      <c r="M4" s="39" t="n">
        <v>46162</v>
      </c>
      <c r="N4" s="45" t="n">
        <v>0.625</v>
      </c>
      <c r="O4" s="52" t="n"/>
      <c r="P4" s="51" t="inlineStr">
        <is>
          <t>Done</t>
        </is>
      </c>
      <c r="Q4" s="54" t="inlineStr">
        <is>
          <t>Not Yet</t>
        </is>
      </c>
      <c r="R4" s="17" t="n"/>
      <c r="S4" s="17" t="n"/>
      <c r="T4" s="21" t="inlineStr">
        <is>
          <t>Swap 4G + Newbuild 5G Single 2.6 32T</t>
        </is>
      </c>
      <c r="U4" s="75" t="inlineStr">
        <is>
          <t>DTPGTN10</t>
        </is>
      </c>
      <c r="V4" s="75" t="inlineStr">
        <is>
          <t>DTPGTN10</t>
        </is>
      </c>
      <c r="W4" s="57" t="inlineStr">
        <is>
          <t>TGGD49</t>
        </is>
      </c>
      <c r="X4" s="148" t="inlineStr">
        <is>
          <t>Batch2</t>
        </is>
      </c>
      <c r="Y4" s="148" t="inlineStr">
        <is>
          <t>HUA</t>
        </is>
      </c>
      <c r="Z4" s="17" t="n"/>
    </row>
    <row r="5">
      <c r="A5" s="78" t="n">
        <v>3</v>
      </c>
      <c r="B5" s="148" t="inlineStr">
        <is>
          <t>Dong Thap</t>
        </is>
      </c>
      <c r="C5" s="75" t="inlineStr">
        <is>
          <t>S1_Pilot</t>
        </is>
      </c>
      <c r="D5" s="75" t="inlineStr">
        <is>
          <t>DTPGTN06</t>
        </is>
      </c>
      <c r="E5" s="98" t="inlineStr">
        <is>
          <t>Connected</t>
        </is>
      </c>
      <c r="F5" s="78" t="inlineStr">
        <is>
          <t>Done</t>
        </is>
      </c>
      <c r="G5" s="31" t="inlineStr">
        <is>
          <t>On Air</t>
        </is>
      </c>
      <c r="H5" s="39" t="n">
        <v>46162</v>
      </c>
      <c r="I5" s="39" t="n">
        <v>46162</v>
      </c>
      <c r="J5" s="45" t="n">
        <v>0.625</v>
      </c>
      <c r="K5" s="17" t="n"/>
      <c r="L5" s="39" t="n">
        <v>46162</v>
      </c>
      <c r="M5" s="39" t="n">
        <v>46162</v>
      </c>
      <c r="N5" s="45" t="n">
        <v>0.625</v>
      </c>
      <c r="O5" s="52" t="n"/>
      <c r="P5" s="51" t="inlineStr">
        <is>
          <t>Done</t>
        </is>
      </c>
      <c r="Q5" s="54" t="inlineStr">
        <is>
          <t>Not Yet</t>
        </is>
      </c>
      <c r="R5" s="17" t="n"/>
      <c r="S5" s="17" t="n"/>
      <c r="T5" s="21" t="inlineStr">
        <is>
          <t>Swap 4G + Newbuild 5G Single 2.6 32T</t>
        </is>
      </c>
      <c r="U5" s="75" t="inlineStr">
        <is>
          <t>DTPGTN06</t>
        </is>
      </c>
      <c r="V5" s="75" t="inlineStr">
        <is>
          <t>DTPGTN06</t>
        </is>
      </c>
      <c r="W5" s="57" t="inlineStr">
        <is>
          <t>TGGD32</t>
        </is>
      </c>
      <c r="X5" s="148" t="inlineStr">
        <is>
          <t>Batch2</t>
        </is>
      </c>
      <c r="Y5" s="148" t="inlineStr">
        <is>
          <t>HUA</t>
        </is>
      </c>
      <c r="Z5" s="17" t="n"/>
    </row>
    <row r="6">
      <c r="A6" s="78" t="n">
        <v>4</v>
      </c>
      <c r="B6" s="148" t="inlineStr">
        <is>
          <t>Dong Thap</t>
        </is>
      </c>
      <c r="C6" s="75" t="inlineStr">
        <is>
          <t>S1_Pilot</t>
        </is>
      </c>
      <c r="D6" s="75" t="inlineStr">
        <is>
          <t>DTPTDG04</t>
        </is>
      </c>
      <c r="E6" s="98" t="inlineStr">
        <is>
          <t>Connected</t>
        </is>
      </c>
      <c r="F6" s="78" t="inlineStr">
        <is>
          <t>Done</t>
        </is>
      </c>
      <c r="G6" s="31" t="inlineStr">
        <is>
          <t>On Air</t>
        </is>
      </c>
      <c r="H6" s="39" t="n">
        <v>46162</v>
      </c>
      <c r="I6" s="39" t="n">
        <v>46162</v>
      </c>
      <c r="J6" s="45" t="n">
        <v>0.625</v>
      </c>
      <c r="K6" s="17" t="n"/>
      <c r="L6" s="39" t="n">
        <v>46162</v>
      </c>
      <c r="M6" s="20" t="inlineStr">
        <is>
          <t>NA</t>
        </is>
      </c>
      <c r="N6" s="46" t="inlineStr">
        <is>
          <t>NA</t>
        </is>
      </c>
      <c r="O6" s="46" t="inlineStr">
        <is>
          <t>NA</t>
        </is>
      </c>
      <c r="P6" s="51" t="inlineStr">
        <is>
          <t>Done</t>
        </is>
      </c>
      <c r="Q6" s="54" t="inlineStr">
        <is>
          <t>Not Yet</t>
        </is>
      </c>
      <c r="R6" s="17" t="n"/>
      <c r="S6" s="17" t="n"/>
      <c r="T6" s="21" t="inlineStr">
        <is>
          <t>Swap 4G</t>
        </is>
      </c>
      <c r="U6" s="75" t="inlineStr">
        <is>
          <t>DTPTDG04</t>
        </is>
      </c>
      <c r="V6" s="98" t="n"/>
      <c r="W6" s="57" t="inlineStr">
        <is>
          <t>TGGD25</t>
        </is>
      </c>
      <c r="X6" s="148" t="inlineStr">
        <is>
          <t>Batch2</t>
        </is>
      </c>
      <c r="Y6" s="148" t="inlineStr">
        <is>
          <t>HUA</t>
        </is>
      </c>
      <c r="Z6" s="17" t="n"/>
    </row>
    <row r="7">
      <c r="A7" s="78" t="n">
        <v>5</v>
      </c>
      <c r="B7" s="148" t="inlineStr">
        <is>
          <t>Dong Thap</t>
        </is>
      </c>
      <c r="C7" s="75" t="inlineStr">
        <is>
          <t>S1_Pilot</t>
        </is>
      </c>
      <c r="D7" s="75" t="inlineStr">
        <is>
          <t>DTPTDG01</t>
        </is>
      </c>
      <c r="E7" s="98" t="inlineStr">
        <is>
          <t>Connected</t>
        </is>
      </c>
      <c r="F7" s="78" t="inlineStr">
        <is>
          <t>Done</t>
        </is>
      </c>
      <c r="G7" s="31" t="inlineStr">
        <is>
          <t>On Air</t>
        </is>
      </c>
      <c r="H7" s="39" t="n">
        <v>46162</v>
      </c>
      <c r="I7" s="39" t="n">
        <v>46162</v>
      </c>
      <c r="J7" s="45" t="n">
        <v>0.625</v>
      </c>
      <c r="K7" s="17" t="n"/>
      <c r="L7" s="39" t="n">
        <v>46162</v>
      </c>
      <c r="M7" s="39" t="n">
        <v>46162</v>
      </c>
      <c r="N7" s="45" t="n">
        <v>0.625</v>
      </c>
      <c r="O7" s="52" t="n"/>
      <c r="P7" s="51" t="inlineStr">
        <is>
          <t>Done</t>
        </is>
      </c>
      <c r="Q7" s="54" t="inlineStr">
        <is>
          <t>Not Yet</t>
        </is>
      </c>
      <c r="R7" s="17" t="n"/>
      <c r="S7" s="17" t="n"/>
      <c r="T7" s="21" t="inlineStr">
        <is>
          <t>Swap 4G + Newbuild 5G Single 2.6 32T</t>
        </is>
      </c>
      <c r="U7" s="75" t="inlineStr">
        <is>
          <t>DTPTDG01</t>
        </is>
      </c>
      <c r="V7" s="75" t="inlineStr">
        <is>
          <t>DTPTDG01</t>
        </is>
      </c>
      <c r="W7" s="57" t="inlineStr">
        <is>
          <t>TGGD09</t>
        </is>
      </c>
      <c r="X7" s="148" t="inlineStr">
        <is>
          <t>Batch2</t>
        </is>
      </c>
      <c r="Y7" s="148" t="inlineStr">
        <is>
          <t>HUA</t>
        </is>
      </c>
      <c r="Z7" s="17" t="n"/>
    </row>
    <row r="8">
      <c r="A8" s="78" t="n">
        <v>6</v>
      </c>
      <c r="B8" s="148" t="inlineStr">
        <is>
          <t>Dong Thap</t>
        </is>
      </c>
      <c r="C8" s="75" t="inlineStr">
        <is>
          <t>S1_Pilot</t>
        </is>
      </c>
      <c r="D8" s="75" t="inlineStr">
        <is>
          <t>DTPSQI06</t>
        </is>
      </c>
      <c r="E8" s="98" t="n"/>
      <c r="F8" s="78" t="n"/>
      <c r="G8" s="17" t="n"/>
      <c r="H8" s="183" t="n"/>
      <c r="I8" s="39" t="n"/>
      <c r="J8" s="17" t="n"/>
      <c r="K8" s="17" t="n"/>
      <c r="L8" s="47" t="n"/>
      <c r="M8" s="47" t="n"/>
      <c r="N8" s="17" t="n"/>
      <c r="O8" s="52" t="n"/>
      <c r="P8" s="51" t="n"/>
      <c r="Q8" s="54" t="n"/>
      <c r="R8" s="17" t="n"/>
      <c r="S8" s="17" t="n"/>
      <c r="T8" s="21" t="inlineStr">
        <is>
          <t>Swap 4G + Newbuild 5G Single 2.6 32T</t>
        </is>
      </c>
      <c r="U8" s="75" t="inlineStr">
        <is>
          <t>DTPSQI06</t>
        </is>
      </c>
      <c r="V8" s="75" t="inlineStr">
        <is>
          <t>DTPSQI06</t>
        </is>
      </c>
      <c r="W8" s="148" t="inlineStr">
        <is>
          <t>TGGC22</t>
        </is>
      </c>
      <c r="X8" s="148" t="n"/>
      <c r="Y8" s="148" t="inlineStr">
        <is>
          <t>HUA</t>
        </is>
      </c>
      <c r="Z8" s="17" t="n"/>
    </row>
    <row r="9">
      <c r="A9" s="78" t="n">
        <v>7</v>
      </c>
      <c r="B9" s="148" t="inlineStr">
        <is>
          <t>Dong Thap</t>
        </is>
      </c>
      <c r="C9" s="75" t="inlineStr">
        <is>
          <t>S1_Pilot</t>
        </is>
      </c>
      <c r="D9" s="75" t="inlineStr">
        <is>
          <t>DTPGTN05</t>
        </is>
      </c>
      <c r="E9" s="98" t="n"/>
      <c r="F9" s="78" t="n"/>
      <c r="G9" s="17" t="n"/>
      <c r="H9" s="183" t="n"/>
      <c r="I9" s="39" t="n"/>
      <c r="J9" s="17" t="n"/>
      <c r="K9" s="17" t="n"/>
      <c r="L9" s="47" t="n"/>
      <c r="M9" s="47" t="n"/>
      <c r="N9" s="17" t="n"/>
      <c r="O9" s="52" t="n"/>
      <c r="P9" s="51" t="n"/>
      <c r="Q9" s="54" t="n"/>
      <c r="R9" s="17" t="n"/>
      <c r="S9" s="17" t="n"/>
      <c r="T9" s="21" t="inlineStr">
        <is>
          <t>Swap 4G</t>
        </is>
      </c>
      <c r="U9" s="75" t="inlineStr">
        <is>
          <t>DTPGTN05</t>
        </is>
      </c>
      <c r="V9" s="98" t="n"/>
      <c r="W9" s="148" t="inlineStr">
        <is>
          <t>TGGD26</t>
        </is>
      </c>
      <c r="X9" s="148" t="n"/>
      <c r="Y9" s="148" t="inlineStr">
        <is>
          <t>HUA</t>
        </is>
      </c>
      <c r="Z9" s="17" t="n"/>
    </row>
    <row r="10">
      <c r="A10" s="78" t="n">
        <v>8</v>
      </c>
      <c r="B10" s="148" t="inlineStr">
        <is>
          <t>Dong Thap</t>
        </is>
      </c>
      <c r="C10" s="75" t="inlineStr">
        <is>
          <t>S1_Pilot</t>
        </is>
      </c>
      <c r="D10" s="75" t="inlineStr">
        <is>
          <t>DTPGTN12</t>
        </is>
      </c>
      <c r="E10" s="98" t="n"/>
      <c r="F10" s="78" t="n"/>
      <c r="G10" s="17" t="n"/>
      <c r="H10" s="183" t="n"/>
      <c r="I10" s="39" t="n"/>
      <c r="J10" s="17" t="n"/>
      <c r="K10" s="17" t="n"/>
      <c r="L10" s="47" t="n"/>
      <c r="M10" s="47" t="n"/>
      <c r="N10" s="17" t="n"/>
      <c r="O10" s="52" t="n"/>
      <c r="P10" s="51" t="n"/>
      <c r="Q10" s="54" t="n"/>
      <c r="R10" s="17" t="n"/>
      <c r="S10" s="17" t="n"/>
      <c r="T10" s="21" t="inlineStr">
        <is>
          <t>Swap 4G</t>
        </is>
      </c>
      <c r="U10" s="75" t="inlineStr">
        <is>
          <t>DTPGTN12</t>
        </is>
      </c>
      <c r="V10" s="98" t="n"/>
      <c r="W10" s="148" t="inlineStr">
        <is>
          <t>TGGD52</t>
        </is>
      </c>
      <c r="X10" s="148" t="n"/>
      <c r="Y10" s="148" t="inlineStr">
        <is>
          <t>HUA</t>
        </is>
      </c>
      <c r="Z10" s="17" t="n"/>
    </row>
    <row r="11">
      <c r="A11" s="78" t="n">
        <v>9</v>
      </c>
      <c r="B11" s="148" t="inlineStr">
        <is>
          <t>Dong Thap</t>
        </is>
      </c>
      <c r="C11" s="75" t="inlineStr">
        <is>
          <t>S1_Pilot</t>
        </is>
      </c>
      <c r="D11" s="75" t="inlineStr">
        <is>
          <t>DTPTDG06</t>
        </is>
      </c>
      <c r="E11" s="98" t="n"/>
      <c r="F11" s="78" t="n"/>
      <c r="G11" s="17" t="n"/>
      <c r="H11" s="183" t="n"/>
      <c r="I11" s="39" t="n"/>
      <c r="J11" s="17" t="n"/>
      <c r="K11" s="17" t="n"/>
      <c r="L11" s="20" t="n"/>
      <c r="M11" s="20" t="n"/>
      <c r="N11" s="17" t="n"/>
      <c r="O11" s="52" t="n"/>
      <c r="P11" s="51" t="n"/>
      <c r="Q11" s="54" t="n"/>
      <c r="R11" s="17" t="n"/>
      <c r="S11" s="17" t="n"/>
      <c r="T11" s="21" t="inlineStr">
        <is>
          <t>Swap 4G + Newbuild 5G Single 2.6 32T</t>
        </is>
      </c>
      <c r="U11" s="75" t="inlineStr">
        <is>
          <t>DTPTDG06</t>
        </is>
      </c>
      <c r="V11" s="75" t="inlineStr">
        <is>
          <t>DTPTDG06</t>
        </is>
      </c>
      <c r="W11" s="148" t="inlineStr">
        <is>
          <t>TGGD31</t>
        </is>
      </c>
      <c r="X11" s="148" t="n"/>
      <c r="Y11" s="148" t="inlineStr">
        <is>
          <t>HUA</t>
        </is>
      </c>
      <c r="Z11" s="17" t="n"/>
    </row>
    <row r="12">
      <c r="A12" s="78" t="n">
        <v>10</v>
      </c>
      <c r="B12" s="148" t="inlineStr">
        <is>
          <t>Dong Thap</t>
        </is>
      </c>
      <c r="C12" s="75" t="inlineStr">
        <is>
          <t>S1_Pilot</t>
        </is>
      </c>
      <c r="D12" s="75" t="inlineStr">
        <is>
          <t>DTPTDG05</t>
        </is>
      </c>
      <c r="E12" s="98" t="n"/>
      <c r="F12" s="78" t="n"/>
      <c r="G12" s="17" t="n"/>
      <c r="H12" s="183" t="n"/>
      <c r="I12" s="39" t="n"/>
      <c r="J12" s="17" t="n"/>
      <c r="K12" s="17" t="n"/>
      <c r="L12" s="20" t="n"/>
      <c r="M12" s="20" t="n"/>
      <c r="N12" s="17" t="n"/>
      <c r="O12" s="52" t="n"/>
      <c r="P12" s="51" t="n"/>
      <c r="Q12" s="54" t="n"/>
      <c r="R12" s="17" t="n"/>
      <c r="S12" s="17" t="n"/>
      <c r="T12" s="21" t="inlineStr">
        <is>
          <t>Swap 4G</t>
        </is>
      </c>
      <c r="U12" s="75" t="inlineStr">
        <is>
          <t>DTPTDG05</t>
        </is>
      </c>
      <c r="V12" s="98" t="n"/>
      <c r="W12" s="148" t="inlineStr">
        <is>
          <t>TGGD27</t>
        </is>
      </c>
      <c r="X12" s="148" t="n"/>
      <c r="Y12" s="148" t="inlineStr">
        <is>
          <t>HUA</t>
        </is>
      </c>
      <c r="Z12" s="17" t="n"/>
    </row>
    <row r="13" ht="14.25" customHeight="1">
      <c r="Q13" s="54" t="n"/>
      <c r="U13" s="58" t="n"/>
    </row>
    <row r="14" ht="14.25" customHeight="1">
      <c r="U14" s="58" t="n"/>
    </row>
    <row r="15" ht="14.25" customHeight="1">
      <c r="U15" s="58" t="n"/>
    </row>
    <row r="16" ht="14.25" customHeight="1">
      <c r="U16" s="58" t="n"/>
    </row>
  </sheetData>
  <autoFilter ref="A2:Z12"/>
  <mergeCells count="3">
    <mergeCell ref="H1:K1"/>
    <mergeCell ref="L1:O1"/>
    <mergeCell ref="U1:Y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U3" workbookViewId="0">
      <selection activeCell="U25" sqref="U25:U28"/>
    </sheetView>
  </sheetViews>
  <sheetFormatPr baseColWidth="8" defaultColWidth="9" defaultRowHeight="12.75" outlineLevelRow="6"/>
  <cols>
    <col width="3.375" customWidth="1" style="67" min="1" max="1"/>
    <col width="9.75" customWidth="1" style="70" min="2" max="2"/>
    <col width="26.375" customWidth="1" style="70" min="3" max="3"/>
    <col width="11.875" customWidth="1" style="70" min="4" max="4"/>
    <col width="8.625" customWidth="1" style="70" min="5" max="5"/>
    <col width="8.875" customWidth="1" style="70" min="6" max="6"/>
    <col width="8.5" customWidth="1" style="70" min="7" max="7"/>
    <col width="9.375" customWidth="1" style="70" min="8" max="8"/>
    <col width="8.875" customWidth="1" style="70" min="9" max="9"/>
    <col width="8.75" customWidth="1" style="70" min="10" max="10"/>
    <col width="9.375" customWidth="1" style="70" min="11" max="11"/>
    <col width="13.625" customWidth="1" style="70" min="12" max="12"/>
    <col width="16.125" customWidth="1" style="70" min="13" max="13"/>
    <col width="12.25" customWidth="1" style="70" min="14" max="14"/>
    <col width="15.625" customWidth="1" style="70" min="15" max="15"/>
    <col width="28.5" customWidth="1" style="70" min="16" max="16"/>
    <col width="11.5" customWidth="1" style="70" min="17" max="17"/>
    <col width="25.625" customWidth="1" style="70" min="18" max="18"/>
    <col width="6.125" customWidth="1" style="70" min="19" max="19"/>
    <col width="6.5" customWidth="1" style="70" min="20" max="20"/>
    <col width="53.5083333333333" customWidth="1" style="70" min="21" max="21"/>
    <col width="9" customWidth="1" style="70" min="22" max="16384"/>
  </cols>
  <sheetData>
    <row r="1" ht="19.35" customHeight="1">
      <c r="A1" s="98" t="n"/>
      <c r="B1" s="17" t="n"/>
      <c r="C1" s="17" t="n"/>
      <c r="D1" s="17" t="n"/>
      <c r="E1" s="17" t="n"/>
      <c r="F1" s="10" t="inlineStr">
        <is>
          <t>3.8G_N77</t>
        </is>
      </c>
      <c r="G1" s="179" t="n"/>
      <c r="H1" s="180" t="n"/>
      <c r="I1" s="15" t="inlineStr">
        <is>
          <t>2.6G_N41</t>
        </is>
      </c>
      <c r="J1" s="179" t="n"/>
      <c r="K1" s="180" t="n"/>
      <c r="L1" s="17" t="n"/>
      <c r="M1" s="17" t="n"/>
      <c r="N1" s="17" t="n"/>
      <c r="O1" s="17" t="n"/>
      <c r="P1" s="17" t="n"/>
      <c r="Q1" s="78" t="inlineStr">
        <is>
          <t>Monitor</t>
        </is>
      </c>
      <c r="R1" s="179" t="n"/>
      <c r="S1" s="179" t="n"/>
      <c r="T1" s="180" t="n"/>
    </row>
    <row r="2" ht="20.1" customHeight="1">
      <c r="A2" s="5" t="inlineStr">
        <is>
          <t>No</t>
        </is>
      </c>
      <c r="B2" s="5" t="inlineStr">
        <is>
          <t>Province</t>
        </is>
      </c>
      <c r="C2" s="5" t="inlineStr">
        <is>
          <t>Site Name</t>
        </is>
      </c>
      <c r="D2" s="6" t="inlineStr">
        <is>
          <t>OM Link Status</t>
        </is>
      </c>
      <c r="E2" s="5" t="inlineStr">
        <is>
          <t>Site Status</t>
        </is>
      </c>
      <c r="F2" s="12" t="inlineStr">
        <is>
          <t>Plan On-air</t>
        </is>
      </c>
      <c r="G2" s="12" t="inlineStr">
        <is>
          <t>On-air Day</t>
        </is>
      </c>
      <c r="H2" s="12" t="inlineStr">
        <is>
          <t>On-air Time</t>
        </is>
      </c>
      <c r="I2" s="18" t="inlineStr">
        <is>
          <t>Plan On-air</t>
        </is>
      </c>
      <c r="J2" s="18" t="inlineStr">
        <is>
          <t>On-air Day</t>
        </is>
      </c>
      <c r="K2" s="18" t="inlineStr">
        <is>
          <t>On-air Time</t>
        </is>
      </c>
      <c r="L2" s="6" t="inlineStr">
        <is>
          <t>Post Swap Scripts</t>
        </is>
      </c>
      <c r="M2" s="6" t="inlineStr">
        <is>
          <t>NSN-&gt;HW Neighbors</t>
        </is>
      </c>
      <c r="N2" s="6" t="inlineStr">
        <is>
          <t xml:space="preserve">CQT Start Time </t>
        </is>
      </c>
      <c r="O2" s="6" t="inlineStr">
        <is>
          <t>CQT Complete Time</t>
        </is>
      </c>
      <c r="P2" s="5" t="inlineStr">
        <is>
          <t>Remark</t>
        </is>
      </c>
      <c r="Q2" s="25" t="inlineStr">
        <is>
          <t>NEName_New</t>
        </is>
      </c>
      <c r="R2" s="26" t="inlineStr">
        <is>
          <t>NEname_Old</t>
        </is>
      </c>
      <c r="S2" s="27" t="inlineStr">
        <is>
          <t>Batch</t>
        </is>
      </c>
      <c r="T2" s="26" t="inlineStr">
        <is>
          <t>Vendor</t>
        </is>
      </c>
      <c r="U2" s="29" t="inlineStr">
        <is>
          <t>Alarm（update on May 18 15:00)</t>
        </is>
      </c>
    </row>
    <row r="3">
      <c r="A3" s="98" t="n">
        <v>1</v>
      </c>
      <c r="B3" s="148" t="n"/>
      <c r="C3" s="75" t="n"/>
      <c r="D3" s="9" t="n"/>
      <c r="E3" s="98" t="n"/>
      <c r="F3" s="13" t="n"/>
      <c r="G3" s="13" t="n"/>
      <c r="H3" s="14" t="n"/>
      <c r="I3" s="13" t="n"/>
      <c r="J3" s="13" t="n"/>
      <c r="K3" s="14" t="n"/>
      <c r="L3" s="14" t="n"/>
      <c r="M3" s="14" t="n"/>
      <c r="N3" s="14" t="n"/>
      <c r="O3" s="14" t="n"/>
      <c r="P3" s="21" t="n"/>
      <c r="Q3" s="75" t="n"/>
      <c r="R3" s="148" t="n"/>
      <c r="S3" s="78" t="n"/>
      <c r="T3" s="98" t="n"/>
      <c r="U3" s="14" t="n"/>
    </row>
    <row r="4">
      <c r="A4" s="98" t="n">
        <v>2</v>
      </c>
      <c r="B4" s="148" t="n"/>
      <c r="C4" s="75" t="n"/>
      <c r="D4" s="17" t="n"/>
      <c r="E4" s="98" t="n"/>
      <c r="F4" s="17" t="n"/>
      <c r="G4" s="17" t="n"/>
      <c r="H4" s="17" t="n"/>
      <c r="I4" s="13" t="n"/>
      <c r="J4" s="13" t="n"/>
      <c r="K4" s="14" t="n"/>
      <c r="L4" s="14" t="n"/>
      <c r="M4" s="14" t="n"/>
      <c r="N4" s="14" t="n"/>
      <c r="O4" s="14" t="n"/>
      <c r="P4" s="21" t="n"/>
      <c r="Q4" s="75" t="n"/>
      <c r="R4" s="148" t="n"/>
      <c r="S4" s="78" t="n"/>
      <c r="T4" s="98" t="n"/>
      <c r="U4" s="14" t="n"/>
    </row>
    <row r="5">
      <c r="A5" s="98" t="n"/>
      <c r="B5" s="148" t="n"/>
      <c r="C5" s="75" t="n"/>
      <c r="D5" s="17" t="n"/>
      <c r="E5" s="98" t="n"/>
      <c r="F5" s="17" t="n"/>
      <c r="G5" s="17" t="n"/>
      <c r="H5" s="17" t="n"/>
      <c r="I5" s="13" t="n"/>
      <c r="J5" s="13" t="n"/>
      <c r="K5" s="14" t="n"/>
      <c r="L5" s="14" t="n"/>
      <c r="M5" s="14" t="n"/>
      <c r="N5" s="14" t="n"/>
      <c r="O5" s="14" t="n"/>
      <c r="P5" s="21" t="n"/>
      <c r="Q5" s="75" t="n"/>
      <c r="R5" s="148" t="n"/>
      <c r="S5" s="78" t="n"/>
      <c r="T5" s="98" t="n"/>
      <c r="U5" s="14" t="n"/>
    </row>
    <row r="6">
      <c r="A6" s="98" t="n"/>
      <c r="B6" s="148" t="n"/>
      <c r="C6" s="75" t="n"/>
      <c r="D6" s="17" t="n"/>
      <c r="E6" s="98" t="n"/>
      <c r="F6" s="13" t="n"/>
      <c r="G6" s="13" t="n"/>
      <c r="H6" s="14" t="n"/>
      <c r="I6" s="19" t="n"/>
      <c r="J6" s="13" t="n"/>
      <c r="K6" s="14" t="n"/>
      <c r="L6" s="14" t="n"/>
      <c r="M6" s="14" t="n"/>
      <c r="N6" s="14" t="n"/>
      <c r="O6" s="14" t="n"/>
      <c r="P6" s="21" t="n"/>
      <c r="Q6" s="75" t="n"/>
      <c r="R6" s="148" t="n"/>
      <c r="S6" s="78" t="n"/>
      <c r="T6" s="98" t="n"/>
      <c r="U6" s="14" t="n"/>
    </row>
    <row r="7">
      <c r="A7" s="98" t="n"/>
      <c r="B7" s="148" t="n"/>
      <c r="C7" s="75" t="n"/>
      <c r="D7" s="17" t="n"/>
      <c r="E7" s="17" t="n"/>
      <c r="F7" s="17" t="n"/>
      <c r="G7" s="17" t="n"/>
      <c r="H7" s="17" t="n"/>
      <c r="I7" s="20" t="n"/>
      <c r="J7" s="17" t="n"/>
      <c r="K7" s="17" t="n"/>
      <c r="L7" s="17" t="n"/>
      <c r="M7" s="17" t="n"/>
      <c r="N7" s="17" t="n"/>
      <c r="O7" s="17" t="n"/>
      <c r="P7" s="21" t="n"/>
      <c r="Q7" s="75" t="n"/>
      <c r="R7" s="148" t="n"/>
      <c r="S7" s="78" t="n"/>
      <c r="T7" s="98" t="n"/>
      <c r="U7" s="14" t="n"/>
    </row>
  </sheetData>
  <autoFilter ref="A2:T7"/>
  <mergeCells count="3">
    <mergeCell ref="Q1:T1"/>
    <mergeCell ref="F1:H1"/>
    <mergeCell ref="I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.2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wanghaipeng (H)</dc:creator>
  <dcterms:created xmlns:dcterms="http://purl.org/dc/terms/" xmlns:xsi="http://www.w3.org/2001/XMLSchema-instance" xsi:type="dcterms:W3CDTF">2026-05-19T08:51:00Z</dcterms:created>
  <dcterms:modified xmlns:dcterms="http://purl.org/dc/terms/" xmlns:xsi="http://www.w3.org/2001/XMLSchema-instance" xsi:type="dcterms:W3CDTF">2026-05-20T13:54:11Z</dcterms:modified>
  <cp:lastModifiedBy>Nguyen Thanh Dong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2052-0.0.0.0</vt:lpwstr>
  </property>
</Properties>
</file>