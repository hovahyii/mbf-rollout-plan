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256" windowHeight="13896" activeTab="1"/>
  </bookViews>
  <sheets>
    <sheet name="Summary" sheetId="4" r:id="rId1"/>
    <sheet name="Ha Noi Progress Tracker" sheetId="1" r:id="rId2"/>
    <sheet name="North Progress Tracker" sheetId="2" r:id="rId3"/>
  </sheets>
  <calcPr calcId="144525"/>
</workbook>
</file>

<file path=xl/sharedStrings.xml><?xml version="1.0" encoding="utf-8"?>
<sst xmlns="http://schemas.openxmlformats.org/spreadsheetml/2006/main" count="73" uniqueCount="29">
  <si>
    <t>Ha Noi</t>
  </si>
  <si>
    <t>Province</t>
  </si>
  <si>
    <t>Total On Air Site</t>
  </si>
  <si>
    <t>RAT</t>
  </si>
  <si>
    <t>4G</t>
  </si>
  <si>
    <t>5G</t>
  </si>
  <si>
    <t>North</t>
  </si>
  <si>
    <t>Hai Phong</t>
  </si>
  <si>
    <t>No</t>
  </si>
  <si>
    <t>Cluster</t>
  </si>
  <si>
    <t>Site Name</t>
  </si>
  <si>
    <t>Site Status</t>
  </si>
  <si>
    <t>Plan On-air</t>
  </si>
  <si>
    <t>On-air Day</t>
  </si>
  <si>
    <t>On-air Time</t>
  </si>
  <si>
    <t>Remark</t>
  </si>
  <si>
    <t>Pilot</t>
  </si>
  <si>
    <t>HN_GLM_CN_NINH_HIEP</t>
  </si>
  <si>
    <t>On Air</t>
  </si>
  <si>
    <t>4G Swap+New 5G Building 2.6G</t>
  </si>
  <si>
    <t>HN_GLM_CN_NINH_HIEP_CRAN_2</t>
  </si>
  <si>
    <t>NA</t>
  </si>
  <si>
    <t>4G Swap</t>
  </si>
  <si>
    <t>HN_GLM_NINH_HIEP_2_CRAN</t>
  </si>
  <si>
    <t>HPG_CHI_DONG_BAI</t>
  </si>
  <si>
    <t>Newbuild 5G Dual (2.6 64T + 3.8 64T)</t>
  </si>
  <si>
    <t>HPG_TNN_TT_HANH_CHINH_2_01R</t>
  </si>
  <si>
    <t>HPG_CHI_CAT_BA_4</t>
  </si>
  <si>
    <t>Newbuild 5G Single 2.6 32T</t>
  </si>
</sst>
</file>

<file path=xl/styles.xml><?xml version="1.0" encoding="utf-8"?>
<styleSheet xmlns="http://schemas.openxmlformats.org/spreadsheetml/2006/main">
  <numFmts count="36">
    <numFmt numFmtId="176" formatCode="[DBNum1][$-804]yyyy&quot;年&quot;m&quot;月&quot;"/>
    <numFmt numFmtId="6" formatCode="&quot;￥&quot;#,##0;[Red]&quot;￥&quot;\-#,##0"/>
    <numFmt numFmtId="23" formatCode="\$#,##0_);\(\$#,##0\)"/>
    <numFmt numFmtId="177" formatCode="#\ ??/??"/>
    <numFmt numFmtId="5" formatCode="&quot;￥&quot;#,##0;&quot;￥&quot;\-#,##0"/>
    <numFmt numFmtId="24" formatCode="\$#,##0_);[Red]\(\$#,##0\)"/>
    <numFmt numFmtId="178" formatCode="mm/dd/yy"/>
    <numFmt numFmtId="25" formatCode="\$#,##0.00_);\(\$#,##0.00\)"/>
    <numFmt numFmtId="26" formatCode="\$#,##0.00_);[Red]\(\$#,##0.00\)"/>
    <numFmt numFmtId="179" formatCode="mmmmm"/>
    <numFmt numFmtId="180" formatCode="[$-804]aaa"/>
    <numFmt numFmtId="7" formatCode="&quot;￥&quot;#,##0.00;&quot;￥&quot;\-#,##0.00"/>
    <numFmt numFmtId="43" formatCode="_ * #,##0.00_ ;_ * \-#,##0.00_ ;_ * &quot;-&quot;??_ ;_ @_ "/>
    <numFmt numFmtId="181" formatCode="[DBNum1]上午/下午h&quot;时&quot;mm&quot;分&quot;"/>
    <numFmt numFmtId="182" formatCode="[DBNum1][$-804]m&quot;月&quot;d&quot;日&quot;"/>
    <numFmt numFmtId="8" formatCode="&quot;￥&quot;#,##0.00;[Red]&quot;￥&quot;\-#,##0.00"/>
    <numFmt numFmtId="183" formatCode="#\ ?/?"/>
    <numFmt numFmtId="184" formatCode="[$-804]aaaa"/>
    <numFmt numFmtId="185" formatCode="\¥#,##0.00;[Red]\¥\-#,##0.00"/>
    <numFmt numFmtId="186" formatCode="yyyy/m/d\ h:mm\ AM/PM"/>
    <numFmt numFmtId="42" formatCode="_ &quot;￥&quot;* #,##0_ ;_ &quot;￥&quot;* \-#,##0_ ;_ &quot;￥&quot;* &quot;-&quot;_ ;_ @_ "/>
    <numFmt numFmtId="187" formatCode="yy/m/d"/>
    <numFmt numFmtId="188" formatCode="mmmmm\-yy"/>
    <numFmt numFmtId="189" formatCode="[DBNum1][$-804]yyyy&quot;年&quot;m&quot;月&quot;d&quot;日&quot;"/>
    <numFmt numFmtId="190" formatCode="\¥#,##0;\¥\-#,##0"/>
    <numFmt numFmtId="41" formatCode="_ * #,##0_ ;_ * \-#,##0_ ;_ * &quot;-&quot;_ ;_ @_ "/>
    <numFmt numFmtId="191" formatCode="mmmm\-yy"/>
    <numFmt numFmtId="192" formatCode="#\ ??"/>
    <numFmt numFmtId="193" formatCode="\¥#,##0;[Red]\¥\-#,##0"/>
    <numFmt numFmtId="194" formatCode="\¥#,##0.00;\¥\-#,##0.00"/>
    <numFmt numFmtId="195" formatCode="dd\-mmm\-yy"/>
    <numFmt numFmtId="44" formatCode="_ &quot;￥&quot;* #,##0.00_ ;_ &quot;￥&quot;* \-#,##0.00_ ;_ &quot;￥&quot;* &quot;-&quot;??_ ;_ @_ "/>
    <numFmt numFmtId="196" formatCode="[DBNum1]h&quot;时&quot;mm&quot;分&quot;"/>
    <numFmt numFmtId="197" formatCode="m/d"/>
    <numFmt numFmtId="198" formatCode="h:mm:ss\ AM/PM"/>
    <numFmt numFmtId="199" formatCode="h:mm\ AM/PM"/>
  </numFmts>
  <fonts count="27">
    <font>
      <sz val="11"/>
      <color theme="1"/>
      <name val="等线"/>
      <charset val="134"/>
      <scheme val="minor"/>
    </font>
    <font>
      <sz val="10"/>
      <color theme="1"/>
      <name val="Calibri"/>
      <charset val="134"/>
    </font>
    <font>
      <b/>
      <sz val="10"/>
      <color theme="0"/>
      <name val="Calibri"/>
      <charset val="134"/>
    </font>
    <font>
      <sz val="10"/>
      <color rgb="FF000000"/>
      <name val="Calibri"/>
      <charset val="134"/>
    </font>
    <font>
      <sz val="10.5"/>
      <color theme="1"/>
      <name val="等线"/>
      <charset val="134"/>
      <scheme val="minor"/>
    </font>
    <font>
      <b/>
      <sz val="10"/>
      <color rgb="FF000000"/>
      <name val="Calibri"/>
      <charset val="134"/>
    </font>
    <font>
      <b/>
      <sz val="10"/>
      <color rgb="FFFFFFFF"/>
      <name val="Calibri"/>
      <charset val="134"/>
    </font>
    <font>
      <b/>
      <sz val="10"/>
      <color theme="1"/>
      <name val="Calibri"/>
      <charset val="134"/>
    </font>
    <font>
      <sz val="11"/>
      <color theme="1"/>
      <name val="等线"/>
      <charset val="0"/>
      <scheme val="minor"/>
    </font>
    <font>
      <b/>
      <sz val="11"/>
      <color theme="3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b/>
      <sz val="13"/>
      <color theme="3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b/>
      <sz val="18"/>
      <color theme="3"/>
      <name val="等线"/>
      <charset val="134"/>
      <scheme val="minor"/>
    </font>
    <font>
      <sz val="11"/>
      <color rgb="FF006100"/>
      <name val="等线"/>
      <charset val="0"/>
      <scheme val="minor"/>
    </font>
    <font>
      <sz val="11"/>
      <color theme="0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9C0006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1"/>
      <color rgb="FFFA7D00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rgb="FFFA7D00"/>
      <name val="等线"/>
      <charset val="0"/>
      <scheme val="minor"/>
    </font>
    <font>
      <sz val="11"/>
      <color rgb="FF3F3F76"/>
      <name val="等线"/>
      <charset val="0"/>
      <scheme val="minor"/>
    </font>
    <font>
      <sz val="11"/>
      <color rgb="FFFF0000"/>
      <name val="等线"/>
      <charset val="0"/>
      <scheme val="minor"/>
    </font>
    <font>
      <i/>
      <sz val="11"/>
      <color rgb="FF7F7F7F"/>
      <name val="等线"/>
      <charset val="0"/>
      <scheme val="minor"/>
    </font>
    <font>
      <b/>
      <sz val="11"/>
      <color theme="1"/>
      <name val="等线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7E39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C99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15" fillId="3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15" fillId="38" borderId="0" applyNumberFormat="0" applyBorder="0" applyAlignment="0" applyProtection="0">
      <alignment vertical="center"/>
    </xf>
    <xf numFmtId="0" fontId="23" fillId="41" borderId="10" applyNumberFormat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15" fillId="27" borderId="0" applyNumberFormat="0" applyBorder="0" applyAlignment="0" applyProtection="0">
      <alignment vertical="center"/>
    </xf>
    <xf numFmtId="0" fontId="15" fillId="39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15" fillId="26" borderId="0" applyNumberFormat="0" applyBorder="0" applyAlignment="0" applyProtection="0">
      <alignment vertical="center"/>
    </xf>
    <xf numFmtId="0" fontId="20" fillId="20" borderId="10" applyNumberFormat="0" applyAlignment="0" applyProtection="0">
      <alignment vertical="center"/>
    </xf>
    <xf numFmtId="0" fontId="15" fillId="34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26" fillId="0" borderId="13" applyNumberFormat="0" applyFill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7" fillId="21" borderId="9" applyNumberFormat="0" applyAlignment="0" applyProtection="0">
      <alignment vertical="center"/>
    </xf>
    <xf numFmtId="0" fontId="16" fillId="20" borderId="8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15" fillId="36" borderId="0" applyNumberFormat="0" applyBorder="0" applyAlignment="0" applyProtection="0">
      <alignment vertical="center"/>
    </xf>
    <xf numFmtId="0" fontId="0" fillId="33" borderId="11" applyNumberFormat="0" applyFon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15" fillId="40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22" fillId="0" borderId="12" applyNumberFormat="0" applyFill="0" applyAlignment="0" applyProtection="0">
      <alignment vertical="center"/>
    </xf>
  </cellStyleXfs>
  <cellXfs count="44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/>
    </xf>
    <xf numFmtId="0" fontId="1" fillId="0" borderId="2" xfId="0" applyFont="1" applyBorder="1"/>
    <xf numFmtId="0" fontId="1" fillId="0" borderId="3" xfId="0" applyFont="1" applyBorder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1" fillId="0" borderId="3" xfId="0" applyFont="1" applyBorder="1" applyAlignment="1">
      <alignment wrapText="1"/>
    </xf>
    <xf numFmtId="0" fontId="1" fillId="0" borderId="3" xfId="0" applyFont="1" applyBorder="1" applyAlignment="1">
      <alignment horizontal="center"/>
    </xf>
    <xf numFmtId="0" fontId="3" fillId="0" borderId="0" xfId="0" applyFont="1"/>
    <xf numFmtId="0" fontId="2" fillId="3" borderId="3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14" fontId="1" fillId="0" borderId="3" xfId="0" applyNumberFormat="1" applyFont="1" applyBorder="1" applyAlignment="1">
      <alignment horizontal="center" vertical="center"/>
    </xf>
    <xf numFmtId="20" fontId="1" fillId="0" borderId="3" xfId="0" applyNumberFormat="1" applyFont="1" applyBorder="1" applyAlignment="1">
      <alignment horizontal="center" vertical="center"/>
    </xf>
    <xf numFmtId="0" fontId="3" fillId="0" borderId="3" xfId="0" applyFont="1" applyBorder="1"/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3" xfId="0" applyFont="1" applyFill="1" applyBorder="1" applyAlignment="1"/>
    <xf numFmtId="0" fontId="1" fillId="0" borderId="2" xfId="0" applyFont="1" applyBorder="1" applyAlignment="1">
      <alignment horizontal="center"/>
    </xf>
    <xf numFmtId="0" fontId="1" fillId="0" borderId="3" xfId="0" applyFont="1" applyFill="1" applyBorder="1" applyAlignment="1"/>
    <xf numFmtId="0" fontId="4" fillId="0" borderId="0" xfId="0" applyFont="1"/>
    <xf numFmtId="14" fontId="1" fillId="0" borderId="3" xfId="0" applyNumberFormat="1" applyFont="1" applyBorder="1" applyAlignment="1">
      <alignment horizontal="center"/>
    </xf>
    <xf numFmtId="20" fontId="3" fillId="0" borderId="3" xfId="0" applyNumberFormat="1" applyFont="1" applyBorder="1" applyAlignment="1">
      <alignment horizontal="center"/>
    </xf>
    <xf numFmtId="0" fontId="1" fillId="0" borderId="0" xfId="0" applyFont="1" applyAlignment="1">
      <alignment horizontal="center" wrapText="1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7" borderId="0" xfId="0" applyFont="1" applyFill="1"/>
    <xf numFmtId="0" fontId="6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wrapText="1"/>
    </xf>
    <xf numFmtId="0" fontId="3" fillId="0" borderId="1" xfId="0" applyFont="1" applyBorder="1" applyAlignment="1">
      <alignment horizontal="center" vertical="center" wrapText="1"/>
    </xf>
    <xf numFmtId="0" fontId="5" fillId="9" borderId="0" xfId="0" applyFont="1" applyFill="1"/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wrapText="1"/>
    </xf>
    <xf numFmtId="14" fontId="3" fillId="10" borderId="1" xfId="0" applyNumberFormat="1" applyFont="1" applyFill="1" applyBorder="1" applyAlignment="1">
      <alignment horizontal="center" vertical="center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colors>
    <mruColors>
      <color rgb="00007E39"/>
      <color rgb="0000964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customXml" Target="../customXml/item3.xml"/><Relationship Id="rId8" Type="http://schemas.openxmlformats.org/officeDocument/2006/relationships/customXml" Target="../customXml/item2.xml"/><Relationship Id="rId7" Type="http://schemas.openxmlformats.org/officeDocument/2006/relationships/customXml" Target="../customXml/item1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Q13"/>
  <sheetViews>
    <sheetView topLeftCell="D7" workbookViewId="0">
      <selection activeCell="H5" sqref="H5"/>
    </sheetView>
  </sheetViews>
  <sheetFormatPr defaultColWidth="9" defaultRowHeight="12.75"/>
  <cols>
    <col min="1" max="1" width="9" style="2"/>
    <col min="2" max="2" width="9" style="1"/>
    <col min="3" max="4" width="7.6" style="27" customWidth="1"/>
    <col min="5" max="5" width="9" style="28"/>
    <col min="6" max="14" width="9" style="29"/>
    <col min="15" max="16384" width="9" style="2"/>
  </cols>
  <sheetData>
    <row r="2" spans="1:1">
      <c r="A2" s="30" t="s">
        <v>0</v>
      </c>
    </row>
    <row r="4" ht="25.5" spans="2:17">
      <c r="B4" s="31" t="s">
        <v>1</v>
      </c>
      <c r="C4" s="32" t="s">
        <v>2</v>
      </c>
      <c r="D4" s="33" t="s">
        <v>3</v>
      </c>
      <c r="E4" s="43">
        <v>46141</v>
      </c>
      <c r="F4" s="43">
        <f>E4+1</f>
        <v>46142</v>
      </c>
      <c r="G4" s="43">
        <f t="shared" ref="G4:Q4" si="0">F4+1</f>
        <v>46143</v>
      </c>
      <c r="H4" s="43">
        <f t="shared" si="0"/>
        <v>46144</v>
      </c>
      <c r="I4" s="43">
        <f t="shared" si="0"/>
        <v>46145</v>
      </c>
      <c r="J4" s="43">
        <f t="shared" si="0"/>
        <v>46146</v>
      </c>
      <c r="K4" s="43">
        <f t="shared" si="0"/>
        <v>46147</v>
      </c>
      <c r="L4" s="43">
        <f t="shared" si="0"/>
        <v>46148</v>
      </c>
      <c r="M4" s="43">
        <f t="shared" si="0"/>
        <v>46149</v>
      </c>
      <c r="N4" s="43">
        <f t="shared" si="0"/>
        <v>46150</v>
      </c>
      <c r="O4" s="43">
        <f t="shared" si="0"/>
        <v>46151</v>
      </c>
      <c r="P4" s="43">
        <f t="shared" si="0"/>
        <v>46152</v>
      </c>
      <c r="Q4" s="43">
        <f t="shared" si="0"/>
        <v>46153</v>
      </c>
    </row>
    <row r="5" spans="2:17">
      <c r="B5" s="34" t="s">
        <v>0</v>
      </c>
      <c r="C5" s="35">
        <f>COUNTIFS('Ha Noi Progress Tracker'!D:D,"&lt;&gt;",'Ha Noi Progress Tracker'!G:G,"&lt;&gt;",'Ha Noi Progress Tracker'!B:B,B5)</f>
        <v>3</v>
      </c>
      <c r="D5" s="36" t="s">
        <v>4</v>
      </c>
      <c r="E5" s="36">
        <f>COUNTIFS('Ha Noi Progress Tracker'!$B:$B,$B$5,'Ha Noi Progress Tracker'!$D:$D,"&lt;&gt;",'Ha Noi Progress Tracker'!$G:$G,E4)</f>
        <v>0</v>
      </c>
      <c r="F5" s="36">
        <f>COUNTIFS('Ha Noi Progress Tracker'!$B:$B,$B$5,'Ha Noi Progress Tracker'!$D:$D,"&lt;&gt;",'Ha Noi Progress Tracker'!$G:$G,F4)</f>
        <v>0</v>
      </c>
      <c r="G5" s="36">
        <f>COUNTIFS('Ha Noi Progress Tracker'!$B:$B,$B$5,'Ha Noi Progress Tracker'!$D:$D,"&lt;&gt;",'Ha Noi Progress Tracker'!$G:$G,G4)</f>
        <v>0</v>
      </c>
      <c r="H5" s="36">
        <f>COUNTIFS('Ha Noi Progress Tracker'!$B:$B,$B$5,'Ha Noi Progress Tracker'!$D:$D,"&lt;&gt;",'Ha Noi Progress Tracker'!$G:$G,H4)</f>
        <v>0</v>
      </c>
      <c r="I5" s="36">
        <f>COUNTIFS('Ha Noi Progress Tracker'!$B:$B,$B$5,'Ha Noi Progress Tracker'!$D:$D,"&lt;&gt;",'Ha Noi Progress Tracker'!$G:$G,I4)</f>
        <v>0</v>
      </c>
      <c r="J5" s="36">
        <f>COUNTIFS('Ha Noi Progress Tracker'!$B:$B,$B$5,'Ha Noi Progress Tracker'!$D:$D,"&lt;&gt;",'Ha Noi Progress Tracker'!$G:$G,J4)</f>
        <v>0</v>
      </c>
      <c r="K5" s="36">
        <f>COUNTIFS('Ha Noi Progress Tracker'!$B:$B,$B$5,'Ha Noi Progress Tracker'!$D:$D,"&lt;&gt;",'Ha Noi Progress Tracker'!$G:$G,K4)</f>
        <v>0</v>
      </c>
      <c r="L5" s="36">
        <f>COUNTIFS('Ha Noi Progress Tracker'!$B:$B,$B$5,'Ha Noi Progress Tracker'!$D:$D,"&lt;&gt;",'Ha Noi Progress Tracker'!$G:$G,L4)</f>
        <v>1</v>
      </c>
      <c r="M5" s="36">
        <f>COUNTIFS('Ha Noi Progress Tracker'!$B:$B,$B$5,'Ha Noi Progress Tracker'!$D:$D,"&lt;&gt;",'Ha Noi Progress Tracker'!$G:$G,M4)</f>
        <v>0</v>
      </c>
      <c r="N5" s="36">
        <f>COUNTIFS('Ha Noi Progress Tracker'!$B:$B,$B$5,'Ha Noi Progress Tracker'!$D:$D,"&lt;&gt;",'Ha Noi Progress Tracker'!$G:$G,N4)</f>
        <v>0</v>
      </c>
      <c r="O5" s="36">
        <f>COUNTIFS('Ha Noi Progress Tracker'!$B:$B,$B$5,'Ha Noi Progress Tracker'!$D:$D,"&lt;&gt;",'Ha Noi Progress Tracker'!$G:$G,O4)</f>
        <v>0</v>
      </c>
      <c r="P5" s="36">
        <f>COUNTIFS('Ha Noi Progress Tracker'!$B:$B,$B$5,'Ha Noi Progress Tracker'!$D:$D,"&lt;&gt;",'Ha Noi Progress Tracker'!$G:$G,P4)</f>
        <v>0</v>
      </c>
      <c r="Q5" s="36">
        <f>COUNTIFS('Ha Noi Progress Tracker'!$B:$B,$B$5,'Ha Noi Progress Tracker'!$D:$D,"&lt;&gt;",'Ha Noi Progress Tracker'!$G:$G,Q4)</f>
        <v>2</v>
      </c>
    </row>
    <row r="6" spans="2:17">
      <c r="B6" s="37"/>
      <c r="C6" s="38">
        <f>COUNTIFS('Ha Noi Progress Tracker'!B:B,B5,'Ha Noi Progress Tracker'!J:J,"&lt;&gt;",'Ha Noi Progress Tracker'!D:D,"&lt;&gt;")</f>
        <v>3</v>
      </c>
      <c r="D6" s="39" t="s">
        <v>5</v>
      </c>
      <c r="E6" s="36">
        <f>COUNTIFS('Ha Noi Progress Tracker'!$D:$D,"&lt;&gt;",'Ha Noi Progress Tracker'!$B:$B,$B$5,'Ha Noi Progress Tracker'!$J:$J,E4)</f>
        <v>0</v>
      </c>
      <c r="F6" s="36">
        <f>COUNTIFS('Ha Noi Progress Tracker'!$D:$D,"&lt;&gt;",'Ha Noi Progress Tracker'!$B:$B,$B$5,'Ha Noi Progress Tracker'!$J:$J,F4)</f>
        <v>0</v>
      </c>
      <c r="G6" s="36">
        <f>COUNTIFS('Ha Noi Progress Tracker'!$D:$D,"&lt;&gt;",'Ha Noi Progress Tracker'!$B:$B,$B$5,'Ha Noi Progress Tracker'!$J:$J,G4)</f>
        <v>0</v>
      </c>
      <c r="H6" s="36">
        <f>COUNTIFS('Ha Noi Progress Tracker'!$D:$D,"&lt;&gt;",'Ha Noi Progress Tracker'!$B:$B,$B$5,'Ha Noi Progress Tracker'!$J:$J,H4)</f>
        <v>0</v>
      </c>
      <c r="I6" s="36">
        <f>COUNTIFS('Ha Noi Progress Tracker'!$D:$D,"&lt;&gt;",'Ha Noi Progress Tracker'!$B:$B,$B$5,'Ha Noi Progress Tracker'!$J:$J,I4)</f>
        <v>0</v>
      </c>
      <c r="J6" s="36">
        <f>COUNTIFS('Ha Noi Progress Tracker'!$D:$D,"&lt;&gt;",'Ha Noi Progress Tracker'!$B:$B,$B$5,'Ha Noi Progress Tracker'!$J:$J,J4)</f>
        <v>0</v>
      </c>
      <c r="K6" s="36">
        <f>COUNTIFS('Ha Noi Progress Tracker'!$D:$D,"&lt;&gt;",'Ha Noi Progress Tracker'!$B:$B,$B$5,'Ha Noi Progress Tracker'!$J:$J,K4)</f>
        <v>0</v>
      </c>
      <c r="L6" s="36">
        <f>COUNTIFS('Ha Noi Progress Tracker'!$D:$D,"&lt;&gt;",'Ha Noi Progress Tracker'!$B:$B,$B$5,'Ha Noi Progress Tracker'!$J:$J,L4)</f>
        <v>1</v>
      </c>
      <c r="M6" s="36">
        <f>COUNTIFS('Ha Noi Progress Tracker'!$D:$D,"&lt;&gt;",'Ha Noi Progress Tracker'!$B:$B,$B$5,'Ha Noi Progress Tracker'!$J:$J,M4)</f>
        <v>0</v>
      </c>
      <c r="N6" s="36">
        <f>COUNTIFS('Ha Noi Progress Tracker'!$D:$D,"&lt;&gt;",'Ha Noi Progress Tracker'!$B:$B,$B$5,'Ha Noi Progress Tracker'!$J:$J,N4)</f>
        <v>0</v>
      </c>
      <c r="O6" s="36">
        <f>COUNTIFS('Ha Noi Progress Tracker'!$D:$D,"&lt;&gt;",'Ha Noi Progress Tracker'!$B:$B,$B$5,'Ha Noi Progress Tracker'!$J:$J,O4)</f>
        <v>0</v>
      </c>
      <c r="P6" s="36">
        <f>COUNTIFS('Ha Noi Progress Tracker'!$D:$D,"&lt;&gt;",'Ha Noi Progress Tracker'!$B:$B,$B$5,'Ha Noi Progress Tracker'!$J:$J,P4)</f>
        <v>0</v>
      </c>
      <c r="Q6" s="36">
        <f>COUNTIFS('Ha Noi Progress Tracker'!$D:$D,"&lt;&gt;",'Ha Noi Progress Tracker'!$B:$B,$B$5,'Ha Noi Progress Tracker'!$J:$J,Q4)</f>
        <v>0</v>
      </c>
    </row>
    <row r="7" spans="15:17">
      <c r="O7" s="29"/>
      <c r="P7" s="29"/>
      <c r="Q7" s="29"/>
    </row>
    <row r="8" spans="15:17">
      <c r="O8" s="29"/>
      <c r="P8" s="29"/>
      <c r="Q8" s="29"/>
    </row>
    <row r="9" spans="15:17">
      <c r="O9" s="29"/>
      <c r="P9" s="29"/>
      <c r="Q9" s="29"/>
    </row>
    <row r="10" spans="1:17">
      <c r="A10" s="40" t="s">
        <v>6</v>
      </c>
      <c r="O10" s="29"/>
      <c r="P10" s="29"/>
      <c r="Q10" s="29"/>
    </row>
    <row r="11" spans="1:17">
      <c r="A11" s="27"/>
      <c r="O11" s="29"/>
      <c r="P11" s="29"/>
      <c r="Q11" s="29"/>
    </row>
    <row r="12" ht="25.5" spans="2:17">
      <c r="B12" s="31" t="s">
        <v>1</v>
      </c>
      <c r="C12" s="32" t="s">
        <v>2</v>
      </c>
      <c r="D12" s="33" t="s">
        <v>3</v>
      </c>
      <c r="E12" s="43">
        <v>46141</v>
      </c>
      <c r="F12" s="43">
        <f>E12+1</f>
        <v>46142</v>
      </c>
      <c r="G12" s="43">
        <f t="shared" ref="G12:Q12" si="1">F12+1</f>
        <v>46143</v>
      </c>
      <c r="H12" s="43">
        <f t="shared" si="1"/>
        <v>46144</v>
      </c>
      <c r="I12" s="43">
        <f t="shared" si="1"/>
        <v>46145</v>
      </c>
      <c r="J12" s="43">
        <f t="shared" si="1"/>
        <v>46146</v>
      </c>
      <c r="K12" s="43">
        <f t="shared" si="1"/>
        <v>46147</v>
      </c>
      <c r="L12" s="43">
        <f t="shared" si="1"/>
        <v>46148</v>
      </c>
      <c r="M12" s="43">
        <f t="shared" si="1"/>
        <v>46149</v>
      </c>
      <c r="N12" s="43">
        <f t="shared" si="1"/>
        <v>46150</v>
      </c>
      <c r="O12" s="43">
        <f t="shared" si="1"/>
        <v>46151</v>
      </c>
      <c r="P12" s="43">
        <f t="shared" si="1"/>
        <v>46152</v>
      </c>
      <c r="Q12" s="43">
        <f t="shared" si="1"/>
        <v>46153</v>
      </c>
    </row>
    <row r="13" spans="2:17">
      <c r="B13" s="41" t="s">
        <v>7</v>
      </c>
      <c r="C13" s="38">
        <f>COUNTIFS('North Progress Tracker'!B:B,B13,'North Progress Tracker'!C:C,"&lt;&gt;")</f>
        <v>3</v>
      </c>
      <c r="D13" s="42" t="s">
        <v>5</v>
      </c>
      <c r="E13" s="36">
        <f>COUNTIFS('North Progress Tracker'!$B:$B,$B$13,'North Progress Tracker'!$I:$I,E12,'North Progress Tracker'!$C:$C,"&lt;&gt;")</f>
        <v>1</v>
      </c>
      <c r="F13" s="36">
        <f>COUNTIFS('North Progress Tracker'!$B:$B,$B$13,'North Progress Tracker'!$I:$I,F12,'North Progress Tracker'!$C:$C,"&lt;&gt;")</f>
        <v>0</v>
      </c>
      <c r="G13" s="36">
        <f>COUNTIFS('North Progress Tracker'!$B:$B,$B$13,'North Progress Tracker'!$I:$I,G12,'North Progress Tracker'!$C:$C,"&lt;&gt;")</f>
        <v>0</v>
      </c>
      <c r="H13" s="36">
        <f>COUNTIFS('North Progress Tracker'!$B:$B,$B$13,'North Progress Tracker'!$I:$I,H12,'North Progress Tracker'!$C:$C,"&lt;&gt;")</f>
        <v>0</v>
      </c>
      <c r="I13" s="36">
        <f>COUNTIFS('North Progress Tracker'!$B:$B,$B$13,'North Progress Tracker'!$I:$I,I12,'North Progress Tracker'!$C:$C,"&lt;&gt;")</f>
        <v>0</v>
      </c>
      <c r="J13" s="36">
        <f>COUNTIFS('North Progress Tracker'!$B:$B,$B$13,'North Progress Tracker'!$I:$I,J12,'North Progress Tracker'!$C:$C,"&lt;&gt;")</f>
        <v>0</v>
      </c>
      <c r="K13" s="36">
        <f>COUNTIFS('North Progress Tracker'!$B:$B,$B$13,'North Progress Tracker'!$I:$I,K12,'North Progress Tracker'!$C:$C,"&lt;&gt;")</f>
        <v>0</v>
      </c>
      <c r="L13" s="36">
        <f>COUNTIFS('North Progress Tracker'!$B:$B,$B$13,'North Progress Tracker'!$I:$I,L12,'North Progress Tracker'!$C:$C,"&lt;&gt;")</f>
        <v>0</v>
      </c>
      <c r="M13" s="36">
        <f>COUNTIFS('North Progress Tracker'!$B:$B,$B$13,'North Progress Tracker'!$I:$I,M12,'North Progress Tracker'!$C:$C,"&lt;&gt;")</f>
        <v>1</v>
      </c>
      <c r="N13" s="36">
        <f>COUNTIFS('North Progress Tracker'!$B:$B,$B$13,'North Progress Tracker'!$I:$I,N12,'North Progress Tracker'!$C:$C,"&lt;&gt;")</f>
        <v>1</v>
      </c>
      <c r="O13" s="36">
        <f>COUNTIFS('North Progress Tracker'!$B:$B,$B$13,'North Progress Tracker'!$I:$I,O12,'North Progress Tracker'!$C:$C,"&lt;&gt;")</f>
        <v>0</v>
      </c>
      <c r="P13" s="36">
        <f>COUNTIFS('North Progress Tracker'!$B:$B,$B$13,'North Progress Tracker'!$I:$I,P12,'North Progress Tracker'!$C:$C,"&lt;&gt;")</f>
        <v>0</v>
      </c>
      <c r="Q13" s="36">
        <f>COUNTIFS('North Progress Tracker'!$B:$B,$B$13,'North Progress Tracker'!$I:$I,Q12,'North Progress Tracker'!$C:$C,"&lt;&gt;")</f>
        <v>0</v>
      </c>
    </row>
  </sheetData>
  <sheetProtection formatCells="0" insertHyperlinks="0" autoFilter="0"/>
  <mergeCells count="1">
    <mergeCell ref="B5:B6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0"/>
  <sheetViews>
    <sheetView tabSelected="1" topLeftCell="E3" workbookViewId="0">
      <selection activeCell="E4" sqref="E4"/>
    </sheetView>
  </sheetViews>
  <sheetFormatPr defaultColWidth="9" defaultRowHeight="12.75"/>
  <cols>
    <col min="1" max="1" width="3.375" style="1" customWidth="1"/>
    <col min="2" max="2" width="7.25" style="1" customWidth="1"/>
    <col min="3" max="3" width="10.4416666666667" style="2" customWidth="1"/>
    <col min="4" max="4" width="25.4166666666667" style="2" customWidth="1"/>
    <col min="5" max="5" width="11.775" style="2" customWidth="1"/>
    <col min="6" max="7" width="14.2166666666667" style="2" customWidth="1"/>
    <col min="8" max="8" width="13.2166666666667" style="2" customWidth="1"/>
    <col min="9" max="10" width="14.2166666666667" style="2" customWidth="1"/>
    <col min="11" max="11" width="13.2166666666667" style="2" customWidth="1"/>
    <col min="12" max="12" width="27.3083333333333" style="2" customWidth="1"/>
    <col min="13" max="16384" width="9" style="2"/>
  </cols>
  <sheetData>
    <row r="1" ht="21.85" customHeight="1" spans="2:12">
      <c r="B1" s="10"/>
      <c r="C1" s="5"/>
      <c r="D1" s="5"/>
      <c r="E1" s="5"/>
      <c r="F1" s="12" t="s">
        <v>4</v>
      </c>
      <c r="G1" s="12"/>
      <c r="H1" s="12"/>
      <c r="I1" s="13" t="s">
        <v>5</v>
      </c>
      <c r="J1" s="13"/>
      <c r="K1" s="13"/>
      <c r="L1" s="5"/>
    </row>
    <row r="2" ht="23" customHeight="1" spans="1:12">
      <c r="A2" s="6" t="s">
        <v>8</v>
      </c>
      <c r="B2" s="7" t="s">
        <v>1</v>
      </c>
      <c r="C2" s="8" t="s">
        <v>9</v>
      </c>
      <c r="D2" s="8" t="s">
        <v>10</v>
      </c>
      <c r="E2" s="8" t="s">
        <v>11</v>
      </c>
      <c r="F2" s="14" t="s">
        <v>12</v>
      </c>
      <c r="G2" s="14" t="s">
        <v>13</v>
      </c>
      <c r="H2" s="14" t="s">
        <v>14</v>
      </c>
      <c r="I2" s="15" t="s">
        <v>12</v>
      </c>
      <c r="J2" s="15" t="s">
        <v>13</v>
      </c>
      <c r="K2" s="15" t="s">
        <v>14</v>
      </c>
      <c r="L2" s="8" t="s">
        <v>15</v>
      </c>
    </row>
    <row r="3" spans="1:13">
      <c r="A3" s="3">
        <v>1</v>
      </c>
      <c r="B3" s="19" t="s">
        <v>0</v>
      </c>
      <c r="C3" s="20" t="s">
        <v>16</v>
      </c>
      <c r="D3" s="5" t="s">
        <v>17</v>
      </c>
      <c r="E3" s="10" t="s">
        <v>18</v>
      </c>
      <c r="F3" s="16">
        <v>46148</v>
      </c>
      <c r="G3" s="16">
        <v>46148</v>
      </c>
      <c r="H3" s="17">
        <v>0.699305555555556</v>
      </c>
      <c r="I3" s="16">
        <v>46148</v>
      </c>
      <c r="J3" s="16">
        <v>46148</v>
      </c>
      <c r="K3" s="17">
        <v>0.699305555555556</v>
      </c>
      <c r="L3" s="5" t="s">
        <v>19</v>
      </c>
      <c r="M3" s="11"/>
    </row>
    <row r="4" spans="1:12">
      <c r="A4" s="3">
        <v>2</v>
      </c>
      <c r="B4" s="19" t="s">
        <v>0</v>
      </c>
      <c r="C4" s="20" t="s">
        <v>16</v>
      </c>
      <c r="D4" s="18" t="s">
        <v>20</v>
      </c>
      <c r="E4" s="20" t="s">
        <v>18</v>
      </c>
      <c r="F4" s="25">
        <v>46153</v>
      </c>
      <c r="G4" s="25">
        <v>46153</v>
      </c>
      <c r="H4" s="26">
        <v>0.635416666666667</v>
      </c>
      <c r="I4" s="20" t="s">
        <v>21</v>
      </c>
      <c r="J4" s="20" t="s">
        <v>21</v>
      </c>
      <c r="K4" s="20" t="s">
        <v>21</v>
      </c>
      <c r="L4" s="18" t="s">
        <v>22</v>
      </c>
    </row>
    <row r="5" spans="1:12">
      <c r="A5" s="3">
        <v>3</v>
      </c>
      <c r="B5" s="19" t="s">
        <v>0</v>
      </c>
      <c r="C5" s="20" t="s">
        <v>16</v>
      </c>
      <c r="D5" s="21" t="s">
        <v>23</v>
      </c>
      <c r="E5" s="20" t="s">
        <v>18</v>
      </c>
      <c r="F5" s="25">
        <v>46153</v>
      </c>
      <c r="G5" s="25">
        <v>46153</v>
      </c>
      <c r="H5" s="26">
        <v>0.753472222222222</v>
      </c>
      <c r="I5" s="20" t="s">
        <v>21</v>
      </c>
      <c r="J5" s="20" t="s">
        <v>21</v>
      </c>
      <c r="K5" s="20" t="s">
        <v>21</v>
      </c>
      <c r="L5" s="18" t="s">
        <v>22</v>
      </c>
    </row>
    <row r="6" spans="1:12">
      <c r="A6" s="3"/>
      <c r="B6" s="22"/>
      <c r="C6" s="5"/>
      <c r="D6" s="23"/>
      <c r="E6" s="10"/>
      <c r="F6" s="5"/>
      <c r="G6" s="5"/>
      <c r="H6" s="5"/>
      <c r="I6" s="5"/>
      <c r="J6" s="5"/>
      <c r="K6" s="5"/>
      <c r="L6" s="5"/>
    </row>
    <row r="7" spans="1:12">
      <c r="A7" s="3"/>
      <c r="B7" s="22"/>
      <c r="C7" s="5"/>
      <c r="D7" s="23"/>
      <c r="E7" s="10"/>
      <c r="F7" s="5"/>
      <c r="G7" s="5"/>
      <c r="H7" s="5"/>
      <c r="I7" s="5"/>
      <c r="J7" s="5"/>
      <c r="K7" s="5"/>
      <c r="L7" s="5"/>
    </row>
    <row r="8" spans="1:12">
      <c r="A8" s="3"/>
      <c r="B8" s="22"/>
      <c r="C8" s="5"/>
      <c r="D8" s="23"/>
      <c r="E8" s="10"/>
      <c r="F8" s="5"/>
      <c r="G8" s="5"/>
      <c r="H8" s="5"/>
      <c r="I8" s="5"/>
      <c r="J8" s="5"/>
      <c r="K8" s="5"/>
      <c r="L8" s="5"/>
    </row>
    <row r="9" spans="1:12">
      <c r="A9" s="3"/>
      <c r="B9" s="22"/>
      <c r="C9" s="5"/>
      <c r="D9" s="23"/>
      <c r="E9" s="10"/>
      <c r="F9" s="5"/>
      <c r="G9" s="5"/>
      <c r="H9" s="5"/>
      <c r="I9" s="5"/>
      <c r="J9" s="5"/>
      <c r="K9" s="5"/>
      <c r="L9" s="5"/>
    </row>
    <row r="10" spans="1:12">
      <c r="A10" s="3"/>
      <c r="B10" s="22"/>
      <c r="C10" s="5"/>
      <c r="D10" s="23"/>
      <c r="E10" s="10"/>
      <c r="F10" s="5"/>
      <c r="G10" s="5"/>
      <c r="H10" s="5"/>
      <c r="I10" s="5"/>
      <c r="J10" s="5"/>
      <c r="K10" s="5"/>
      <c r="L10" s="5"/>
    </row>
    <row r="11" spans="1:12">
      <c r="A11" s="3"/>
      <c r="B11" s="22"/>
      <c r="C11" s="5"/>
      <c r="D11" s="23"/>
      <c r="E11" s="10"/>
      <c r="F11" s="5"/>
      <c r="G11" s="5"/>
      <c r="H11" s="5"/>
      <c r="I11" s="5"/>
      <c r="J11" s="5"/>
      <c r="K11" s="5"/>
      <c r="L11" s="5"/>
    </row>
    <row r="17" ht="13.5" spans="9:9">
      <c r="I17" s="24"/>
    </row>
    <row r="20" ht="13.5" spans="4:4">
      <c r="D20" s="24"/>
    </row>
  </sheetData>
  <sheetProtection formatCells="0" insertHyperlinks="0" autoFilter="0"/>
  <mergeCells count="2">
    <mergeCell ref="F1:H1"/>
    <mergeCell ref="I1:K1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workbookViewId="0">
      <selection activeCell="F16" sqref="F16"/>
    </sheetView>
  </sheetViews>
  <sheetFormatPr defaultColWidth="9" defaultRowHeight="12.75"/>
  <cols>
    <col min="1" max="1" width="9" style="1"/>
    <col min="2" max="2" width="10" style="2" customWidth="1"/>
    <col min="3" max="3" width="26.375" style="2" customWidth="1"/>
    <col min="4" max="4" width="9.775" style="2" customWidth="1"/>
    <col min="5" max="5" width="10.3333333333333" style="2" customWidth="1"/>
    <col min="6" max="6" width="9.88333333333333" style="2" customWidth="1"/>
    <col min="7" max="7" width="10.775" style="2" customWidth="1"/>
    <col min="8" max="8" width="10.3333333333333" style="2" customWidth="1"/>
    <col min="9" max="9" width="9.88333333333333" style="2" customWidth="1"/>
    <col min="10" max="10" width="10.775" style="2" customWidth="1"/>
    <col min="11" max="11" width="33.875" style="2" customWidth="1"/>
    <col min="12" max="16384" width="9" style="2"/>
  </cols>
  <sheetData>
    <row r="1" ht="19.35" customHeight="1" spans="1:11">
      <c r="A1" s="3"/>
      <c r="B1" s="4"/>
      <c r="C1" s="5"/>
      <c r="D1" s="5"/>
      <c r="E1" s="12" t="s">
        <v>4</v>
      </c>
      <c r="F1" s="12"/>
      <c r="G1" s="12"/>
      <c r="H1" s="13" t="s">
        <v>5</v>
      </c>
      <c r="I1" s="13"/>
      <c r="J1" s="13"/>
      <c r="K1" s="5"/>
    </row>
    <row r="2" ht="20.1" customHeight="1" spans="1:11">
      <c r="A2" s="6" t="s">
        <v>8</v>
      </c>
      <c r="B2" s="7" t="s">
        <v>1</v>
      </c>
      <c r="C2" s="8" t="s">
        <v>10</v>
      </c>
      <c r="D2" s="8" t="s">
        <v>11</v>
      </c>
      <c r="E2" s="14" t="s">
        <v>12</v>
      </c>
      <c r="F2" s="14" t="s">
        <v>13</v>
      </c>
      <c r="G2" s="14" t="s">
        <v>14</v>
      </c>
      <c r="H2" s="15" t="s">
        <v>12</v>
      </c>
      <c r="I2" s="15" t="s">
        <v>13</v>
      </c>
      <c r="J2" s="15" t="s">
        <v>14</v>
      </c>
      <c r="K2" s="8" t="s">
        <v>15</v>
      </c>
    </row>
    <row r="3" spans="1:11">
      <c r="A3" s="3">
        <v>1</v>
      </c>
      <c r="B3" s="4" t="s">
        <v>7</v>
      </c>
      <c r="C3" s="9" t="s">
        <v>24</v>
      </c>
      <c r="D3" s="10" t="s">
        <v>18</v>
      </c>
      <c r="E3" s="16"/>
      <c r="F3" s="16"/>
      <c r="G3" s="17"/>
      <c r="H3" s="16">
        <v>46141</v>
      </c>
      <c r="I3" s="16">
        <v>46141</v>
      </c>
      <c r="J3" s="17">
        <v>0.791666666666667</v>
      </c>
      <c r="K3" s="5" t="s">
        <v>25</v>
      </c>
    </row>
    <row r="4" spans="1:11">
      <c r="A4" s="3">
        <v>2</v>
      </c>
      <c r="B4" s="4" t="s">
        <v>7</v>
      </c>
      <c r="C4" s="5" t="s">
        <v>26</v>
      </c>
      <c r="D4" s="10" t="s">
        <v>18</v>
      </c>
      <c r="E4" s="5"/>
      <c r="F4" s="5"/>
      <c r="G4" s="5"/>
      <c r="H4" s="16">
        <v>46149</v>
      </c>
      <c r="I4" s="16">
        <v>46149</v>
      </c>
      <c r="J4" s="17">
        <v>0.659722222222222</v>
      </c>
      <c r="K4" s="5" t="s">
        <v>25</v>
      </c>
    </row>
    <row r="5" spans="1:11">
      <c r="A5" s="3">
        <v>3</v>
      </c>
      <c r="B5" s="4" t="s">
        <v>7</v>
      </c>
      <c r="C5" s="5" t="s">
        <v>27</v>
      </c>
      <c r="D5" s="10" t="s">
        <v>18</v>
      </c>
      <c r="E5" s="5"/>
      <c r="F5" s="5"/>
      <c r="G5" s="5"/>
      <c r="H5" s="16">
        <v>46149</v>
      </c>
      <c r="I5" s="16">
        <v>46150</v>
      </c>
      <c r="J5" s="17">
        <v>0.395833333333333</v>
      </c>
      <c r="K5" s="18" t="s">
        <v>28</v>
      </c>
    </row>
    <row r="6" spans="1:11">
      <c r="A6" s="3"/>
      <c r="B6" s="4"/>
      <c r="C6" s="5"/>
      <c r="D6" s="10"/>
      <c r="E6" s="16"/>
      <c r="F6" s="16"/>
      <c r="G6" s="17"/>
      <c r="H6" s="16"/>
      <c r="I6" s="16"/>
      <c r="J6" s="17"/>
      <c r="K6" s="5"/>
    </row>
    <row r="7" spans="1:11">
      <c r="A7" s="3"/>
      <c r="B7" s="4"/>
      <c r="C7" s="5"/>
      <c r="D7" s="5"/>
      <c r="E7" s="5"/>
      <c r="F7" s="5"/>
      <c r="G7" s="5"/>
      <c r="H7" s="5"/>
      <c r="I7" s="5"/>
      <c r="J7" s="5"/>
      <c r="K7" s="5"/>
    </row>
    <row r="8" spans="1:11">
      <c r="A8" s="3"/>
      <c r="B8" s="4"/>
      <c r="C8" s="5"/>
      <c r="D8" s="5"/>
      <c r="E8" s="5"/>
      <c r="F8" s="5"/>
      <c r="G8" s="5"/>
      <c r="H8" s="5"/>
      <c r="I8" s="5"/>
      <c r="J8" s="5"/>
      <c r="K8" s="5"/>
    </row>
    <row r="9" spans="1:11">
      <c r="A9" s="3"/>
      <c r="B9" s="4"/>
      <c r="C9" s="5"/>
      <c r="D9" s="5"/>
      <c r="E9" s="5"/>
      <c r="F9" s="5"/>
      <c r="G9" s="5"/>
      <c r="H9" s="5"/>
      <c r="I9" s="5"/>
      <c r="J9" s="5"/>
      <c r="K9" s="5"/>
    </row>
    <row r="17" spans="3:3">
      <c r="C17" s="11"/>
    </row>
  </sheetData>
  <sheetProtection formatCells="0" insertHyperlinks="0" autoFilter="0"/>
  <mergeCells count="2">
    <mergeCell ref="E1:G1"/>
    <mergeCell ref="H1:J1"/>
  </mergeCells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autofilters xmlns="https://web.wps.cn/et/2018/main"/>
</file>

<file path=customXml/item2.xml><?xml version="1.0" encoding="utf-8"?>
<woProps xmlns="https://web.wps.cn/et/2018/main" xmlns:s="http://schemas.openxmlformats.org/spreadsheetml/2006/main">
  <woSheetsProps>
    <woSheetProps sheetStid="4" interlineOnOff="0" interlineColor="0" isDbSheet="0" isDashBoardSheet="0" isDbDashBoardSheet="0" isFlexPaperSheet="0">
      <cellprotection/>
      <appEtDbRelations/>
    </woSheetProps>
    <woSheetProps sheetStid="1" interlineOnOff="0" interlineColor="0" isDbSheet="0" isDashBoardSheet="0" isDbDashBoardSheet="0" isFlexPaperSheet="0"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</woSheetsProps>
  <woBookProps>
    <bookSettings isFilterShared="0" coreConquerUserId="" isAutoUpdatePaused="0" filterType="user" isMergeTasksAutoUpdate="0" isInserPicAsAttachment="0"/>
  </woBookProps>
</woProps>
</file>

<file path=customXml/item3.xml><?xml version="1.0" encoding="utf-8"?>
<pixelators xmlns="https://web.wps.cn/et/2018/main" xmlns:s="http://schemas.openxmlformats.org/spreadsheetml/2006/main">
  <pixelatorList sheetStid="4"/>
  <pixelatorList sheetStid="1"/>
  <pixelatorList sheetStid="2"/>
  <pixelatorList sheetStid="5"/>
</pixelators>
</file>

<file path=customXml/itemProps1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WWO_wpscloud_20230922035034-9147342a44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Summary</vt:lpstr>
      <vt:lpstr>Ha Noi Progress Tracker</vt:lpstr>
      <vt:lpstr>North Progress Tracker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wanghaipeng (H)</dc:creator>
  <cp:lastModifiedBy>Nguyen Thanh Dong</cp:lastModifiedBy>
  <dcterms:created xsi:type="dcterms:W3CDTF">2026-05-14T00:51:00Z</dcterms:created>
  <dcterms:modified xsi:type="dcterms:W3CDTF">2026-05-14T01:47:00Z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</Properties>
</file>