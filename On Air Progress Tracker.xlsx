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6" windowHeight="13896" activeTab="4"/>
  </bookViews>
  <sheets>
    <sheet name="Summary" sheetId="4" r:id="rId1"/>
    <sheet name="Ha Noi Progress" sheetId="1" r:id="rId2"/>
    <sheet name="North 5G Progress" sheetId="2" r:id="rId3"/>
    <sheet name="Middle Swap Progress " sheetId="9" r:id="rId4"/>
    <sheet name="Middle 5G  Progress" sheetId="7" r:id="rId5"/>
    <sheet name="South 5G  Progress Tracker" sheetId="8" r:id="rId6"/>
    <sheet name="Sheet4" sheetId="6" r:id="rId7"/>
    <sheet name="WpsReserved_CellImgList" sheetId="5" state="veryHidden" r:id="rId8"/>
  </sheets>
  <definedNames>
    <definedName name="_xlnm._FilterDatabase" localSheetId="1" hidden="1">'Ha Noi Progress'!$A$3:$AE$19</definedName>
    <definedName name="_xlnm._FilterDatabase" localSheetId="2" hidden="1">'North 5G Progress'!$A$2:$T$17</definedName>
    <definedName name="_xlnm._FilterDatabase" localSheetId="4" hidden="1">'Middle 5G  Progress'!$A$2:$T$5</definedName>
    <definedName name="_xlnm._FilterDatabase" localSheetId="5" hidden="1">'South 5G  Progress Tracker'!$A$2:$T$17</definedName>
    <definedName name="_xlnm._FilterDatabase" localSheetId="3" hidden="1">'Middle Swap Progress '!#REF!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D0E3DAA24804B74A77E3893CB6FEE3A" descr="upload_post_object_v2_746142189"/>
        <xdr:cNvPicPr/>
      </xdr:nvPicPr>
      <xdr:blipFill>
        <a:blip r:embed="rId1"/>
        <a:stretch>
          <a:fillRect/>
        </a:stretch>
      </xdr:blipFill>
      <xdr:spPr>
        <a:xfrm>
          <a:off x="0" y="0"/>
          <a:ext cx="617220" cy="1600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<sst xmlns="http://schemas.openxmlformats.org/spreadsheetml/2006/main" count="580" uniqueCount="141">
  <si>
    <t>Ha Noi</t>
  </si>
  <si>
    <t>Province</t>
  </si>
  <si>
    <t>Total On Air Site</t>
  </si>
  <si>
    <t>RAT</t>
  </si>
  <si>
    <t>4G</t>
  </si>
  <si>
    <t>5G</t>
  </si>
  <si>
    <t>North</t>
  </si>
  <si>
    <t>Hai Phong</t>
  </si>
  <si>
    <t>Hai Duong</t>
  </si>
  <si>
    <t>Hung Yen</t>
  </si>
  <si>
    <t>Thai Binh</t>
  </si>
  <si>
    <t>Thai Nguyen</t>
  </si>
  <si>
    <t>Ninh Binh</t>
  </si>
  <si>
    <t>Da Nang</t>
  </si>
  <si>
    <t>Monitor</t>
  </si>
  <si>
    <t>No</t>
  </si>
  <si>
    <t>Cluster</t>
  </si>
  <si>
    <t>Site Name</t>
  </si>
  <si>
    <t>OM Link Status</t>
  </si>
  <si>
    <t>Pre Swap Scripts</t>
  </si>
  <si>
    <t>Site Status</t>
  </si>
  <si>
    <t>Plan On-air</t>
  </si>
  <si>
    <t>On-air Day</t>
  </si>
  <si>
    <t>On-air Time</t>
  </si>
  <si>
    <t>Status</t>
  </si>
  <si>
    <t>Post Swap Scripts</t>
  </si>
  <si>
    <t>NSN-&gt;HW Neighbors</t>
  </si>
  <si>
    <t xml:space="preserve">CQT Start Time </t>
  </si>
  <si>
    <t>CQT Complete Time</t>
  </si>
  <si>
    <t>Remark</t>
  </si>
  <si>
    <t>NEName_New4G</t>
  </si>
  <si>
    <t>NEName_New5G</t>
  </si>
  <si>
    <t>NEname_Old_4G_NSN</t>
  </si>
  <si>
    <t>batch</t>
  </si>
  <si>
    <t>Vendor</t>
  </si>
  <si>
    <t>Alarm（update on May 19 10:00)</t>
  </si>
  <si>
    <t>Pilot</t>
  </si>
  <si>
    <t>HN_GLM_CN_NINH_HIEP</t>
  </si>
  <si>
    <t>Connected</t>
  </si>
  <si>
    <t>Done</t>
  </si>
  <si>
    <t>On Air</t>
  </si>
  <si>
    <t>OK</t>
  </si>
  <si>
    <t>Not Yet</t>
  </si>
  <si>
    <t>4G Swap+New 5G Building 2.6G</t>
  </si>
  <si>
    <t>HNIPDG02</t>
  </si>
  <si>
    <t>batch1</t>
  </si>
  <si>
    <t>NSN</t>
  </si>
  <si>
    <t>HN_GLM_CN_NINH_HIEP_CRAN_2</t>
  </si>
  <si>
    <t>NA</t>
  </si>
  <si>
    <t>4G Swap</t>
  </si>
  <si>
    <t>HNIPDG03</t>
  </si>
  <si>
    <t>batch2</t>
  </si>
  <si>
    <t>HN_GLM_NINH_HIEP_2_CRAN</t>
  </si>
  <si>
    <t>HNIPDG14</t>
  </si>
  <si>
    <t>HN_GLM_NINH_HIEP</t>
  </si>
  <si>
    <t>HN_GLM_CAU_DUONG</t>
  </si>
  <si>
    <t>Swap 4G + Newbuild 5G Single 2.6 32T</t>
  </si>
  <si>
    <t>HNIPDG01</t>
  </si>
  <si>
    <t>batch3</t>
  </si>
  <si>
    <t>45G,User Plane Fault,45G,IP Clock Link Failure</t>
  </si>
  <si>
    <t>HN_GLM_CONG_THON</t>
  </si>
  <si>
    <t>2 sectors OK, 1 is NOK due to CPRI issue</t>
  </si>
  <si>
    <t>HNIPDG04</t>
  </si>
  <si>
    <t>45G,User Plane Fault,5G,BBU CPRI Interface Error,5G,RF Unit Maintenance Link Failure</t>
  </si>
  <si>
    <t>HN_GLM_DINH_XUYEN_2</t>
  </si>
  <si>
    <t xml:space="preserve"> 2026/5/15 17:00</t>
  </si>
  <si>
    <t>HNIPDG06</t>
  </si>
  <si>
    <t>HN_GLM_DINH_XUYEN_3</t>
  </si>
  <si>
    <t>HNIPDG07</t>
  </si>
  <si>
    <t>45G,Transmission Optical Interface Error,5G,BBU CPRI Interface Error,5G,RF Unit Maintenance Link Failure</t>
  </si>
  <si>
    <t>HN_GLM_DUONG_HA</t>
  </si>
  <si>
    <t>2026/5/15 22:24:00 sector C issue</t>
  </si>
  <si>
    <t>HNIPDG08</t>
  </si>
  <si>
    <t>4G,BBU CPRI Interface Error,4G,Cell Blocked,4G,Data Configuration Exceeding Licensed Limit,4G,RF Unit Maintenance Link Failure,5G,BBU CPRI Interface Error,5G,RF Unit Maintenance Link Failure</t>
  </si>
  <si>
    <t>HN_GLM_DUONG_HA_2</t>
  </si>
  <si>
    <t>NOK due to CPRI issue</t>
  </si>
  <si>
    <t>HNIPDG09</t>
  </si>
  <si>
    <t>HN_GLM_HA_HUY_TAP</t>
  </si>
  <si>
    <t>2026/5/15 22:10:00. 4G sector C locked</t>
  </si>
  <si>
    <t>HNIPDG10</t>
  </si>
  <si>
    <t>HN_GLM_YEN_THUONG_CRAN</t>
  </si>
  <si>
    <t>45G,User Plane Fault,5G,BBU CPRI Interface Error,5G,RF Unit Maintenance Link Failure,BBU CPRI Optical Module or Electrical Port Not Ready</t>
  </si>
  <si>
    <t>HN_GLM_LA_COI</t>
  </si>
  <si>
    <t>HNIPDG11</t>
  </si>
  <si>
    <t>5G,BBU CPRI Interface Error,45G,User Plane Fault</t>
  </si>
  <si>
    <t>HN_GLM_NGA_4_NINH_HIEP</t>
  </si>
  <si>
    <t>HNIPDG12</t>
  </si>
  <si>
    <t>HNIPDG13</t>
  </si>
  <si>
    <t>HN_GLM_XUAN_DUC</t>
  </si>
  <si>
    <t>NOK due to CRPI issue</t>
  </si>
  <si>
    <t>2026/5/15 22:00:00 No 5G</t>
  </si>
  <si>
    <t>HNIPDG21</t>
  </si>
  <si>
    <t>45G,Transmission Optical Interface Error,45G,User Plane Fault</t>
  </si>
  <si>
    <t>HN_GLM_YEN_THUONG</t>
  </si>
  <si>
    <t>2026/5/15 21:50:00 Cannot camp on 5G</t>
  </si>
  <si>
    <t>HNIPDG22</t>
  </si>
  <si>
    <t>5G,BBU CPRI Interface Error,5G,gNodeB Out of Service,5G,NR DU Cell TRP Unavailable,5G,RF Unit DC Input Power Failure,5G,RF Unit External Power Supply Insufficient,5G,RF Unit Maintenance Link Failure</t>
  </si>
  <si>
    <t>Swap 4G</t>
  </si>
  <si>
    <t>3.8G_N77</t>
  </si>
  <si>
    <t>2.6G_N41</t>
  </si>
  <si>
    <t>NEName_New</t>
  </si>
  <si>
    <t>NEname_Old</t>
  </si>
  <si>
    <t>Batch</t>
  </si>
  <si>
    <t>HPG_CHI_DONG_BAI</t>
  </si>
  <si>
    <t>Newbuild 5G Dual (2.6 64T + 3.8 64T)</t>
  </si>
  <si>
    <t>HPGCHI02_5G</t>
  </si>
  <si>
    <t>HPG_CHI_DONG_BAI_4G</t>
  </si>
  <si>
    <t>HUA</t>
  </si>
  <si>
    <t>HPG_TNN_TT_HANH_CHINH_2_01R</t>
  </si>
  <si>
    <t>HPGTNN57_5G</t>
  </si>
  <si>
    <t>HPG_TNN_TT_HANH_CHINH_2_4G</t>
  </si>
  <si>
    <t>5G,RF Unit DC Input Power Failure,5G,RF Unit Maintenance Link Failure</t>
  </si>
  <si>
    <t>HPG_CHI_CAT_BA_4</t>
  </si>
  <si>
    <t>Newbuild 5G Single 2.6 32T</t>
  </si>
  <si>
    <t>HPGCHI07_5G</t>
  </si>
  <si>
    <t>HPG_CHI_CAT_BA_4_4G</t>
  </si>
  <si>
    <t>HDG_CGG_DUC_CHINH_3</t>
  </si>
  <si>
    <t>HPGVHA10_5G</t>
  </si>
  <si>
    <t>HDG_CGG_DUC_CHINH_3_4G</t>
  </si>
  <si>
    <t>HYN_VLM_CHI_DAO_2</t>
  </si>
  <si>
    <t>TNN_PBH_THUONG_DINH_2</t>
  </si>
  <si>
    <t>HDG_CGG_CAM_DINH</t>
  </si>
  <si>
    <t>HDG_CGG_CAM_GIANG_2</t>
  </si>
  <si>
    <t>HDG_CGG_CAM_PHUC</t>
  </si>
  <si>
    <t>HDG_CGG_CAM_VU</t>
  </si>
  <si>
    <t>HDG_CGG_CAO_AN</t>
  </si>
  <si>
    <t>HDG_CGG_CAO_AN_2</t>
  </si>
  <si>
    <t>HYN_YMY_LIEU_XA_3</t>
  </si>
  <si>
    <t>TBH_DHG_DONG_XUAN</t>
  </si>
  <si>
    <t>NB_GVN_GIA_SINH_2</t>
  </si>
  <si>
    <t>NBHTHL03_5G</t>
  </si>
  <si>
    <t>Alarm（update on May 18 15:00)</t>
  </si>
  <si>
    <t>Hoang Van Gia Toan 60079944</t>
  </si>
  <si>
    <t>Pham Duy Thanh 60118201</t>
  </si>
  <si>
    <t>DNNH26</t>
  </si>
  <si>
    <t>DNGNHS43-5G</t>
  </si>
  <si>
    <t>DNNH2B</t>
  </si>
  <si>
    <t>DNGNHS48-5G</t>
  </si>
  <si>
    <t>DNTK01</t>
  </si>
  <si>
    <t>Upgrade to 5G Dual (Existing 3.8 + 2.6 64T)</t>
  </si>
  <si>
    <t>DNGTKE02_5G</t>
  </si>
</sst>
</file>

<file path=xl/styles.xml><?xml version="1.0" encoding="utf-8"?>
<styleSheet xmlns="http://schemas.openxmlformats.org/spreadsheetml/2006/main">
  <numFmts count="38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24" formatCode="\$#,##0_);[Red]\(\$#,##0\)"/>
    <numFmt numFmtId="7" formatCode="&quot;￥&quot;#,##0.00;&quot;￥&quot;\-#,##0.00"/>
    <numFmt numFmtId="178" formatCode="#\ ?/?"/>
    <numFmt numFmtId="179" formatCode="mmmm\-yy"/>
    <numFmt numFmtId="25" formatCode="\$#,##0.00_);\(\$#,##0.00\)"/>
    <numFmt numFmtId="26" formatCode="\$#,##0.00_);[Red]\(\$#,##0.00\)"/>
    <numFmt numFmtId="180" formatCode="[DBNum1][$-804]yyyy&quot;年&quot;m&quot;月&quot;"/>
    <numFmt numFmtId="181" formatCode="[DBNum1][$-804]yyyy&quot;年&quot;m&quot;月&quot;d&quot;日&quot;"/>
    <numFmt numFmtId="182" formatCode="#\ ??"/>
    <numFmt numFmtId="183" formatCode="\¥#,##0;[Red]\¥\-#,##0"/>
    <numFmt numFmtId="184" formatCode="h:mm:ss\ AM/PM"/>
    <numFmt numFmtId="185" formatCode="[DBNum1]上午/下午h&quot;时&quot;mm&quot;分&quot;"/>
    <numFmt numFmtId="42" formatCode="_ &quot;￥&quot;* #,##0_ ;_ &quot;￥&quot;* \-#,##0_ ;_ &quot;￥&quot;* &quot;-&quot;_ ;_ @_ "/>
    <numFmt numFmtId="186" formatCode="yy/m/d"/>
    <numFmt numFmtId="8" formatCode="&quot;￥&quot;#,##0.00;[Red]&quot;￥&quot;\-#,##0.00"/>
    <numFmt numFmtId="187" formatCode="[$-804]aaaa"/>
    <numFmt numFmtId="188" formatCode="[$-804]aaa"/>
    <numFmt numFmtId="189" formatCode="yyyy/m/d\ h:mm\ AM/PM"/>
    <numFmt numFmtId="190" formatCode="m/d"/>
    <numFmt numFmtId="191" formatCode="dd\-mmm\-yy"/>
    <numFmt numFmtId="192" formatCode="yyyy/mm/dd"/>
    <numFmt numFmtId="193" formatCode="[DBNum1][$-804]m&quot;月&quot;d&quot;日&quot;"/>
    <numFmt numFmtId="194" formatCode="mmmmm"/>
    <numFmt numFmtId="195" formatCode="\¥#,##0;\¥\-#,##0"/>
    <numFmt numFmtId="196" formatCode="h:mm\ AM/PM"/>
    <numFmt numFmtId="41" formatCode="_ * #,##0_ ;_ * \-#,##0_ ;_ * &quot;-&quot;_ ;_ @_ "/>
    <numFmt numFmtId="43" formatCode="_ * #,##0.00_ ;_ * \-#,##0.00_ ;_ * &quot;-&quot;??_ ;_ @_ "/>
    <numFmt numFmtId="197" formatCode="[DBNum1]h&quot;时&quot;mm&quot;分&quot;"/>
    <numFmt numFmtId="198" formatCode="\¥#,##0.00;\¥\-#,##0.00"/>
    <numFmt numFmtId="199" formatCode="mm/dd/yy"/>
    <numFmt numFmtId="200" formatCode="mmmmm\-yy"/>
    <numFmt numFmtId="44" formatCode="_ &quot;￥&quot;* #,##0.00_ ;_ &quot;￥&quot;* \-#,##0.00_ ;_ &quot;￥&quot;* &quot;-&quot;??_ ;_ @_ "/>
    <numFmt numFmtId="201" formatCode="0.00_);[Red]\(0.00\)"/>
  </numFmts>
  <fonts count="31">
    <font>
      <sz val="11"/>
      <color theme="1"/>
      <name val="等线"/>
      <charset val="134"/>
      <scheme val="minor"/>
    </font>
    <font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0"/>
    </font>
    <font>
      <sz val="10"/>
      <name val="Calibri"/>
      <charset val="0"/>
    </font>
    <font>
      <sz val="10"/>
      <color rgb="FF000000"/>
      <name val="Calibri"/>
      <charset val="0"/>
    </font>
    <font>
      <sz val="10"/>
      <color rgb="FF0F1115"/>
      <name val="Calibri"/>
      <charset val="134"/>
    </font>
    <font>
      <sz val="11"/>
      <color rgb="FF000000"/>
      <name val="等线"/>
      <charset val="134"/>
      <scheme val="minor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5DEB5"/>
        <bgColor rgb="FF000000"/>
      </patternFill>
    </fill>
    <fill>
      <patternFill patternType="solid">
        <fgColor rgb="FFED7D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4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9" fillId="21" borderId="18" applyNumberFormat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30" fillId="23" borderId="18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26" borderId="22" applyNumberFormat="0" applyAlignment="0" applyProtection="0">
      <alignment vertical="center"/>
    </xf>
    <xf numFmtId="0" fontId="22" fillId="23" borderId="20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0" fillId="44" borderId="23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</cellStyleXfs>
  <cellXfs count="139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4" fillId="0" borderId="2" xfId="0" applyFont="1" applyBorder="1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2" fillId="6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20" fontId="1" fillId="0" borderId="2" xfId="0" applyNumberFormat="1" applyFont="1" applyBorder="1"/>
    <xf numFmtId="0" fontId="4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5" fillId="7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201" fontId="6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192" fontId="4" fillId="0" borderId="2" xfId="0" applyNumberFormat="1" applyFont="1" applyFill="1" applyBorder="1" applyAlignment="1">
      <alignment horizontal="center" vertical="center"/>
    </xf>
    <xf numFmtId="192" fontId="4" fillId="0" borderId="4" xfId="0" applyNumberFormat="1" applyFont="1" applyFill="1" applyBorder="1" applyAlignment="1">
      <alignment horizontal="center" vertical="center"/>
    </xf>
    <xf numFmtId="196" fontId="8" fillId="0" borderId="2" xfId="0" applyNumberFormat="1" applyFont="1" applyBorder="1" applyAlignment="1">
      <alignment horizontal="left"/>
    </xf>
    <xf numFmtId="192" fontId="4" fillId="0" borderId="6" xfId="0" applyNumberFormat="1" applyFont="1" applyFill="1" applyBorder="1" applyAlignment="1">
      <alignment horizontal="center" vertical="center"/>
    </xf>
    <xf numFmtId="192" fontId="4" fillId="0" borderId="7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3" fillId="6" borderId="5" xfId="0" applyFont="1" applyFill="1" applyBorder="1" applyAlignment="1">
      <alignment horizontal="center" vertical="center"/>
    </xf>
    <xf numFmtId="16" fontId="1" fillId="0" borderId="0" xfId="0" applyNumberFormat="1" applyFont="1" applyAlignment="1"/>
    <xf numFmtId="0" fontId="3" fillId="8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5" xfId="0" applyFont="1" applyBorder="1"/>
    <xf numFmtId="0" fontId="3" fillId="2" borderId="8" xfId="0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14" fontId="1" fillId="0" borderId="10" xfId="0" applyNumberFormat="1" applyFont="1" applyBorder="1" applyAlignment="1"/>
    <xf numFmtId="14" fontId="1" fillId="0" borderId="2" xfId="0" applyNumberFormat="1" applyFont="1" applyBorder="1" applyAlignment="1"/>
    <xf numFmtId="14" fontId="1" fillId="0" borderId="12" xfId="0" applyNumberFormat="1" applyFont="1" applyBorder="1" applyAlignment="1"/>
    <xf numFmtId="0" fontId="3" fillId="4" borderId="10" xfId="0" applyFont="1" applyFill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20" fontId="1" fillId="0" borderId="10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20" fontId="1" fillId="0" borderId="12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20" fontId="4" fillId="0" borderId="12" xfId="0" applyNumberFormat="1" applyFont="1" applyBorder="1" applyAlignment="1">
      <alignment horizontal="center"/>
    </xf>
    <xf numFmtId="0" fontId="3" fillId="6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20" fontId="4" fillId="0" borderId="9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20" fontId="4" fillId="0" borderId="15" xfId="0" applyNumberFormat="1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/>
    <xf numFmtId="0" fontId="4" fillId="0" borderId="9" xfId="0" applyFont="1" applyBorder="1" applyAlignment="1"/>
    <xf numFmtId="22" fontId="1" fillId="0" borderId="1" xfId="0" applyNumberFormat="1" applyFont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0" fontId="1" fillId="0" borderId="14" xfId="0" applyFont="1" applyBorder="1" applyAlignment="1"/>
    <xf numFmtId="0" fontId="1" fillId="0" borderId="1" xfId="0" applyFont="1" applyBorder="1" applyAlignment="1"/>
    <xf numFmtId="0" fontId="1" fillId="0" borderId="15" xfId="0" applyFont="1" applyBorder="1" applyAlignment="1"/>
    <xf numFmtId="22" fontId="4" fillId="0" borderId="15" xfId="0" applyNumberFormat="1" applyFont="1" applyBorder="1" applyAlignment="1">
      <alignment horizontal="center"/>
    </xf>
    <xf numFmtId="2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/>
    <xf numFmtId="0" fontId="3" fillId="8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NumberFormat="1" applyFont="1" applyAlignment="1">
      <alignment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9" borderId="0" xfId="0" applyFont="1" applyFill="1"/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10" fillId="11" borderId="0" xfId="0" applyFont="1" applyFill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10" fillId="12" borderId="0" xfId="0" applyFont="1" applyFill="1"/>
    <xf numFmtId="14" fontId="4" fillId="13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007E39"/>
      <color rgb="000096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617220</xdr:colOff>
      <xdr:row>0</xdr:row>
      <xdr:rowOff>160020</xdr:rowOff>
    </xdr:to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26"/>
  <sheetViews>
    <sheetView topLeftCell="X4" workbookViewId="0">
      <selection activeCell="H5" sqref="H5"/>
    </sheetView>
  </sheetViews>
  <sheetFormatPr defaultColWidth="9" defaultRowHeight="12.75"/>
  <cols>
    <col min="1" max="1" width="9" style="3"/>
    <col min="2" max="2" width="9" style="2"/>
    <col min="3" max="4" width="7.6" style="121" customWidth="1"/>
    <col min="5" max="5" width="9" style="122" hidden="1" customWidth="1"/>
    <col min="6" max="14" width="9" style="123" hidden="1" customWidth="1"/>
    <col min="15" max="16" width="9" style="3" hidden="1" customWidth="1"/>
    <col min="17" max="16384" width="9" style="3"/>
  </cols>
  <sheetData>
    <row r="2" spans="1:1">
      <c r="A2" s="124" t="s">
        <v>0</v>
      </c>
    </row>
    <row r="4" ht="25.5" spans="2:25">
      <c r="B4" s="125" t="s">
        <v>1</v>
      </c>
      <c r="C4" s="126" t="s">
        <v>2</v>
      </c>
      <c r="D4" s="127" t="s">
        <v>3</v>
      </c>
      <c r="E4" s="138">
        <v>46141</v>
      </c>
      <c r="F4" s="138">
        <f>E4+1</f>
        <v>46142</v>
      </c>
      <c r="G4" s="138">
        <f t="shared" ref="G4:Y4" si="0">F4+1</f>
        <v>46143</v>
      </c>
      <c r="H4" s="138">
        <f t="shared" si="0"/>
        <v>46144</v>
      </c>
      <c r="I4" s="138">
        <f t="shared" si="0"/>
        <v>46145</v>
      </c>
      <c r="J4" s="138">
        <f t="shared" si="0"/>
        <v>46146</v>
      </c>
      <c r="K4" s="138">
        <f t="shared" si="0"/>
        <v>46147</v>
      </c>
      <c r="L4" s="138">
        <f t="shared" si="0"/>
        <v>46148</v>
      </c>
      <c r="M4" s="138">
        <f t="shared" si="0"/>
        <v>46149</v>
      </c>
      <c r="N4" s="138">
        <f t="shared" si="0"/>
        <v>46150</v>
      </c>
      <c r="O4" s="138">
        <f t="shared" si="0"/>
        <v>46151</v>
      </c>
      <c r="P4" s="138">
        <f t="shared" si="0"/>
        <v>46152</v>
      </c>
      <c r="Q4" s="138">
        <f t="shared" si="0"/>
        <v>46153</v>
      </c>
      <c r="R4" s="138">
        <f t="shared" si="0"/>
        <v>46154</v>
      </c>
      <c r="S4" s="138">
        <f t="shared" si="0"/>
        <v>46155</v>
      </c>
      <c r="T4" s="138">
        <f t="shared" si="0"/>
        <v>46156</v>
      </c>
      <c r="U4" s="138">
        <f t="shared" si="0"/>
        <v>46157</v>
      </c>
      <c r="V4" s="138">
        <f t="shared" si="0"/>
        <v>46158</v>
      </c>
      <c r="W4" s="138">
        <f t="shared" si="0"/>
        <v>46159</v>
      </c>
      <c r="X4" s="138">
        <f t="shared" si="0"/>
        <v>46160</v>
      </c>
      <c r="Y4" s="138">
        <f t="shared" si="0"/>
        <v>46161</v>
      </c>
    </row>
    <row r="5" spans="2:25">
      <c r="B5" s="128" t="s">
        <v>0</v>
      </c>
      <c r="C5" s="129">
        <f>COUNTIFS('Ha Noi Progress'!D:D,"&lt;&gt;",'Ha Noi Progress'!I:I,"&lt;&gt;",'Ha Noi Progress'!B:B,B5)</f>
        <v>16</v>
      </c>
      <c r="D5" s="130" t="s">
        <v>4</v>
      </c>
      <c r="E5" s="130">
        <f>COUNTIFS('Ha Noi Progress'!$B:$B,$B$5,'Ha Noi Progress'!$D:$D,"&lt;&gt;",'Ha Noi Progress'!$I:$I,E4)</f>
        <v>0</v>
      </c>
      <c r="F5" s="130">
        <f>COUNTIFS('Ha Noi Progress'!$B:$B,$B$5,'Ha Noi Progress'!$D:$D,"&lt;&gt;",'Ha Noi Progress'!$I:$I,F4)</f>
        <v>0</v>
      </c>
      <c r="G5" s="130">
        <f>COUNTIFS('Ha Noi Progress'!$B:$B,$B$5,'Ha Noi Progress'!$D:$D,"&lt;&gt;",'Ha Noi Progress'!$I:$I,G4)</f>
        <v>0</v>
      </c>
      <c r="H5" s="130">
        <f>COUNTIFS('Ha Noi Progress'!$B:$B,$B$5,'Ha Noi Progress'!$D:$D,"&lt;&gt;",'Ha Noi Progress'!$I:$I,H4)</f>
        <v>0</v>
      </c>
      <c r="I5" s="130">
        <f>COUNTIFS('Ha Noi Progress'!$B:$B,$B$5,'Ha Noi Progress'!$D:$D,"&lt;&gt;",'Ha Noi Progress'!$I:$I,I4)</f>
        <v>0</v>
      </c>
      <c r="J5" s="130">
        <f>COUNTIFS('Ha Noi Progress'!$B:$B,$B$5,'Ha Noi Progress'!$D:$D,"&lt;&gt;",'Ha Noi Progress'!$I:$I,J4)</f>
        <v>0</v>
      </c>
      <c r="K5" s="130">
        <f>COUNTIFS('Ha Noi Progress'!$B:$B,$B$5,'Ha Noi Progress'!$D:$D,"&lt;&gt;",'Ha Noi Progress'!$I:$I,K4)</f>
        <v>0</v>
      </c>
      <c r="L5" s="130">
        <f>COUNTIFS('Ha Noi Progress'!$B:$B,$B$5,'Ha Noi Progress'!$D:$D,"&lt;&gt;",'Ha Noi Progress'!$I:$I,L4)</f>
        <v>1</v>
      </c>
      <c r="M5" s="130">
        <f>COUNTIFS('Ha Noi Progress'!$B:$B,$B$5,'Ha Noi Progress'!$D:$D,"&lt;&gt;",'Ha Noi Progress'!$I:$I,M4)</f>
        <v>0</v>
      </c>
      <c r="N5" s="130">
        <f>COUNTIFS('Ha Noi Progress'!$B:$B,$B$5,'Ha Noi Progress'!$D:$D,"&lt;&gt;",'Ha Noi Progress'!$I:$I,N4)</f>
        <v>0</v>
      </c>
      <c r="O5" s="130">
        <f>COUNTIFS('Ha Noi Progress'!$B:$B,$B$5,'Ha Noi Progress'!$D:$D,"&lt;&gt;",'Ha Noi Progress'!$I:$I,O4)</f>
        <v>0</v>
      </c>
      <c r="P5" s="130">
        <f>COUNTIFS('Ha Noi Progress'!$B:$B,$B$5,'Ha Noi Progress'!$D:$D,"&lt;&gt;",'Ha Noi Progress'!$I:$I,P4)</f>
        <v>0</v>
      </c>
      <c r="Q5" s="130">
        <f>COUNTIFS('Ha Noi Progress'!$B:$B,$B$5,'Ha Noi Progress'!$D:$D,"&lt;&gt;",'Ha Noi Progress'!$I:$I,Q4)</f>
        <v>2</v>
      </c>
      <c r="R5" s="130">
        <f>COUNTIFS('Ha Noi Progress'!$B:$B,$B$5,'Ha Noi Progress'!$D:$D,"&lt;&gt;",'Ha Noi Progress'!$I:$I,R4)</f>
        <v>0</v>
      </c>
      <c r="S5" s="130">
        <f>COUNTIFS('Ha Noi Progress'!$B:$B,$B$5,'Ha Noi Progress'!$D:$D,"&lt;&gt;",'Ha Noi Progress'!$I:$I,S4)</f>
        <v>0</v>
      </c>
      <c r="T5" s="130">
        <f>COUNTIFS('Ha Noi Progress'!$B:$B,$B$5,'Ha Noi Progress'!$D:$D,"&lt;&gt;",'Ha Noi Progress'!$I:$I,T4)</f>
        <v>0</v>
      </c>
      <c r="U5" s="130">
        <f>COUNTIFS('Ha Noi Progress'!$B:$B,$B$5,'Ha Noi Progress'!$D:$D,"&lt;&gt;",'Ha Noi Progress'!$I:$I,U4)</f>
        <v>13</v>
      </c>
      <c r="V5" s="130">
        <f>COUNTIFS('Ha Noi Progress'!$B:$B,$B$5,'Ha Noi Progress'!$D:$D,"&lt;&gt;",'Ha Noi Progress'!$I:$I,V4)</f>
        <v>0</v>
      </c>
      <c r="W5" s="130">
        <f>COUNTIFS('Ha Noi Progress'!$B:$B,$B$5,'Ha Noi Progress'!$D:$D,"&lt;&gt;",'Ha Noi Progress'!$I:$I,W4)</f>
        <v>0</v>
      </c>
      <c r="X5" s="130">
        <f>COUNTIFS('Ha Noi Progress'!$B:$B,$B$5,'Ha Noi Progress'!$D:$D,"&lt;&gt;",'Ha Noi Progress'!$I:$I,X4)</f>
        <v>0</v>
      </c>
      <c r="Y5" s="130">
        <f>COUNTIFS('Ha Noi Progress'!$B:$B,$B$5,'Ha Noi Progress'!$D:$D,"&lt;&gt;",'Ha Noi Progress'!$I:$I,Y4)</f>
        <v>0</v>
      </c>
    </row>
    <row r="6" spans="2:25">
      <c r="B6" s="131"/>
      <c r="C6" s="132">
        <f>SUMPRODUCT(--ISNUMBER('Ha Noi Progress'!M:M))</f>
        <v>11</v>
      </c>
      <c r="D6" s="133" t="s">
        <v>5</v>
      </c>
      <c r="E6" s="130">
        <f>COUNTIFS('Ha Noi Progress'!$D:$D,"&lt;&gt;",'Ha Noi Progress'!$B:$B,$B$5,'Ha Noi Progress'!$M:$M,E4)</f>
        <v>0</v>
      </c>
      <c r="F6" s="130">
        <f>COUNTIFS('Ha Noi Progress'!$D:$D,"&lt;&gt;",'Ha Noi Progress'!$B:$B,$B$5,'Ha Noi Progress'!$M:$M,F4)</f>
        <v>0</v>
      </c>
      <c r="G6" s="130">
        <f>COUNTIFS('Ha Noi Progress'!$D:$D,"&lt;&gt;",'Ha Noi Progress'!$B:$B,$B$5,'Ha Noi Progress'!$M:$M,G4)</f>
        <v>0</v>
      </c>
      <c r="H6" s="130">
        <f>COUNTIFS('Ha Noi Progress'!$D:$D,"&lt;&gt;",'Ha Noi Progress'!$B:$B,$B$5,'Ha Noi Progress'!$M:$M,H4)</f>
        <v>0</v>
      </c>
      <c r="I6" s="130">
        <f>COUNTIFS('Ha Noi Progress'!$D:$D,"&lt;&gt;",'Ha Noi Progress'!$B:$B,$B$5,'Ha Noi Progress'!$M:$M,I4)</f>
        <v>0</v>
      </c>
      <c r="J6" s="130">
        <f>COUNTIFS('Ha Noi Progress'!$D:$D,"&lt;&gt;",'Ha Noi Progress'!$B:$B,$B$5,'Ha Noi Progress'!$M:$M,J4)</f>
        <v>0</v>
      </c>
      <c r="K6" s="130">
        <f>COUNTIFS('Ha Noi Progress'!$D:$D,"&lt;&gt;",'Ha Noi Progress'!$B:$B,$B$5,'Ha Noi Progress'!$M:$M,K4)</f>
        <v>0</v>
      </c>
      <c r="L6" s="130">
        <f>COUNTIFS('Ha Noi Progress'!$D:$D,"&lt;&gt;",'Ha Noi Progress'!$B:$B,$B$5,'Ha Noi Progress'!$M:$M,L4)</f>
        <v>1</v>
      </c>
      <c r="M6" s="130">
        <f>COUNTIFS('Ha Noi Progress'!$D:$D,"&lt;&gt;",'Ha Noi Progress'!$B:$B,$B$5,'Ha Noi Progress'!$M:$M,M4)</f>
        <v>0</v>
      </c>
      <c r="N6" s="130">
        <f>COUNTIFS('Ha Noi Progress'!$D:$D,"&lt;&gt;",'Ha Noi Progress'!$B:$B,$B$5,'Ha Noi Progress'!$M:$M,N4)</f>
        <v>0</v>
      </c>
      <c r="O6" s="130">
        <f>COUNTIFS('Ha Noi Progress'!$D:$D,"&lt;&gt;",'Ha Noi Progress'!$B:$B,$B$5,'Ha Noi Progress'!$M:$M,O4)</f>
        <v>0</v>
      </c>
      <c r="P6" s="130">
        <f>COUNTIFS('Ha Noi Progress'!$D:$D,"&lt;&gt;",'Ha Noi Progress'!$B:$B,$B$5,'Ha Noi Progress'!$M:$M,P4)</f>
        <v>0</v>
      </c>
      <c r="Q6" s="130">
        <f>COUNTIFS('Ha Noi Progress'!$D:$D,"&lt;&gt;",'Ha Noi Progress'!$B:$B,$B$5,'Ha Noi Progress'!$M:$M,Q4)</f>
        <v>0</v>
      </c>
      <c r="R6" s="130">
        <f>COUNTIFS('Ha Noi Progress'!$D:$D,"&lt;&gt;",'Ha Noi Progress'!$B:$B,$B$5,'Ha Noi Progress'!$M:$M,R4)</f>
        <v>0</v>
      </c>
      <c r="S6" s="130">
        <f>COUNTIFS('Ha Noi Progress'!$D:$D,"&lt;&gt;",'Ha Noi Progress'!$B:$B,$B$5,'Ha Noi Progress'!$M:$M,S4)</f>
        <v>0</v>
      </c>
      <c r="T6" s="130">
        <f>COUNTIFS('Ha Noi Progress'!$D:$D,"&lt;&gt;",'Ha Noi Progress'!$B:$B,$B$5,'Ha Noi Progress'!$M:$M,T4)</f>
        <v>0</v>
      </c>
      <c r="U6" s="130">
        <f>COUNTIFS('Ha Noi Progress'!$D:$D,"&lt;&gt;",'Ha Noi Progress'!$B:$B,$B$5,'Ha Noi Progress'!$M:$M,U4)</f>
        <v>10</v>
      </c>
      <c r="V6" s="130">
        <f>COUNTIFS('Ha Noi Progress'!$D:$D,"&lt;&gt;",'Ha Noi Progress'!$B:$B,$B$5,'Ha Noi Progress'!$M:$M,V4)</f>
        <v>0</v>
      </c>
      <c r="W6" s="130">
        <f>COUNTIFS('Ha Noi Progress'!$D:$D,"&lt;&gt;",'Ha Noi Progress'!$B:$B,$B$5,'Ha Noi Progress'!$M:$M,W4)</f>
        <v>0</v>
      </c>
      <c r="X6" s="130">
        <f>COUNTIFS('Ha Noi Progress'!$D:$D,"&lt;&gt;",'Ha Noi Progress'!$B:$B,$B$5,'Ha Noi Progress'!$M:$M,X4)</f>
        <v>0</v>
      </c>
      <c r="Y6" s="130">
        <f>COUNTIFS('Ha Noi Progress'!$D:$D,"&lt;&gt;",'Ha Noi Progress'!$B:$B,$B$5,'Ha Noi Progress'!$M:$M,Y4)</f>
        <v>0</v>
      </c>
    </row>
    <row r="7" spans="15:25"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</row>
    <row r="8" spans="15:25"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</row>
    <row r="9" spans="15:25"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</row>
    <row r="10" spans="1:25">
      <c r="A10" s="134" t="s">
        <v>6</v>
      </c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</row>
    <row r="11" spans="1:25">
      <c r="A11" s="121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</row>
    <row r="12" ht="25.5" spans="2:25">
      <c r="B12" s="125" t="s">
        <v>1</v>
      </c>
      <c r="C12" s="126" t="s">
        <v>2</v>
      </c>
      <c r="D12" s="127" t="s">
        <v>3</v>
      </c>
      <c r="E12" s="138">
        <v>46141</v>
      </c>
      <c r="F12" s="138">
        <f>E12+1</f>
        <v>46142</v>
      </c>
      <c r="G12" s="138">
        <f t="shared" ref="G12:Y12" si="1">F12+1</f>
        <v>46143</v>
      </c>
      <c r="H12" s="138">
        <f t="shared" si="1"/>
        <v>46144</v>
      </c>
      <c r="I12" s="138">
        <f t="shared" si="1"/>
        <v>46145</v>
      </c>
      <c r="J12" s="138">
        <f t="shared" si="1"/>
        <v>46146</v>
      </c>
      <c r="K12" s="138">
        <f t="shared" si="1"/>
        <v>46147</v>
      </c>
      <c r="L12" s="138">
        <f t="shared" si="1"/>
        <v>46148</v>
      </c>
      <c r="M12" s="138">
        <f t="shared" si="1"/>
        <v>46149</v>
      </c>
      <c r="N12" s="138">
        <f t="shared" si="1"/>
        <v>46150</v>
      </c>
      <c r="O12" s="138">
        <f t="shared" si="1"/>
        <v>46151</v>
      </c>
      <c r="P12" s="138">
        <f t="shared" si="1"/>
        <v>46152</v>
      </c>
      <c r="Q12" s="138">
        <f t="shared" si="1"/>
        <v>46153</v>
      </c>
      <c r="R12" s="138">
        <f t="shared" si="1"/>
        <v>46154</v>
      </c>
      <c r="S12" s="138">
        <f t="shared" si="1"/>
        <v>46155</v>
      </c>
      <c r="T12" s="138">
        <f t="shared" si="1"/>
        <v>46156</v>
      </c>
      <c r="U12" s="138">
        <f t="shared" si="1"/>
        <v>46157</v>
      </c>
      <c r="V12" s="138">
        <f t="shared" si="1"/>
        <v>46158</v>
      </c>
      <c r="W12" s="138">
        <f t="shared" si="1"/>
        <v>46159</v>
      </c>
      <c r="X12" s="138">
        <f t="shared" si="1"/>
        <v>46160</v>
      </c>
      <c r="Y12" s="138">
        <f t="shared" si="1"/>
        <v>46161</v>
      </c>
    </row>
    <row r="13" spans="2:25">
      <c r="B13" s="135" t="s">
        <v>7</v>
      </c>
      <c r="C13" s="132">
        <f>COUNTIFS('North 5G Progress'!B:B,B13,'North 5G Progress'!J:J,"&lt;&gt;")</f>
        <v>3</v>
      </c>
      <c r="D13" s="136" t="s">
        <v>5</v>
      </c>
      <c r="E13" s="130">
        <f>COUNTIFS('North 5G Progress'!$B:$B,$B$13,'North 5G Progress'!$J:$J,E12,'North 5G Progress'!$C:$C,"&lt;&gt;")</f>
        <v>1</v>
      </c>
      <c r="F13" s="130">
        <f>COUNTIFS('North 5G Progress'!$B:$B,$B$13,'North 5G Progress'!$J:$J,F12,'North 5G Progress'!$C:$C,"&lt;&gt;")</f>
        <v>0</v>
      </c>
      <c r="G13" s="130">
        <f>COUNTIFS('North 5G Progress'!$B:$B,$B$13,'North 5G Progress'!$J:$J,G12,'North 5G Progress'!$C:$C,"&lt;&gt;")</f>
        <v>0</v>
      </c>
      <c r="H13" s="130">
        <f>COUNTIFS('North 5G Progress'!$B:$B,$B$13,'North 5G Progress'!$J:$J,H12,'North 5G Progress'!$C:$C,"&lt;&gt;")</f>
        <v>0</v>
      </c>
      <c r="I13" s="130">
        <f>COUNTIFS('North 5G Progress'!$B:$B,$B$13,'North 5G Progress'!$J:$J,I12,'North 5G Progress'!$C:$C,"&lt;&gt;")</f>
        <v>0</v>
      </c>
      <c r="J13" s="130">
        <f>COUNTIFS('North 5G Progress'!$B:$B,$B$13,'North 5G Progress'!$J:$J,J12,'North 5G Progress'!$C:$C,"&lt;&gt;")</f>
        <v>0</v>
      </c>
      <c r="K13" s="130">
        <f>COUNTIFS('North 5G Progress'!$B:$B,$B$13,'North 5G Progress'!$J:$J,K12,'North 5G Progress'!$C:$C,"&lt;&gt;")</f>
        <v>0</v>
      </c>
      <c r="L13" s="130">
        <f>COUNTIFS('North 5G Progress'!$B:$B,$B$13,'North 5G Progress'!$J:$J,L12,'North 5G Progress'!$C:$C,"&lt;&gt;")</f>
        <v>0</v>
      </c>
      <c r="M13" s="130">
        <f>COUNTIFS('North 5G Progress'!$B:$B,$B$13,'North 5G Progress'!$J:$J,M12,'North 5G Progress'!$C:$C,"&lt;&gt;")</f>
        <v>1</v>
      </c>
      <c r="N13" s="130">
        <f>COUNTIFS('North 5G Progress'!$B:$B,$B$13,'North 5G Progress'!$J:$J,N12,'North 5G Progress'!$C:$C,"&lt;&gt;")</f>
        <v>1</v>
      </c>
      <c r="O13" s="130">
        <f>COUNTIFS('North 5G Progress'!$B:$B,$B$13,'North 5G Progress'!$J:$J,O12,'North 5G Progress'!$C:$C,"&lt;&gt;")</f>
        <v>0</v>
      </c>
      <c r="P13" s="130">
        <f>COUNTIFS('North 5G Progress'!$B:$B,$B$13,'North 5G Progress'!$J:$J,P12,'North 5G Progress'!$C:$C,"&lt;&gt;")</f>
        <v>0</v>
      </c>
      <c r="Q13" s="130">
        <f>COUNTIFS('North 5G Progress'!$B:$B,$B$13,'North 5G Progress'!$J:$J,Q12,'North 5G Progress'!$C:$C,"&lt;&gt;")</f>
        <v>0</v>
      </c>
      <c r="R13" s="130">
        <f>COUNTIFS('North 5G Progress'!$B:$B,$B$13,'North 5G Progress'!$J:$J,R12,'North 5G Progress'!$C:$C,"&lt;&gt;")</f>
        <v>0</v>
      </c>
      <c r="S13" s="130">
        <f>COUNTIFS('North 5G Progress'!$B:$B,$B$13,'North 5G Progress'!$J:$J,S12,'North 5G Progress'!$C:$C,"&lt;&gt;")</f>
        <v>0</v>
      </c>
      <c r="T13" s="130">
        <f>COUNTIFS('North 5G Progress'!$B:$B,$B$13,'North 5G Progress'!$J:$J,T12,'North 5G Progress'!$C:$C,"&lt;&gt;")</f>
        <v>0</v>
      </c>
      <c r="U13" s="130">
        <f>COUNTIFS('North 5G Progress'!$B:$B,$B$13,'North 5G Progress'!$J:$J,U12,'North 5G Progress'!$C:$C,"&lt;&gt;")</f>
        <v>0</v>
      </c>
      <c r="V13" s="130">
        <f>COUNTIFS('North 5G Progress'!$B:$B,$B$13,'North 5G Progress'!$J:$J,V12,'North 5G Progress'!$C:$C,"&lt;&gt;")</f>
        <v>0</v>
      </c>
      <c r="W13" s="130">
        <f>COUNTIFS('North 5G Progress'!$B:$B,$B$13,'North 5G Progress'!$J:$J,W12,'North 5G Progress'!$C:$C,"&lt;&gt;")</f>
        <v>0</v>
      </c>
      <c r="X13" s="130">
        <f>COUNTIFS('North 5G Progress'!$B:$B,$B$13,'North 5G Progress'!$J:$J,X12,'North 5G Progress'!$C:$C,"&lt;&gt;")</f>
        <v>0</v>
      </c>
      <c r="Y13" s="130">
        <f>COUNTIFS('North 5G Progress'!$B:$B,$B$13,'North 5G Progress'!$J:$J,Y12,'North 5G Progress'!$C:$C,"&lt;&gt;")</f>
        <v>0</v>
      </c>
    </row>
    <row r="14" spans="2:25">
      <c r="B14" s="130" t="s">
        <v>8</v>
      </c>
      <c r="C14" s="132">
        <f>COUNTIFS('North 5G Progress'!B:B,B14,'North 5G Progress'!J:J,"&lt;&gt;")</f>
        <v>0</v>
      </c>
      <c r="D14" s="136" t="s">
        <v>5</v>
      </c>
      <c r="E14" s="130">
        <f>COUNTIFS('North 5G Progress'!$B:$B,$B$13,'North 5G Progress'!$J:$J,E13,'North 5G Progress'!$C:$C,"&lt;&gt;")</f>
        <v>0</v>
      </c>
      <c r="F14" s="130">
        <f>COUNTIFS('North 5G Progress'!$B:$B,$B$13,'North 5G Progress'!$J:$J,F13,'North 5G Progress'!$C:$C,"&lt;&gt;")</f>
        <v>0</v>
      </c>
      <c r="G14" s="130">
        <f>COUNTIFS('North 5G Progress'!$B:$B,$B$13,'North 5G Progress'!$J:$J,G13,'North 5G Progress'!$C:$C,"&lt;&gt;")</f>
        <v>0</v>
      </c>
      <c r="H14" s="130">
        <f>COUNTIFS('North 5G Progress'!$B:$B,$B$13,'North 5G Progress'!$J:$J,H13,'North 5G Progress'!$C:$C,"&lt;&gt;")</f>
        <v>0</v>
      </c>
      <c r="I14" s="130">
        <f>COUNTIFS('North 5G Progress'!$B:$B,$B$13,'North 5G Progress'!$J:$J,I13,'North 5G Progress'!$C:$C,"&lt;&gt;")</f>
        <v>0</v>
      </c>
      <c r="J14" s="130">
        <f>COUNTIFS('North 5G Progress'!$B:$B,$B$13,'North 5G Progress'!$J:$J,J13,'North 5G Progress'!$C:$C,"&lt;&gt;")</f>
        <v>0</v>
      </c>
      <c r="K14" s="130">
        <f>COUNTIFS('North 5G Progress'!$B:$B,$B$13,'North 5G Progress'!$J:$J,K13,'North 5G Progress'!$C:$C,"&lt;&gt;")</f>
        <v>0</v>
      </c>
      <c r="L14" s="130">
        <f>COUNTIFS('North 5G Progress'!$B:$B,$B$13,'North 5G Progress'!$J:$J,L13,'North 5G Progress'!$C:$C,"&lt;&gt;")</f>
        <v>0</v>
      </c>
      <c r="M14" s="130">
        <f>COUNTIFS('North 5G Progress'!$B:$B,$B$13,'North 5G Progress'!$J:$J,M13,'North 5G Progress'!$C:$C,"&lt;&gt;")</f>
        <v>0</v>
      </c>
      <c r="N14" s="130">
        <f>COUNTIFS('North 5G Progress'!$B:$B,$B$13,'North 5G Progress'!$J:$J,N13,'North 5G Progress'!$C:$C,"&lt;&gt;")</f>
        <v>0</v>
      </c>
      <c r="O14" s="130">
        <f>COUNTIFS('North 5G Progress'!$B:$B,$B$13,'North 5G Progress'!$J:$J,O13,'North 5G Progress'!$C:$C,"&lt;&gt;")</f>
        <v>0</v>
      </c>
      <c r="P14" s="130">
        <f>COUNTIFS('North 5G Progress'!$B:$B,$B$13,'North 5G Progress'!$J:$J,P13,'North 5G Progress'!$C:$C,"&lt;&gt;")</f>
        <v>0</v>
      </c>
      <c r="Q14" s="130">
        <f>COUNTIFS('North 5G Progress'!$B:$B,$B$13,'North 5G Progress'!$J:$J,Q13,'North 5G Progress'!$C:$C,"&lt;&gt;")</f>
        <v>0</v>
      </c>
      <c r="R14" s="130">
        <f>COUNTIFS('North 5G Progress'!$B:$B,$B$13,'North 5G Progress'!$J:$J,R13,'North 5G Progress'!$C:$C,"&lt;&gt;")</f>
        <v>0</v>
      </c>
      <c r="S14" s="130">
        <f>COUNTIFS('North 5G Progress'!$B:$B,$B$13,'North 5G Progress'!$J:$J,S13,'North 5G Progress'!$C:$C,"&lt;&gt;")</f>
        <v>0</v>
      </c>
      <c r="T14" s="130">
        <f>COUNTIFS('North 5G Progress'!$B:$B,$B$13,'North 5G Progress'!$J:$J,T13,'North 5G Progress'!$C:$C,"&lt;&gt;")</f>
        <v>0</v>
      </c>
      <c r="U14" s="130">
        <f>COUNTIFS('North 5G Progress'!$B:$B,$B$13,'North 5G Progress'!$J:$J,U13,'North 5G Progress'!$C:$C,"&lt;&gt;")</f>
        <v>0</v>
      </c>
      <c r="V14" s="130">
        <f>COUNTIFS('North 5G Progress'!$B:$B,$B$13,'North 5G Progress'!$J:$J,V13,'North 5G Progress'!$C:$C,"&lt;&gt;")</f>
        <v>0</v>
      </c>
      <c r="W14" s="130">
        <f>COUNTIFS('North 5G Progress'!$B:$B,$B$13,'North 5G Progress'!$J:$J,W13,'North 5G Progress'!$C:$C,"&lt;&gt;")</f>
        <v>0</v>
      </c>
      <c r="X14" s="130">
        <f>COUNTIFS('North 5G Progress'!$B:$B,$B$13,'North 5G Progress'!$J:$J,X13,'North 5G Progress'!$C:$C,"&lt;&gt;")</f>
        <v>0</v>
      </c>
      <c r="Y14" s="130">
        <f>COUNTIFS('North 5G Progress'!$B:$B,$B$13,'North 5G Progress'!$J:$J,Y13,'North 5G Progress'!$C:$C,"&lt;&gt;")</f>
        <v>0</v>
      </c>
    </row>
    <row r="15" spans="2:25">
      <c r="B15" s="130" t="s">
        <v>9</v>
      </c>
      <c r="C15" s="132">
        <f>COUNTIFS('North 5G Progress'!B:B,B15,'North 5G Progress'!J:J,"&lt;&gt;")</f>
        <v>0</v>
      </c>
      <c r="D15" s="136" t="s">
        <v>5</v>
      </c>
      <c r="E15" s="130">
        <f>COUNTIFS('North 5G Progress'!$B:$B,$B$13,'North 5G Progress'!$J:$J,E14,'North 5G Progress'!$C:$C,"&lt;&gt;")</f>
        <v>0</v>
      </c>
      <c r="F15" s="130">
        <f>COUNTIFS('North 5G Progress'!$B:$B,$B$13,'North 5G Progress'!$J:$J,F14,'North 5G Progress'!$C:$C,"&lt;&gt;")</f>
        <v>0</v>
      </c>
      <c r="G15" s="130">
        <f>COUNTIFS('North 5G Progress'!$B:$B,$B$13,'North 5G Progress'!$J:$J,G14,'North 5G Progress'!$C:$C,"&lt;&gt;")</f>
        <v>0</v>
      </c>
      <c r="H15" s="130">
        <f>COUNTIFS('North 5G Progress'!$B:$B,$B$13,'North 5G Progress'!$J:$J,H14,'North 5G Progress'!$C:$C,"&lt;&gt;")</f>
        <v>0</v>
      </c>
      <c r="I15" s="130">
        <f>COUNTIFS('North 5G Progress'!$B:$B,$B$13,'North 5G Progress'!$J:$J,I14,'North 5G Progress'!$C:$C,"&lt;&gt;")</f>
        <v>0</v>
      </c>
      <c r="J15" s="130">
        <f>COUNTIFS('North 5G Progress'!$B:$B,$B$13,'North 5G Progress'!$J:$J,J14,'North 5G Progress'!$C:$C,"&lt;&gt;")</f>
        <v>0</v>
      </c>
      <c r="K15" s="130">
        <f>COUNTIFS('North 5G Progress'!$B:$B,$B$13,'North 5G Progress'!$J:$J,K14,'North 5G Progress'!$C:$C,"&lt;&gt;")</f>
        <v>0</v>
      </c>
      <c r="L15" s="130">
        <f>COUNTIFS('North 5G Progress'!$B:$B,$B$13,'North 5G Progress'!$J:$J,L14,'North 5G Progress'!$C:$C,"&lt;&gt;")</f>
        <v>0</v>
      </c>
      <c r="M15" s="130">
        <f>COUNTIFS('North 5G Progress'!$B:$B,$B$13,'North 5G Progress'!$J:$J,M14,'North 5G Progress'!$C:$C,"&lt;&gt;")</f>
        <v>0</v>
      </c>
      <c r="N15" s="130">
        <f>COUNTIFS('North 5G Progress'!$B:$B,$B$13,'North 5G Progress'!$J:$J,N14,'North 5G Progress'!$C:$C,"&lt;&gt;")</f>
        <v>0</v>
      </c>
      <c r="O15" s="130">
        <f>COUNTIFS('North 5G Progress'!$B:$B,$B$13,'North 5G Progress'!$J:$J,O14,'North 5G Progress'!$C:$C,"&lt;&gt;")</f>
        <v>0</v>
      </c>
      <c r="P15" s="130">
        <f>COUNTIFS('North 5G Progress'!$B:$B,$B$13,'North 5G Progress'!$J:$J,P14,'North 5G Progress'!$C:$C,"&lt;&gt;")</f>
        <v>0</v>
      </c>
      <c r="Q15" s="130">
        <f>COUNTIFS('North 5G Progress'!$B:$B,$B$13,'North 5G Progress'!$J:$J,Q14,'North 5G Progress'!$C:$C,"&lt;&gt;")</f>
        <v>0</v>
      </c>
      <c r="R15" s="130">
        <f>COUNTIFS('North 5G Progress'!$B:$B,$B$13,'North 5G Progress'!$J:$J,R14,'North 5G Progress'!$C:$C,"&lt;&gt;")</f>
        <v>0</v>
      </c>
      <c r="S15" s="130">
        <f>COUNTIFS('North 5G Progress'!$B:$B,$B$13,'North 5G Progress'!$J:$J,S14,'North 5G Progress'!$C:$C,"&lt;&gt;")</f>
        <v>0</v>
      </c>
      <c r="T15" s="130">
        <f>COUNTIFS('North 5G Progress'!$B:$B,$B$13,'North 5G Progress'!$J:$J,T14,'North 5G Progress'!$C:$C,"&lt;&gt;")</f>
        <v>0</v>
      </c>
      <c r="U15" s="130">
        <f>COUNTIFS('North 5G Progress'!$B:$B,$B$13,'North 5G Progress'!$J:$J,U14,'North 5G Progress'!$C:$C,"&lt;&gt;")</f>
        <v>0</v>
      </c>
      <c r="V15" s="130">
        <f>COUNTIFS('North 5G Progress'!$B:$B,$B$13,'North 5G Progress'!$J:$J,V14,'North 5G Progress'!$C:$C,"&lt;&gt;")</f>
        <v>0</v>
      </c>
      <c r="W15" s="130">
        <f>COUNTIFS('North 5G Progress'!$B:$B,$B$13,'North 5G Progress'!$J:$J,W14,'North 5G Progress'!$C:$C,"&lt;&gt;")</f>
        <v>0</v>
      </c>
      <c r="X15" s="130">
        <f>COUNTIFS('North 5G Progress'!$B:$B,$B$13,'North 5G Progress'!$J:$J,X14,'North 5G Progress'!$C:$C,"&lt;&gt;")</f>
        <v>0</v>
      </c>
      <c r="Y15" s="130">
        <f>COUNTIFS('North 5G Progress'!$B:$B,$B$13,'North 5G Progress'!$J:$J,Y14,'North 5G Progress'!$C:$C,"&lt;&gt;")</f>
        <v>0</v>
      </c>
    </row>
    <row r="16" spans="2:25">
      <c r="B16" s="130" t="s">
        <v>10</v>
      </c>
      <c r="C16" s="132">
        <f>COUNTIFS('North 5G Progress'!B:B,B16,'North 5G Progress'!J:J,"&lt;&gt;")</f>
        <v>0</v>
      </c>
      <c r="D16" s="136" t="s">
        <v>5</v>
      </c>
      <c r="E16" s="130">
        <f>COUNTIFS('North 5G Progress'!$B:$B,$B$13,'North 5G Progress'!$J:$J,E15,'North 5G Progress'!$C:$C,"&lt;&gt;")</f>
        <v>0</v>
      </c>
      <c r="F16" s="130">
        <f>COUNTIFS('North 5G Progress'!$B:$B,$B$13,'North 5G Progress'!$J:$J,F15,'North 5G Progress'!$C:$C,"&lt;&gt;")</f>
        <v>0</v>
      </c>
      <c r="G16" s="130">
        <f>COUNTIFS('North 5G Progress'!$B:$B,$B$13,'North 5G Progress'!$J:$J,G15,'North 5G Progress'!$C:$C,"&lt;&gt;")</f>
        <v>0</v>
      </c>
      <c r="H16" s="130">
        <f>COUNTIFS('North 5G Progress'!$B:$B,$B$13,'North 5G Progress'!$J:$J,H15,'North 5G Progress'!$C:$C,"&lt;&gt;")</f>
        <v>0</v>
      </c>
      <c r="I16" s="130">
        <f>COUNTIFS('North 5G Progress'!$B:$B,$B$13,'North 5G Progress'!$J:$J,I15,'North 5G Progress'!$C:$C,"&lt;&gt;")</f>
        <v>0</v>
      </c>
      <c r="J16" s="130">
        <f>COUNTIFS('North 5G Progress'!$B:$B,$B$13,'North 5G Progress'!$J:$J,J15,'North 5G Progress'!$C:$C,"&lt;&gt;")</f>
        <v>0</v>
      </c>
      <c r="K16" s="130">
        <f>COUNTIFS('North 5G Progress'!$B:$B,$B$13,'North 5G Progress'!$J:$J,K15,'North 5G Progress'!$C:$C,"&lt;&gt;")</f>
        <v>0</v>
      </c>
      <c r="L16" s="130">
        <f>COUNTIFS('North 5G Progress'!$B:$B,$B$13,'North 5G Progress'!$J:$J,L15,'North 5G Progress'!$C:$C,"&lt;&gt;")</f>
        <v>0</v>
      </c>
      <c r="M16" s="130">
        <f>COUNTIFS('North 5G Progress'!$B:$B,$B$13,'North 5G Progress'!$J:$J,M15,'North 5G Progress'!$C:$C,"&lt;&gt;")</f>
        <v>0</v>
      </c>
      <c r="N16" s="130">
        <f>COUNTIFS('North 5G Progress'!$B:$B,$B$13,'North 5G Progress'!$J:$J,N15,'North 5G Progress'!$C:$C,"&lt;&gt;")</f>
        <v>0</v>
      </c>
      <c r="O16" s="130">
        <f>COUNTIFS('North 5G Progress'!$B:$B,$B$13,'North 5G Progress'!$J:$J,O15,'North 5G Progress'!$C:$C,"&lt;&gt;")</f>
        <v>0</v>
      </c>
      <c r="P16" s="130">
        <f>COUNTIFS('North 5G Progress'!$B:$B,$B$13,'North 5G Progress'!$J:$J,P15,'North 5G Progress'!$C:$C,"&lt;&gt;")</f>
        <v>0</v>
      </c>
      <c r="Q16" s="130">
        <f>COUNTIFS('North 5G Progress'!$B:$B,$B$13,'North 5G Progress'!$J:$J,Q15,'North 5G Progress'!$C:$C,"&lt;&gt;")</f>
        <v>0</v>
      </c>
      <c r="R16" s="130">
        <f>COUNTIFS('North 5G Progress'!$B:$B,$B$13,'North 5G Progress'!$J:$J,R15,'North 5G Progress'!$C:$C,"&lt;&gt;")</f>
        <v>0</v>
      </c>
      <c r="S16" s="130">
        <f>COUNTIFS('North 5G Progress'!$B:$B,$B$13,'North 5G Progress'!$J:$J,S15,'North 5G Progress'!$C:$C,"&lt;&gt;")</f>
        <v>0</v>
      </c>
      <c r="T16" s="130">
        <f>COUNTIFS('North 5G Progress'!$B:$B,$B$13,'North 5G Progress'!$J:$J,T15,'North 5G Progress'!$C:$C,"&lt;&gt;")</f>
        <v>0</v>
      </c>
      <c r="U16" s="130">
        <f>COUNTIFS('North 5G Progress'!$B:$B,$B$13,'North 5G Progress'!$J:$J,U15,'North 5G Progress'!$C:$C,"&lt;&gt;")</f>
        <v>0</v>
      </c>
      <c r="V16" s="130">
        <f>COUNTIFS('North 5G Progress'!$B:$B,$B$13,'North 5G Progress'!$J:$J,V15,'North 5G Progress'!$C:$C,"&lt;&gt;")</f>
        <v>0</v>
      </c>
      <c r="W16" s="130">
        <f>COUNTIFS('North 5G Progress'!$B:$B,$B$13,'North 5G Progress'!$J:$J,W15,'North 5G Progress'!$C:$C,"&lt;&gt;")</f>
        <v>0</v>
      </c>
      <c r="X16" s="130">
        <f>COUNTIFS('North 5G Progress'!$B:$B,$B$13,'North 5G Progress'!$J:$J,X15,'North 5G Progress'!$C:$C,"&lt;&gt;")</f>
        <v>0</v>
      </c>
      <c r="Y16" s="130">
        <f>COUNTIFS('North 5G Progress'!$B:$B,$B$13,'North 5G Progress'!$J:$J,Y15,'North 5G Progress'!$C:$C,"&lt;&gt;")</f>
        <v>0</v>
      </c>
    </row>
    <row r="17" spans="2:25">
      <c r="B17" s="130" t="s">
        <v>11</v>
      </c>
      <c r="C17" s="132">
        <f>COUNTIFS('North 5G Progress'!B:B,B17,'North 5G Progress'!J:J,"&lt;&gt;")</f>
        <v>0</v>
      </c>
      <c r="D17" s="136" t="s">
        <v>5</v>
      </c>
      <c r="E17" s="130">
        <f>COUNTIFS('North 5G Progress'!$B:$B,$B$13,'North 5G Progress'!$J:$J,E16,'North 5G Progress'!$C:$C,"&lt;&gt;")</f>
        <v>0</v>
      </c>
      <c r="F17" s="130">
        <f>COUNTIFS('North 5G Progress'!$B:$B,$B$13,'North 5G Progress'!$J:$J,F16,'North 5G Progress'!$C:$C,"&lt;&gt;")</f>
        <v>0</v>
      </c>
      <c r="G17" s="130">
        <f>COUNTIFS('North 5G Progress'!$B:$B,$B$13,'North 5G Progress'!$J:$J,G16,'North 5G Progress'!$C:$C,"&lt;&gt;")</f>
        <v>0</v>
      </c>
      <c r="H17" s="130">
        <f>COUNTIFS('North 5G Progress'!$B:$B,$B$13,'North 5G Progress'!$J:$J,H16,'North 5G Progress'!$C:$C,"&lt;&gt;")</f>
        <v>0</v>
      </c>
      <c r="I17" s="130">
        <f>COUNTIFS('North 5G Progress'!$B:$B,$B$13,'North 5G Progress'!$J:$J,I16,'North 5G Progress'!$C:$C,"&lt;&gt;")</f>
        <v>0</v>
      </c>
      <c r="J17" s="130">
        <f>COUNTIFS('North 5G Progress'!$B:$B,$B$13,'North 5G Progress'!$J:$J,J16,'North 5G Progress'!$C:$C,"&lt;&gt;")</f>
        <v>0</v>
      </c>
      <c r="K17" s="130">
        <f>COUNTIFS('North 5G Progress'!$B:$B,$B$13,'North 5G Progress'!$J:$J,K16,'North 5G Progress'!$C:$C,"&lt;&gt;")</f>
        <v>0</v>
      </c>
      <c r="L17" s="130">
        <f>COUNTIFS('North 5G Progress'!$B:$B,$B$13,'North 5G Progress'!$J:$J,L16,'North 5G Progress'!$C:$C,"&lt;&gt;")</f>
        <v>0</v>
      </c>
      <c r="M17" s="130">
        <f>COUNTIFS('North 5G Progress'!$B:$B,$B$13,'North 5G Progress'!$J:$J,M16,'North 5G Progress'!$C:$C,"&lt;&gt;")</f>
        <v>0</v>
      </c>
      <c r="N17" s="130">
        <f>COUNTIFS('North 5G Progress'!$B:$B,$B$13,'North 5G Progress'!$J:$J,N16,'North 5G Progress'!$C:$C,"&lt;&gt;")</f>
        <v>0</v>
      </c>
      <c r="O17" s="130">
        <f>COUNTIFS('North 5G Progress'!$B:$B,$B$13,'North 5G Progress'!$J:$J,O16,'North 5G Progress'!$C:$C,"&lt;&gt;")</f>
        <v>0</v>
      </c>
      <c r="P17" s="130">
        <f>COUNTIFS('North 5G Progress'!$B:$B,$B$13,'North 5G Progress'!$J:$J,P16,'North 5G Progress'!$C:$C,"&lt;&gt;")</f>
        <v>0</v>
      </c>
      <c r="Q17" s="130">
        <f>COUNTIFS('North 5G Progress'!$B:$B,$B$13,'North 5G Progress'!$J:$J,Q16,'North 5G Progress'!$C:$C,"&lt;&gt;")</f>
        <v>0</v>
      </c>
      <c r="R17" s="130">
        <f>COUNTIFS('North 5G Progress'!$B:$B,$B$13,'North 5G Progress'!$J:$J,R16,'North 5G Progress'!$C:$C,"&lt;&gt;")</f>
        <v>0</v>
      </c>
      <c r="S17" s="130">
        <f>COUNTIFS('North 5G Progress'!$B:$B,$B$13,'North 5G Progress'!$J:$J,S16,'North 5G Progress'!$C:$C,"&lt;&gt;")</f>
        <v>0</v>
      </c>
      <c r="T17" s="130">
        <f>COUNTIFS('North 5G Progress'!$B:$B,$B$13,'North 5G Progress'!$J:$J,T16,'North 5G Progress'!$C:$C,"&lt;&gt;")</f>
        <v>0</v>
      </c>
      <c r="U17" s="130">
        <f>COUNTIFS('North 5G Progress'!$B:$B,$B$13,'North 5G Progress'!$J:$J,U16,'North 5G Progress'!$C:$C,"&lt;&gt;")</f>
        <v>0</v>
      </c>
      <c r="V17" s="130">
        <f>COUNTIFS('North 5G Progress'!$B:$B,$B$13,'North 5G Progress'!$J:$J,V16,'North 5G Progress'!$C:$C,"&lt;&gt;")</f>
        <v>0</v>
      </c>
      <c r="W17" s="130">
        <f>COUNTIFS('North 5G Progress'!$B:$B,$B$13,'North 5G Progress'!$J:$J,W16,'North 5G Progress'!$C:$C,"&lt;&gt;")</f>
        <v>0</v>
      </c>
      <c r="X17" s="130">
        <f>COUNTIFS('North 5G Progress'!$B:$B,$B$13,'North 5G Progress'!$J:$J,X16,'North 5G Progress'!$C:$C,"&lt;&gt;")</f>
        <v>0</v>
      </c>
      <c r="Y17" s="130">
        <f>COUNTIFS('North 5G Progress'!$B:$B,$B$13,'North 5G Progress'!$J:$J,Y16,'North 5G Progress'!$C:$C,"&lt;&gt;")</f>
        <v>0</v>
      </c>
    </row>
    <row r="18" spans="2:25">
      <c r="B18" s="130" t="s">
        <v>12</v>
      </c>
      <c r="C18" s="132">
        <f>COUNTIFS('North 5G Progress'!B:B,B18,'North 5G Progress'!J:J,"&lt;&gt;")</f>
        <v>1</v>
      </c>
      <c r="D18" s="136" t="s">
        <v>5</v>
      </c>
      <c r="E18" s="130">
        <f>COUNTIFS('North 5G Progress'!$B:$B,$B$13,'North 5G Progress'!$J:$J,E17,'North 5G Progress'!$C:$C,"&lt;&gt;")</f>
        <v>0</v>
      </c>
      <c r="F18" s="130">
        <f>COUNTIFS('North 5G Progress'!$B:$B,$B$13,'North 5G Progress'!$J:$J,F17,'North 5G Progress'!$C:$C,"&lt;&gt;")</f>
        <v>0</v>
      </c>
      <c r="G18" s="130">
        <f>COUNTIFS('North 5G Progress'!$B:$B,$B$13,'North 5G Progress'!$J:$J,G17,'North 5G Progress'!$C:$C,"&lt;&gt;")</f>
        <v>0</v>
      </c>
      <c r="H18" s="130">
        <f>COUNTIFS('North 5G Progress'!$B:$B,$B$13,'North 5G Progress'!$J:$J,H17,'North 5G Progress'!$C:$C,"&lt;&gt;")</f>
        <v>0</v>
      </c>
      <c r="I18" s="130">
        <f>COUNTIFS('North 5G Progress'!$B:$B,$B$13,'North 5G Progress'!$J:$J,I17,'North 5G Progress'!$C:$C,"&lt;&gt;")</f>
        <v>0</v>
      </c>
      <c r="J18" s="130">
        <f>COUNTIFS('North 5G Progress'!$B:$B,$B$13,'North 5G Progress'!$J:$J,J17,'North 5G Progress'!$C:$C,"&lt;&gt;")</f>
        <v>0</v>
      </c>
      <c r="K18" s="130">
        <f>COUNTIFS('North 5G Progress'!$B:$B,$B$13,'North 5G Progress'!$J:$J,K17,'North 5G Progress'!$C:$C,"&lt;&gt;")</f>
        <v>0</v>
      </c>
      <c r="L18" s="130">
        <f>COUNTIFS('North 5G Progress'!$B:$B,$B$13,'North 5G Progress'!$J:$J,L17,'North 5G Progress'!$C:$C,"&lt;&gt;")</f>
        <v>0</v>
      </c>
      <c r="M18" s="130">
        <f>COUNTIFS('North 5G Progress'!$B:$B,$B$13,'North 5G Progress'!$J:$J,M17,'North 5G Progress'!$C:$C,"&lt;&gt;")</f>
        <v>0</v>
      </c>
      <c r="N18" s="130">
        <f>COUNTIFS('North 5G Progress'!$B:$B,$B$13,'North 5G Progress'!$J:$J,N17,'North 5G Progress'!$C:$C,"&lt;&gt;")</f>
        <v>0</v>
      </c>
      <c r="O18" s="130">
        <f>COUNTIFS('North 5G Progress'!$B:$B,$B$13,'North 5G Progress'!$J:$J,O17,'North 5G Progress'!$C:$C,"&lt;&gt;")</f>
        <v>0</v>
      </c>
      <c r="P18" s="130">
        <f>COUNTIFS('North 5G Progress'!$B:$B,$B$13,'North 5G Progress'!$J:$J,P17,'North 5G Progress'!$C:$C,"&lt;&gt;")</f>
        <v>0</v>
      </c>
      <c r="Q18" s="130">
        <f>COUNTIFS('North 5G Progress'!$B:$B,$B$13,'North 5G Progress'!$J:$J,Q17,'North 5G Progress'!$C:$C,"&lt;&gt;")</f>
        <v>0</v>
      </c>
      <c r="R18" s="130">
        <f>COUNTIFS('North 5G Progress'!$B:$B,$B$13,'North 5G Progress'!$J:$J,R17,'North 5G Progress'!$C:$C,"&lt;&gt;")</f>
        <v>0</v>
      </c>
      <c r="S18" s="130">
        <f>COUNTIFS('North 5G Progress'!$B:$B,$B$13,'North 5G Progress'!$J:$J,S17,'North 5G Progress'!$C:$C,"&lt;&gt;")</f>
        <v>0</v>
      </c>
      <c r="T18" s="130">
        <f>COUNTIFS('North 5G Progress'!$B:$B,$B$13,'North 5G Progress'!$J:$J,T17,'North 5G Progress'!$C:$C,"&lt;&gt;")</f>
        <v>0</v>
      </c>
      <c r="U18" s="130">
        <f>COUNTIFS('North 5G Progress'!$B:$B,$B$13,'North 5G Progress'!$J:$J,U17,'North 5G Progress'!$C:$C,"&lt;&gt;")</f>
        <v>0</v>
      </c>
      <c r="V18" s="130">
        <f>COUNTIFS('North 5G Progress'!$B:$B,$B$13,'North 5G Progress'!$J:$J,V17,'North 5G Progress'!$C:$C,"&lt;&gt;")</f>
        <v>0</v>
      </c>
      <c r="W18" s="130">
        <f>COUNTIFS('North 5G Progress'!$B:$B,$B$13,'North 5G Progress'!$J:$J,W17,'North 5G Progress'!$C:$C,"&lt;&gt;")</f>
        <v>0</v>
      </c>
      <c r="X18" s="130">
        <f>COUNTIFS('North 5G Progress'!$B:$B,$B$13,'North 5G Progress'!$J:$J,X17,'North 5G Progress'!$C:$C,"&lt;&gt;")</f>
        <v>0</v>
      </c>
      <c r="Y18" s="130">
        <f>COUNTIFS('North 5G Progress'!$B:$B,$B$13,'North 5G Progress'!$J:$J,Y17,'North 5G Progress'!$C:$C,"&lt;&gt;")</f>
        <v>0</v>
      </c>
    </row>
    <row r="22" spans="1:1">
      <c r="A22" s="137" t="s">
        <v>13</v>
      </c>
    </row>
    <row r="24" ht="25.5" spans="2:25">
      <c r="B24" s="125" t="s">
        <v>1</v>
      </c>
      <c r="C24" s="126" t="s">
        <v>2</v>
      </c>
      <c r="D24" s="127" t="s">
        <v>3</v>
      </c>
      <c r="E24" s="138">
        <v>46141</v>
      </c>
      <c r="F24" s="138">
        <f t="shared" ref="F24:Y24" si="2">E24+1</f>
        <v>46142</v>
      </c>
      <c r="G24" s="138">
        <f t="shared" si="2"/>
        <v>46143</v>
      </c>
      <c r="H24" s="138">
        <f t="shared" si="2"/>
        <v>46144</v>
      </c>
      <c r="I24" s="138">
        <f t="shared" si="2"/>
        <v>46145</v>
      </c>
      <c r="J24" s="138">
        <f t="shared" si="2"/>
        <v>46146</v>
      </c>
      <c r="K24" s="138">
        <f t="shared" si="2"/>
        <v>46147</v>
      </c>
      <c r="L24" s="138">
        <f t="shared" si="2"/>
        <v>46148</v>
      </c>
      <c r="M24" s="138">
        <f t="shared" si="2"/>
        <v>46149</v>
      </c>
      <c r="N24" s="138">
        <f t="shared" si="2"/>
        <v>46150</v>
      </c>
      <c r="O24" s="138">
        <f t="shared" si="2"/>
        <v>46151</v>
      </c>
      <c r="P24" s="138">
        <f t="shared" si="2"/>
        <v>46152</v>
      </c>
      <c r="Q24" s="138">
        <f t="shared" si="2"/>
        <v>46153</v>
      </c>
      <c r="R24" s="138">
        <f t="shared" si="2"/>
        <v>46154</v>
      </c>
      <c r="S24" s="138">
        <f t="shared" si="2"/>
        <v>46155</v>
      </c>
      <c r="T24" s="138">
        <f t="shared" si="2"/>
        <v>46156</v>
      </c>
      <c r="U24" s="138">
        <f t="shared" si="2"/>
        <v>46157</v>
      </c>
      <c r="V24" s="138">
        <f t="shared" si="2"/>
        <v>46158</v>
      </c>
      <c r="W24" s="138">
        <f t="shared" si="2"/>
        <v>46159</v>
      </c>
      <c r="X24" s="138">
        <f t="shared" si="2"/>
        <v>46160</v>
      </c>
      <c r="Y24" s="138">
        <f t="shared" si="2"/>
        <v>46161</v>
      </c>
    </row>
    <row r="25" spans="2:25">
      <c r="B25" s="128" t="s">
        <v>13</v>
      </c>
      <c r="C25" s="129">
        <f>COUNTIFS('Ha Noi Progress'!D:D,"&lt;&gt;",'Ha Noi Progress'!I:I,"&lt;&gt;",'Ha Noi Progress'!B:B,B25)</f>
        <v>0</v>
      </c>
      <c r="D25" s="130" t="s">
        <v>4</v>
      </c>
      <c r="E25" s="130">
        <f>COUNTIFS('Ha Noi Progress'!$B:$B,$B$5,'Ha Noi Progress'!$D:$D,"&lt;&gt;",'Ha Noi Progress'!$I:$I,E24)</f>
        <v>0</v>
      </c>
      <c r="F25" s="130">
        <f>COUNTIFS('Ha Noi Progress'!$B:$B,$B$5,'Ha Noi Progress'!$D:$D,"&lt;&gt;",'Ha Noi Progress'!$I:$I,F24)</f>
        <v>0</v>
      </c>
      <c r="G25" s="130">
        <f>COUNTIFS('Ha Noi Progress'!$B:$B,$B$5,'Ha Noi Progress'!$D:$D,"&lt;&gt;",'Ha Noi Progress'!$I:$I,G24)</f>
        <v>0</v>
      </c>
      <c r="H25" s="130">
        <f>COUNTIFS('Ha Noi Progress'!$B:$B,$B$5,'Ha Noi Progress'!$D:$D,"&lt;&gt;",'Ha Noi Progress'!$I:$I,H24)</f>
        <v>0</v>
      </c>
      <c r="I25" s="130">
        <f>COUNTIFS('Ha Noi Progress'!$B:$B,$B$5,'Ha Noi Progress'!$D:$D,"&lt;&gt;",'Ha Noi Progress'!$I:$I,I24)</f>
        <v>0</v>
      </c>
      <c r="J25" s="130">
        <f>COUNTIFS('Ha Noi Progress'!$B:$B,$B$5,'Ha Noi Progress'!$D:$D,"&lt;&gt;",'Ha Noi Progress'!$I:$I,J24)</f>
        <v>0</v>
      </c>
      <c r="K25" s="130">
        <f>COUNTIFS('Ha Noi Progress'!$B:$B,$B$5,'Ha Noi Progress'!$D:$D,"&lt;&gt;",'Ha Noi Progress'!$I:$I,K24)</f>
        <v>0</v>
      </c>
      <c r="L25" s="130">
        <f>COUNTIFS('Ha Noi Progress'!$B:$B,$B$5,'Ha Noi Progress'!$D:$D,"&lt;&gt;",'Ha Noi Progress'!$I:$I,L24)</f>
        <v>1</v>
      </c>
      <c r="M25" s="130">
        <f>COUNTIFS('Ha Noi Progress'!$B:$B,$B$5,'Ha Noi Progress'!$D:$D,"&lt;&gt;",'Ha Noi Progress'!$I:$I,M24)</f>
        <v>0</v>
      </c>
      <c r="N25" s="130">
        <f>COUNTIFS('Ha Noi Progress'!$B:$B,$B$5,'Ha Noi Progress'!$D:$D,"&lt;&gt;",'Ha Noi Progress'!$I:$I,N24)</f>
        <v>0</v>
      </c>
      <c r="O25" s="130">
        <f>COUNTIFS('Ha Noi Progress'!$B:$B,$B$5,'Ha Noi Progress'!$D:$D,"&lt;&gt;",'Ha Noi Progress'!$I:$I,O24)</f>
        <v>0</v>
      </c>
      <c r="P25" s="130">
        <f>COUNTIFS('Ha Noi Progress'!$B:$B,$B$5,'Ha Noi Progress'!$D:$D,"&lt;&gt;",'Ha Noi Progress'!$I:$I,P24)</f>
        <v>0</v>
      </c>
      <c r="Q25" s="130">
        <v>0</v>
      </c>
      <c r="R25" s="130">
        <f>COUNTIFS('Ha Noi Progress'!$B:$B,$B$5,'Ha Noi Progress'!$D:$D,"&lt;&gt;",'Ha Noi Progress'!$I:$I,R24)</f>
        <v>0</v>
      </c>
      <c r="S25" s="130">
        <f>COUNTIFS('Ha Noi Progress'!$B:$B,$B$5,'Ha Noi Progress'!$D:$D,"&lt;&gt;",'Ha Noi Progress'!$I:$I,S24)</f>
        <v>0</v>
      </c>
      <c r="T25" s="130">
        <f>COUNTIFS('Ha Noi Progress'!$B:$B,$B$5,'Ha Noi Progress'!$D:$D,"&lt;&gt;",'Ha Noi Progress'!$I:$I,T24)</f>
        <v>0</v>
      </c>
      <c r="U25" s="130">
        <v>0</v>
      </c>
      <c r="V25" s="130">
        <f>COUNTIFS('Ha Noi Progress'!$B:$B,$B$5,'Ha Noi Progress'!$D:$D,"&lt;&gt;",'Ha Noi Progress'!$I:$I,V24)</f>
        <v>0</v>
      </c>
      <c r="W25" s="130">
        <f>COUNTIFS('Ha Noi Progress'!$B:$B,$B$5,'Ha Noi Progress'!$D:$D,"&lt;&gt;",'Ha Noi Progress'!$I:$I,W24)</f>
        <v>0</v>
      </c>
      <c r="X25" s="130">
        <f>COUNTIFS('Ha Noi Progress'!$B:$B,$B$5,'Ha Noi Progress'!$D:$D,"&lt;&gt;",'Ha Noi Progress'!$I:$I,X24)</f>
        <v>0</v>
      </c>
      <c r="Y25" s="130">
        <f>COUNTIFS('Ha Noi Progress'!$B:$B,$B$5,'Ha Noi Progress'!$D:$D,"&lt;&gt;",'Ha Noi Progress'!$I:$I,Y24)</f>
        <v>0</v>
      </c>
    </row>
    <row r="26" spans="2:25">
      <c r="B26" s="131"/>
      <c r="C26" s="132">
        <v>3</v>
      </c>
      <c r="D26" s="133" t="s">
        <v>5</v>
      </c>
      <c r="E26" s="130">
        <f>COUNTIFS('Ha Noi Progress'!$D:$D,"&lt;&gt;",'Ha Noi Progress'!$B:$B,$B$5,'Ha Noi Progress'!$M:$M,E24)</f>
        <v>0</v>
      </c>
      <c r="F26" s="130">
        <f>COUNTIFS('Ha Noi Progress'!$D:$D,"&lt;&gt;",'Ha Noi Progress'!$B:$B,$B$5,'Ha Noi Progress'!$M:$M,F24)</f>
        <v>0</v>
      </c>
      <c r="G26" s="130">
        <f>COUNTIFS('Ha Noi Progress'!$D:$D,"&lt;&gt;",'Ha Noi Progress'!$B:$B,$B$5,'Ha Noi Progress'!$M:$M,G24)</f>
        <v>0</v>
      </c>
      <c r="H26" s="130">
        <f>COUNTIFS('Ha Noi Progress'!$D:$D,"&lt;&gt;",'Ha Noi Progress'!$B:$B,$B$5,'Ha Noi Progress'!$M:$M,H24)</f>
        <v>0</v>
      </c>
      <c r="I26" s="130">
        <f>COUNTIFS('Ha Noi Progress'!$D:$D,"&lt;&gt;",'Ha Noi Progress'!$B:$B,$B$5,'Ha Noi Progress'!$M:$M,I24)</f>
        <v>0</v>
      </c>
      <c r="J26" s="130">
        <f>COUNTIFS('Ha Noi Progress'!$D:$D,"&lt;&gt;",'Ha Noi Progress'!$B:$B,$B$5,'Ha Noi Progress'!$M:$M,J24)</f>
        <v>0</v>
      </c>
      <c r="K26" s="130">
        <f>COUNTIFS('Ha Noi Progress'!$D:$D,"&lt;&gt;",'Ha Noi Progress'!$B:$B,$B$5,'Ha Noi Progress'!$M:$M,K24)</f>
        <v>0</v>
      </c>
      <c r="L26" s="130">
        <f>COUNTIFS('Ha Noi Progress'!$D:$D,"&lt;&gt;",'Ha Noi Progress'!$B:$B,$B$5,'Ha Noi Progress'!$M:$M,L24)</f>
        <v>1</v>
      </c>
      <c r="M26" s="130">
        <f>COUNTIFS('Ha Noi Progress'!$D:$D,"&lt;&gt;",'Ha Noi Progress'!$B:$B,$B$5,'Ha Noi Progress'!$M:$M,M24)</f>
        <v>0</v>
      </c>
      <c r="N26" s="130">
        <f>COUNTIFS('Ha Noi Progress'!$D:$D,"&lt;&gt;",'Ha Noi Progress'!$B:$B,$B$5,'Ha Noi Progress'!$M:$M,N24)</f>
        <v>0</v>
      </c>
      <c r="O26" s="130">
        <f>COUNTIFS('Ha Noi Progress'!$D:$D,"&lt;&gt;",'Ha Noi Progress'!$B:$B,$B$5,'Ha Noi Progress'!$M:$M,O24)</f>
        <v>0</v>
      </c>
      <c r="P26" s="130">
        <f>COUNTIFS('Ha Noi Progress'!$D:$D,"&lt;&gt;",'Ha Noi Progress'!$B:$B,$B$5,'Ha Noi Progress'!$M:$M,P24)</f>
        <v>0</v>
      </c>
      <c r="Q26" s="130">
        <f>COUNTIFS('Ha Noi Progress'!$D:$D,"&lt;&gt;",'Ha Noi Progress'!$B:$B,$B$5,'Ha Noi Progress'!$M:$M,Q24)</f>
        <v>0</v>
      </c>
      <c r="R26" s="130">
        <f>COUNTIFS('Ha Noi Progress'!$D:$D,"&lt;&gt;",'Ha Noi Progress'!$B:$B,$B$5,'Ha Noi Progress'!$M:$M,R24)</f>
        <v>0</v>
      </c>
      <c r="S26" s="130">
        <f>COUNTIFS('Ha Noi Progress'!$D:$D,"&lt;&gt;",'Ha Noi Progress'!$B:$B,$B$5,'Ha Noi Progress'!$M:$M,S24)</f>
        <v>0</v>
      </c>
      <c r="T26" s="130">
        <f>COUNTIFS('Ha Noi Progress'!$D:$D,"&lt;&gt;",'Ha Noi Progress'!$B:$B,$B$5,'Ha Noi Progress'!$M:$M,T24)</f>
        <v>0</v>
      </c>
      <c r="U26" s="130">
        <v>0</v>
      </c>
      <c r="V26" s="130">
        <v>2</v>
      </c>
      <c r="W26" s="130">
        <v>1</v>
      </c>
      <c r="X26" s="130">
        <f>COUNTIFS('Ha Noi Progress'!$D:$D,"&lt;&gt;",'Ha Noi Progress'!$B:$B,$B$5,'Ha Noi Progress'!$M:$M,X24)</f>
        <v>0</v>
      </c>
      <c r="Y26" s="130">
        <f>COUNTIFS('Ha Noi Progress'!$D:$D,"&lt;&gt;",'Ha Noi Progress'!$B:$B,$B$5,'Ha Noi Progress'!$M:$M,Y24)</f>
        <v>0</v>
      </c>
    </row>
  </sheetData>
  <sheetProtection formatCells="0" insertHyperlinks="0" autoFilter="0"/>
  <mergeCells count="2">
    <mergeCell ref="B5:B6"/>
    <mergeCell ref="B25:B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topLeftCell="A2" workbookViewId="0">
      <pane xSplit="1" ySplit="2" topLeftCell="B4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2.75"/>
  <cols>
    <col min="1" max="1" width="3.375" style="2" customWidth="1"/>
    <col min="2" max="2" width="7.25" style="2" customWidth="1"/>
    <col min="3" max="3" width="6.25" style="3" customWidth="1"/>
    <col min="4" max="4" width="24.15" style="3" customWidth="1"/>
    <col min="5" max="5" width="11.5" style="2" customWidth="1"/>
    <col min="6" max="6" width="5.50833333333333" style="2" customWidth="1"/>
    <col min="7" max="7" width="5.50833333333333" style="3" customWidth="1"/>
    <col min="8" max="8" width="8.875" style="45" customWidth="1"/>
    <col min="9" max="9" width="8.75" style="45" customWidth="1"/>
    <col min="10" max="10" width="9.375" style="45" customWidth="1"/>
    <col min="11" max="11" width="10.625" style="45" customWidth="1"/>
    <col min="12" max="12" width="8.875" style="45" customWidth="1"/>
    <col min="13" max="13" width="8.75" style="45" customWidth="1"/>
    <col min="14" max="14" width="9.375" style="45" customWidth="1"/>
    <col min="15" max="15" width="15.025" style="45" customWidth="1"/>
    <col min="16" max="16" width="8.41666666666667" style="45" hidden="1" customWidth="1"/>
    <col min="17" max="17" width="9.225" style="45" hidden="1" customWidth="1"/>
    <col min="18" max="18" width="13.8916666666667" style="45" hidden="1" customWidth="1"/>
    <col min="19" max="19" width="18.125" style="45" hidden="1" customWidth="1"/>
    <col min="20" max="20" width="9.225" style="45" customWidth="1"/>
    <col min="21" max="21" width="13.2666666666667" style="2" customWidth="1"/>
    <col min="22" max="22" width="11.325" style="2" customWidth="1"/>
    <col min="23" max="23" width="22.625" style="3" customWidth="1"/>
    <col min="24" max="24" width="7" style="3" customWidth="1"/>
    <col min="25" max="25" width="6.5" style="3" customWidth="1"/>
    <col min="26" max="26" width="42.175" style="3" customWidth="1"/>
    <col min="27" max="16383" width="9" style="3" customWidth="1"/>
    <col min="16384" max="16384" width="9" style="3"/>
  </cols>
  <sheetData>
    <row r="1" ht="21.85" customHeight="1" spans="2:25">
      <c r="B1" s="46"/>
      <c r="C1" s="47"/>
      <c r="D1" s="47"/>
      <c r="E1" s="46"/>
      <c r="F1" s="46"/>
      <c r="G1" s="47"/>
      <c r="H1" s="52" t="s">
        <v>4</v>
      </c>
      <c r="I1" s="57"/>
      <c r="J1" s="57"/>
      <c r="K1" s="58"/>
      <c r="L1" s="59" t="s">
        <v>5</v>
      </c>
      <c r="M1" s="62"/>
      <c r="N1" s="62"/>
      <c r="O1" s="63"/>
      <c r="P1" s="64"/>
      <c r="Q1" s="64"/>
      <c r="R1" s="64"/>
      <c r="S1" s="64"/>
      <c r="T1" s="64"/>
      <c r="U1" s="56" t="s">
        <v>14</v>
      </c>
      <c r="W1" s="2"/>
      <c r="X1" s="2"/>
      <c r="Y1" s="2"/>
    </row>
    <row r="2" s="2" customFormat="1" ht="39.5" customHeight="1" spans="1:26">
      <c r="A2" s="6" t="s">
        <v>15</v>
      </c>
      <c r="B2" s="48" t="s">
        <v>1</v>
      </c>
      <c r="C2" s="49" t="s">
        <v>16</v>
      </c>
      <c r="D2" s="50" t="s">
        <v>17</v>
      </c>
      <c r="E2" s="53" t="s">
        <v>18</v>
      </c>
      <c r="F2" s="54" t="s">
        <v>19</v>
      </c>
      <c r="G2" s="50" t="s">
        <v>20</v>
      </c>
      <c r="H2" s="55" t="s">
        <v>21</v>
      </c>
      <c r="I2" s="55" t="s">
        <v>22</v>
      </c>
      <c r="J2" s="55" t="s">
        <v>23</v>
      </c>
      <c r="K2" s="60" t="s">
        <v>24</v>
      </c>
      <c r="L2" s="61" t="s">
        <v>21</v>
      </c>
      <c r="M2" s="61" t="s">
        <v>22</v>
      </c>
      <c r="N2" s="61" t="s">
        <v>23</v>
      </c>
      <c r="O2" s="65" t="s">
        <v>24</v>
      </c>
      <c r="P2" s="54" t="s">
        <v>25</v>
      </c>
      <c r="Q2" s="54" t="s">
        <v>26</v>
      </c>
      <c r="R2" s="54" t="s">
        <v>27</v>
      </c>
      <c r="S2" s="54" t="s">
        <v>28</v>
      </c>
      <c r="T2" s="49" t="s">
        <v>29</v>
      </c>
      <c r="U2" s="67" t="s">
        <v>30</v>
      </c>
      <c r="V2" s="67" t="s">
        <v>31</v>
      </c>
      <c r="W2" s="67" t="s">
        <v>32</v>
      </c>
      <c r="X2" s="67" t="s">
        <v>33</v>
      </c>
      <c r="Y2" s="67" t="s">
        <v>34</v>
      </c>
      <c r="Z2" s="34" t="s">
        <v>35</v>
      </c>
    </row>
    <row r="3" s="2" customFormat="1" ht="39.5" customHeight="1" spans="1:31">
      <c r="A3" s="6"/>
      <c r="B3" s="48"/>
      <c r="C3" s="49"/>
      <c r="D3" s="70"/>
      <c r="E3" s="53"/>
      <c r="F3" s="79"/>
      <c r="G3" s="50"/>
      <c r="H3" s="55"/>
      <c r="I3" s="55"/>
      <c r="J3" s="55"/>
      <c r="K3" s="86"/>
      <c r="L3" s="61"/>
      <c r="M3" s="61"/>
      <c r="N3" s="61"/>
      <c r="O3" s="96"/>
      <c r="P3" s="97"/>
      <c r="Q3" s="103"/>
      <c r="R3" s="97"/>
      <c r="S3" s="97"/>
      <c r="T3" s="104"/>
      <c r="U3" s="67"/>
      <c r="V3" s="67"/>
      <c r="W3" s="67"/>
      <c r="X3" s="116"/>
      <c r="Y3" s="116"/>
      <c r="Z3" s="4"/>
      <c r="AC3" s="120"/>
      <c r="AD3" s="120"/>
      <c r="AE3" s="120"/>
    </row>
    <row r="4" ht="14.25" spans="1:31">
      <c r="A4" s="4">
        <v>1</v>
      </c>
      <c r="B4" s="71" t="s">
        <v>0</v>
      </c>
      <c r="C4" s="72" t="s">
        <v>36</v>
      </c>
      <c r="D4" s="1" t="s">
        <v>37</v>
      </c>
      <c r="E4" s="4" t="s">
        <v>38</v>
      </c>
      <c r="F4" s="71" t="s">
        <v>39</v>
      </c>
      <c r="G4" s="46" t="s">
        <v>40</v>
      </c>
      <c r="H4" s="80">
        <v>46148</v>
      </c>
      <c r="I4" s="80">
        <v>46148</v>
      </c>
      <c r="J4" s="87">
        <v>0.699305555555556</v>
      </c>
      <c r="K4" s="88" t="s">
        <v>41</v>
      </c>
      <c r="L4" s="80">
        <v>46148</v>
      </c>
      <c r="M4" s="80">
        <v>46148</v>
      </c>
      <c r="N4" s="87">
        <v>0.699305555555556</v>
      </c>
      <c r="O4" s="98" t="s">
        <v>41</v>
      </c>
      <c r="P4" s="98" t="s">
        <v>39</v>
      </c>
      <c r="Q4" s="76" t="s">
        <v>42</v>
      </c>
      <c r="R4" s="105"/>
      <c r="S4" s="105"/>
      <c r="T4" s="106" t="s">
        <v>43</v>
      </c>
      <c r="U4" s="4" t="s">
        <v>44</v>
      </c>
      <c r="V4" s="4" t="s">
        <v>44</v>
      </c>
      <c r="W4" s="4" t="s">
        <v>37</v>
      </c>
      <c r="X4" s="73" t="s">
        <v>45</v>
      </c>
      <c r="Y4" s="117" t="s">
        <v>46</v>
      </c>
      <c r="Z4" s="5"/>
      <c r="AC4" s="120"/>
      <c r="AD4" s="120"/>
      <c r="AE4" s="120"/>
    </row>
    <row r="5" ht="14.25" spans="1:31">
      <c r="A5" s="4">
        <v>2</v>
      </c>
      <c r="B5" s="71" t="s">
        <v>0</v>
      </c>
      <c r="C5" s="72" t="s">
        <v>36</v>
      </c>
      <c r="D5" s="1" t="s">
        <v>47</v>
      </c>
      <c r="E5" s="4" t="s">
        <v>38</v>
      </c>
      <c r="F5" s="71" t="s">
        <v>39</v>
      </c>
      <c r="G5" s="72" t="s">
        <v>40</v>
      </c>
      <c r="H5" s="81">
        <v>46153</v>
      </c>
      <c r="I5" s="81">
        <v>46153</v>
      </c>
      <c r="J5" s="89">
        <v>0.635416666666667</v>
      </c>
      <c r="K5" s="88" t="s">
        <v>41</v>
      </c>
      <c r="L5" s="72" t="s">
        <v>48</v>
      </c>
      <c r="M5" s="72" t="s">
        <v>48</v>
      </c>
      <c r="N5" s="72" t="s">
        <v>48</v>
      </c>
      <c r="O5" s="98" t="s">
        <v>48</v>
      </c>
      <c r="P5" s="98" t="s">
        <v>39</v>
      </c>
      <c r="Q5" s="76" t="s">
        <v>42</v>
      </c>
      <c r="R5" s="73"/>
      <c r="S5" s="73"/>
      <c r="T5" s="107" t="s">
        <v>49</v>
      </c>
      <c r="U5" s="4" t="s">
        <v>50</v>
      </c>
      <c r="V5" s="4"/>
      <c r="W5" s="4" t="s">
        <v>37</v>
      </c>
      <c r="X5" s="73" t="s">
        <v>51</v>
      </c>
      <c r="Y5" s="117" t="s">
        <v>46</v>
      </c>
      <c r="Z5" s="5"/>
      <c r="AC5" s="120"/>
      <c r="AD5" s="120"/>
      <c r="AE5" s="120"/>
    </row>
    <row r="6" ht="14.25" spans="1:31">
      <c r="A6" s="4">
        <v>3</v>
      </c>
      <c r="B6" s="71" t="s">
        <v>0</v>
      </c>
      <c r="C6" s="72" t="s">
        <v>36</v>
      </c>
      <c r="D6" s="1" t="s">
        <v>52</v>
      </c>
      <c r="E6" s="4" t="s">
        <v>38</v>
      </c>
      <c r="F6" s="82" t="s">
        <v>39</v>
      </c>
      <c r="G6" s="72" t="s">
        <v>40</v>
      </c>
      <c r="H6" s="81">
        <v>46153</v>
      </c>
      <c r="I6" s="81">
        <v>46153</v>
      </c>
      <c r="J6" s="89">
        <v>0.753472222222222</v>
      </c>
      <c r="K6" s="88" t="s">
        <v>41</v>
      </c>
      <c r="L6" s="72" t="s">
        <v>48</v>
      </c>
      <c r="M6" s="72" t="s">
        <v>48</v>
      </c>
      <c r="N6" s="72" t="s">
        <v>48</v>
      </c>
      <c r="O6" s="98" t="s">
        <v>48</v>
      </c>
      <c r="P6" s="98" t="s">
        <v>39</v>
      </c>
      <c r="Q6" s="76" t="s">
        <v>42</v>
      </c>
      <c r="R6" s="73"/>
      <c r="S6" s="73"/>
      <c r="T6" s="107" t="s">
        <v>49</v>
      </c>
      <c r="U6" s="4" t="s">
        <v>53</v>
      </c>
      <c r="V6" s="4"/>
      <c r="W6" s="4" t="s">
        <v>54</v>
      </c>
      <c r="X6" s="73" t="s">
        <v>51</v>
      </c>
      <c r="Y6" s="117" t="s">
        <v>46</v>
      </c>
      <c r="Z6" s="5"/>
      <c r="AC6" s="120"/>
      <c r="AD6" s="120"/>
      <c r="AE6" s="120"/>
    </row>
    <row r="7" ht="14.25" spans="1:31">
      <c r="A7" s="4">
        <v>4</v>
      </c>
      <c r="B7" s="71" t="s">
        <v>0</v>
      </c>
      <c r="C7" s="72" t="s">
        <v>36</v>
      </c>
      <c r="D7" s="1" t="s">
        <v>55</v>
      </c>
      <c r="E7" s="4" t="s">
        <v>38</v>
      </c>
      <c r="F7" s="82" t="s">
        <v>39</v>
      </c>
      <c r="G7" s="29" t="s">
        <v>40</v>
      </c>
      <c r="H7" s="83">
        <v>46157</v>
      </c>
      <c r="I7" s="20">
        <v>46157</v>
      </c>
      <c r="J7" s="90">
        <v>0.75</v>
      </c>
      <c r="K7" s="88" t="s">
        <v>41</v>
      </c>
      <c r="L7" s="20">
        <v>46157</v>
      </c>
      <c r="M7" s="20">
        <v>46157</v>
      </c>
      <c r="N7" s="90">
        <v>0.75</v>
      </c>
      <c r="O7" s="99" t="s">
        <v>41</v>
      </c>
      <c r="P7" s="76" t="s">
        <v>39</v>
      </c>
      <c r="Q7" s="76" t="s">
        <v>42</v>
      </c>
      <c r="R7" s="108">
        <v>46157.7847222222</v>
      </c>
      <c r="S7" s="109">
        <v>46157.85</v>
      </c>
      <c r="T7" s="110" t="s">
        <v>56</v>
      </c>
      <c r="U7" s="4" t="s">
        <v>57</v>
      </c>
      <c r="V7" s="4" t="s">
        <v>57</v>
      </c>
      <c r="W7" s="4" t="s">
        <v>55</v>
      </c>
      <c r="X7" s="73" t="s">
        <v>58</v>
      </c>
      <c r="Y7" s="117" t="s">
        <v>46</v>
      </c>
      <c r="Z7" s="9" t="s">
        <v>59</v>
      </c>
      <c r="AC7" s="120"/>
      <c r="AD7" s="120"/>
      <c r="AE7" s="120"/>
    </row>
    <row r="8" ht="14.25" spans="1:31">
      <c r="A8" s="4">
        <v>5</v>
      </c>
      <c r="B8" s="71" t="s">
        <v>0</v>
      </c>
      <c r="C8" s="73" t="s">
        <v>36</v>
      </c>
      <c r="D8" s="1" t="s">
        <v>60</v>
      </c>
      <c r="E8" s="4" t="s">
        <v>38</v>
      </c>
      <c r="F8" s="82" t="s">
        <v>39</v>
      </c>
      <c r="G8" s="29" t="s">
        <v>40</v>
      </c>
      <c r="H8" s="84">
        <v>46157</v>
      </c>
      <c r="I8" s="20">
        <v>46157</v>
      </c>
      <c r="J8" s="90">
        <v>0.75</v>
      </c>
      <c r="K8" s="88" t="s">
        <v>41</v>
      </c>
      <c r="L8" s="20">
        <v>46157</v>
      </c>
      <c r="M8" s="20">
        <v>46157</v>
      </c>
      <c r="N8" s="90">
        <v>0.75</v>
      </c>
      <c r="O8" s="99" t="s">
        <v>61</v>
      </c>
      <c r="P8" s="22" t="s">
        <v>39</v>
      </c>
      <c r="Q8" s="76" t="s">
        <v>42</v>
      </c>
      <c r="R8" s="108">
        <v>46157.75</v>
      </c>
      <c r="S8" s="109">
        <v>46157.9048611111</v>
      </c>
      <c r="T8" s="111" t="s">
        <v>56</v>
      </c>
      <c r="U8" s="4" t="s">
        <v>62</v>
      </c>
      <c r="V8" s="4" t="s">
        <v>62</v>
      </c>
      <c r="W8" s="4" t="s">
        <v>60</v>
      </c>
      <c r="X8" s="73" t="s">
        <v>58</v>
      </c>
      <c r="Y8" s="117" t="s">
        <v>46</v>
      </c>
      <c r="Z8" s="9" t="s">
        <v>63</v>
      </c>
      <c r="AC8" s="120"/>
      <c r="AD8" s="120"/>
      <c r="AE8" s="120"/>
    </row>
    <row r="9" ht="14.25" spans="1:31">
      <c r="A9" s="4">
        <v>6</v>
      </c>
      <c r="B9" s="71" t="s">
        <v>0</v>
      </c>
      <c r="C9" s="73" t="s">
        <v>36</v>
      </c>
      <c r="D9" s="1" t="s">
        <v>64</v>
      </c>
      <c r="E9" s="4" t="s">
        <v>38</v>
      </c>
      <c r="F9" s="82" t="s">
        <v>39</v>
      </c>
      <c r="G9" s="29" t="s">
        <v>40</v>
      </c>
      <c r="H9" s="84">
        <v>46157</v>
      </c>
      <c r="I9" s="20">
        <v>46157</v>
      </c>
      <c r="J9" s="91">
        <v>0.618055555555556</v>
      </c>
      <c r="K9" s="92" t="s">
        <v>41</v>
      </c>
      <c r="L9" s="20">
        <v>46157</v>
      </c>
      <c r="M9" s="20">
        <v>46157</v>
      </c>
      <c r="N9" s="91">
        <v>0.618055555555556</v>
      </c>
      <c r="O9" s="100" t="s">
        <v>41</v>
      </c>
      <c r="P9" s="100" t="s">
        <v>39</v>
      </c>
      <c r="Q9" s="76" t="s">
        <v>42</v>
      </c>
      <c r="R9" s="109" t="s">
        <v>65</v>
      </c>
      <c r="S9" s="109">
        <v>46157.8916666667</v>
      </c>
      <c r="T9" s="111" t="s">
        <v>56</v>
      </c>
      <c r="U9" s="4" t="s">
        <v>66</v>
      </c>
      <c r="V9" s="4" t="s">
        <v>66</v>
      </c>
      <c r="W9" s="4" t="s">
        <v>64</v>
      </c>
      <c r="X9" s="73" t="s">
        <v>58</v>
      </c>
      <c r="Y9" s="117" t="s">
        <v>46</v>
      </c>
      <c r="Z9" s="5"/>
      <c r="AC9" s="120"/>
      <c r="AD9" s="120"/>
      <c r="AE9" s="120"/>
    </row>
    <row r="10" ht="14.25" spans="1:31">
      <c r="A10" s="4">
        <v>7</v>
      </c>
      <c r="B10" s="71" t="s">
        <v>0</v>
      </c>
      <c r="C10" s="73" t="s">
        <v>36</v>
      </c>
      <c r="D10" s="1" t="s">
        <v>67</v>
      </c>
      <c r="E10" s="4" t="s">
        <v>38</v>
      </c>
      <c r="F10" s="82" t="s">
        <v>39</v>
      </c>
      <c r="G10" s="29" t="s">
        <v>40</v>
      </c>
      <c r="H10" s="84">
        <v>46157</v>
      </c>
      <c r="I10" s="20">
        <v>46157</v>
      </c>
      <c r="J10" s="91">
        <v>0.753472222222222</v>
      </c>
      <c r="K10" s="92" t="s">
        <v>41</v>
      </c>
      <c r="L10" s="20">
        <v>46157</v>
      </c>
      <c r="M10" s="20">
        <v>46157</v>
      </c>
      <c r="N10" s="91">
        <v>0.753472222222222</v>
      </c>
      <c r="O10" s="99" t="s">
        <v>61</v>
      </c>
      <c r="P10" s="22" t="s">
        <v>39</v>
      </c>
      <c r="Q10" s="76" t="s">
        <v>42</v>
      </c>
      <c r="R10" s="109">
        <v>46157.7638888889</v>
      </c>
      <c r="S10" s="109">
        <v>46157.8236111111</v>
      </c>
      <c r="T10" s="111" t="s">
        <v>56</v>
      </c>
      <c r="U10" s="4" t="s">
        <v>68</v>
      </c>
      <c r="V10" s="4" t="s">
        <v>68</v>
      </c>
      <c r="W10" s="4" t="s">
        <v>67</v>
      </c>
      <c r="X10" s="73" t="s">
        <v>58</v>
      </c>
      <c r="Y10" s="117" t="s">
        <v>46</v>
      </c>
      <c r="Z10" s="9" t="s">
        <v>69</v>
      </c>
      <c r="AC10" s="120"/>
      <c r="AD10" s="120"/>
      <c r="AE10" s="120"/>
    </row>
    <row r="11" ht="14.25" spans="1:31">
      <c r="A11" s="4">
        <v>8</v>
      </c>
      <c r="B11" s="71" t="s">
        <v>0</v>
      </c>
      <c r="C11" s="73" t="s">
        <v>36</v>
      </c>
      <c r="D11" s="1" t="s">
        <v>70</v>
      </c>
      <c r="E11" s="4" t="s">
        <v>38</v>
      </c>
      <c r="F11" s="82" t="s">
        <v>39</v>
      </c>
      <c r="G11" s="29" t="s">
        <v>40</v>
      </c>
      <c r="H11" s="84">
        <v>46157</v>
      </c>
      <c r="I11" s="20">
        <v>46157</v>
      </c>
      <c r="J11" s="91">
        <v>0.753472222222222</v>
      </c>
      <c r="K11" s="91" t="s">
        <v>61</v>
      </c>
      <c r="L11" s="20">
        <v>46157</v>
      </c>
      <c r="M11" s="20">
        <v>46157</v>
      </c>
      <c r="N11" s="91">
        <v>0.753472222222222</v>
      </c>
      <c r="O11" s="99" t="s">
        <v>61</v>
      </c>
      <c r="P11" s="22" t="s">
        <v>39</v>
      </c>
      <c r="Q11" s="76" t="s">
        <v>42</v>
      </c>
      <c r="R11" s="109">
        <v>46157.85</v>
      </c>
      <c r="S11" s="109" t="s">
        <v>71</v>
      </c>
      <c r="T11" s="111" t="s">
        <v>56</v>
      </c>
      <c r="U11" s="4" t="s">
        <v>72</v>
      </c>
      <c r="V11" s="4" t="s">
        <v>72</v>
      </c>
      <c r="W11" s="4" t="s">
        <v>55</v>
      </c>
      <c r="X11" s="73" t="s">
        <v>58</v>
      </c>
      <c r="Y11" s="117" t="s">
        <v>46</v>
      </c>
      <c r="Z11" s="9" t="s">
        <v>73</v>
      </c>
      <c r="AC11" s="120"/>
      <c r="AD11" s="120"/>
      <c r="AE11" s="120"/>
    </row>
    <row r="12" ht="14.25" spans="1:31">
      <c r="A12" s="4">
        <v>9</v>
      </c>
      <c r="B12" s="71" t="s">
        <v>0</v>
      </c>
      <c r="C12" s="73" t="s">
        <v>36</v>
      </c>
      <c r="D12" s="1" t="s">
        <v>74</v>
      </c>
      <c r="E12" s="4" t="s">
        <v>38</v>
      </c>
      <c r="F12" s="82" t="s">
        <v>39</v>
      </c>
      <c r="G12" s="29" t="s">
        <v>40</v>
      </c>
      <c r="H12" s="84">
        <v>46157</v>
      </c>
      <c r="I12" s="20">
        <v>46157</v>
      </c>
      <c r="J12" s="91">
        <v>0.756944444444444</v>
      </c>
      <c r="K12" s="89" t="s">
        <v>41</v>
      </c>
      <c r="L12" s="72" t="s">
        <v>48</v>
      </c>
      <c r="M12" s="72" t="s">
        <v>48</v>
      </c>
      <c r="N12" s="72" t="s">
        <v>48</v>
      </c>
      <c r="O12" s="100" t="s">
        <v>75</v>
      </c>
      <c r="P12" s="22" t="s">
        <v>39</v>
      </c>
      <c r="Q12" s="76" t="s">
        <v>42</v>
      </c>
      <c r="R12" s="109">
        <v>46157.7986111111</v>
      </c>
      <c r="S12" s="109">
        <v>46157.85</v>
      </c>
      <c r="T12" s="111" t="s">
        <v>56</v>
      </c>
      <c r="U12" s="4" t="s">
        <v>76</v>
      </c>
      <c r="V12" s="4" t="s">
        <v>76</v>
      </c>
      <c r="W12" s="4" t="s">
        <v>74</v>
      </c>
      <c r="X12" s="73" t="s">
        <v>58</v>
      </c>
      <c r="Y12" s="117" t="s">
        <v>46</v>
      </c>
      <c r="Z12" s="9" t="s">
        <v>63</v>
      </c>
      <c r="AC12" s="120"/>
      <c r="AD12" s="120"/>
      <c r="AE12" s="120"/>
    </row>
    <row r="13" ht="14.25" spans="1:31">
      <c r="A13" s="4">
        <v>10</v>
      </c>
      <c r="B13" s="71" t="s">
        <v>0</v>
      </c>
      <c r="C13" s="73" t="s">
        <v>36</v>
      </c>
      <c r="D13" s="1" t="s">
        <v>77</v>
      </c>
      <c r="E13" s="4" t="s">
        <v>38</v>
      </c>
      <c r="F13" s="82" t="s">
        <v>39</v>
      </c>
      <c r="G13" s="29" t="s">
        <v>40</v>
      </c>
      <c r="H13" s="84">
        <v>46157</v>
      </c>
      <c r="I13" s="20">
        <v>46157</v>
      </c>
      <c r="J13" s="91">
        <v>0.756944444444444</v>
      </c>
      <c r="K13" s="91" t="s">
        <v>61</v>
      </c>
      <c r="L13" s="72" t="s">
        <v>48</v>
      </c>
      <c r="M13" s="72" t="s">
        <v>48</v>
      </c>
      <c r="N13" s="72" t="s">
        <v>48</v>
      </c>
      <c r="O13" s="100" t="s">
        <v>75</v>
      </c>
      <c r="P13" s="22" t="s">
        <v>39</v>
      </c>
      <c r="Q13" s="76" t="s">
        <v>42</v>
      </c>
      <c r="R13" s="109">
        <v>46157.8993055556</v>
      </c>
      <c r="S13" s="109" t="s">
        <v>78</v>
      </c>
      <c r="T13" s="111" t="s">
        <v>56</v>
      </c>
      <c r="U13" s="4" t="s">
        <v>79</v>
      </c>
      <c r="V13" s="4" t="s">
        <v>79</v>
      </c>
      <c r="W13" s="4" t="s">
        <v>80</v>
      </c>
      <c r="X13" s="73" t="s">
        <v>58</v>
      </c>
      <c r="Y13" s="117" t="s">
        <v>46</v>
      </c>
      <c r="Z13" s="9" t="s">
        <v>81</v>
      </c>
      <c r="AC13" s="120"/>
      <c r="AD13" s="120"/>
      <c r="AE13" s="120"/>
    </row>
    <row r="14" ht="14.25" spans="1:31">
      <c r="A14" s="4">
        <v>11</v>
      </c>
      <c r="B14" s="71" t="s">
        <v>0</v>
      </c>
      <c r="C14" s="73" t="s">
        <v>36</v>
      </c>
      <c r="D14" s="1" t="s">
        <v>82</v>
      </c>
      <c r="E14" s="4" t="s">
        <v>38</v>
      </c>
      <c r="F14" s="82" t="s">
        <v>39</v>
      </c>
      <c r="G14" s="29" t="s">
        <v>40</v>
      </c>
      <c r="H14" s="84">
        <v>46157</v>
      </c>
      <c r="I14" s="20">
        <v>46157</v>
      </c>
      <c r="J14" s="91">
        <v>0.672222222222222</v>
      </c>
      <c r="K14" s="92" t="s">
        <v>41</v>
      </c>
      <c r="L14" s="20">
        <v>46157</v>
      </c>
      <c r="M14" s="20">
        <v>46157</v>
      </c>
      <c r="N14" s="91">
        <v>0.672222222222222</v>
      </c>
      <c r="O14" s="100" t="s">
        <v>41</v>
      </c>
      <c r="P14" s="22" t="s">
        <v>39</v>
      </c>
      <c r="Q14" s="76" t="s">
        <v>42</v>
      </c>
      <c r="R14" s="108">
        <v>46157.9826388889</v>
      </c>
      <c r="S14" s="109">
        <v>46158.0402777778</v>
      </c>
      <c r="T14" s="111" t="s">
        <v>56</v>
      </c>
      <c r="U14" s="4" t="s">
        <v>83</v>
      </c>
      <c r="V14" s="4" t="s">
        <v>83</v>
      </c>
      <c r="W14" s="4" t="s">
        <v>82</v>
      </c>
      <c r="X14" s="73" t="s">
        <v>58</v>
      </c>
      <c r="Y14" s="117" t="s">
        <v>46</v>
      </c>
      <c r="Z14" s="9" t="s">
        <v>84</v>
      </c>
      <c r="AC14" s="120"/>
      <c r="AD14" s="120"/>
      <c r="AE14" s="120"/>
    </row>
    <row r="15" ht="14.25" spans="1:31">
      <c r="A15" s="4">
        <v>12</v>
      </c>
      <c r="B15" s="71" t="s">
        <v>0</v>
      </c>
      <c r="C15" s="73" t="s">
        <v>36</v>
      </c>
      <c r="D15" s="1" t="s">
        <v>85</v>
      </c>
      <c r="E15" s="4" t="s">
        <v>38</v>
      </c>
      <c r="F15" s="82" t="s">
        <v>39</v>
      </c>
      <c r="G15" s="29" t="s">
        <v>40</v>
      </c>
      <c r="H15" s="84">
        <v>46157</v>
      </c>
      <c r="I15" s="20">
        <v>46157</v>
      </c>
      <c r="J15" s="91">
        <v>0.672222222222222</v>
      </c>
      <c r="K15" s="92" t="s">
        <v>41</v>
      </c>
      <c r="L15" s="20">
        <v>46157</v>
      </c>
      <c r="M15" s="20">
        <v>46157</v>
      </c>
      <c r="N15" s="91">
        <v>0.672222222222222</v>
      </c>
      <c r="O15" s="100" t="s">
        <v>41</v>
      </c>
      <c r="P15" s="100" t="s">
        <v>39</v>
      </c>
      <c r="Q15" s="76" t="s">
        <v>42</v>
      </c>
      <c r="R15" s="109">
        <v>46157.96875</v>
      </c>
      <c r="S15" s="109">
        <v>46157.9965277778</v>
      </c>
      <c r="T15" s="111" t="s">
        <v>56</v>
      </c>
      <c r="U15" s="4" t="s">
        <v>86</v>
      </c>
      <c r="V15" s="4" t="s">
        <v>86</v>
      </c>
      <c r="W15" s="4" t="s">
        <v>85</v>
      </c>
      <c r="X15" s="73" t="s">
        <v>58</v>
      </c>
      <c r="Y15" s="117" t="s">
        <v>46</v>
      </c>
      <c r="Z15" s="9" t="s">
        <v>59</v>
      </c>
      <c r="AC15" s="120"/>
      <c r="AD15" s="120"/>
      <c r="AE15" s="120"/>
    </row>
    <row r="16" ht="14.25" spans="1:31">
      <c r="A16" s="4">
        <v>13</v>
      </c>
      <c r="B16" s="71" t="s">
        <v>0</v>
      </c>
      <c r="C16" s="73" t="s">
        <v>36</v>
      </c>
      <c r="D16" s="1" t="s">
        <v>54</v>
      </c>
      <c r="E16" s="4" t="s">
        <v>38</v>
      </c>
      <c r="F16" s="82" t="s">
        <v>39</v>
      </c>
      <c r="G16" s="29" t="s">
        <v>40</v>
      </c>
      <c r="H16" s="84">
        <v>46157</v>
      </c>
      <c r="I16" s="20">
        <v>46157</v>
      </c>
      <c r="J16" s="91">
        <v>0.645833333333333</v>
      </c>
      <c r="K16" s="92" t="s">
        <v>41</v>
      </c>
      <c r="L16" s="20">
        <v>46157</v>
      </c>
      <c r="M16" s="20">
        <v>46157</v>
      </c>
      <c r="N16" s="91">
        <v>0.645833333333333</v>
      </c>
      <c r="O16" s="100" t="s">
        <v>41</v>
      </c>
      <c r="P16" s="22" t="s">
        <v>39</v>
      </c>
      <c r="Q16" s="76" t="s">
        <v>42</v>
      </c>
      <c r="R16" s="109">
        <v>46157.7083333333</v>
      </c>
      <c r="S16" s="109">
        <v>46157.9513888889</v>
      </c>
      <c r="T16" s="111" t="s">
        <v>56</v>
      </c>
      <c r="U16" s="4" t="s">
        <v>87</v>
      </c>
      <c r="V16" s="4" t="s">
        <v>87</v>
      </c>
      <c r="W16" s="4" t="s">
        <v>54</v>
      </c>
      <c r="X16" s="73" t="s">
        <v>58</v>
      </c>
      <c r="Y16" s="117" t="s">
        <v>46</v>
      </c>
      <c r="Z16" s="5"/>
      <c r="AC16" s="120"/>
      <c r="AD16" s="120"/>
      <c r="AE16" s="120"/>
    </row>
    <row r="17" spans="1:26">
      <c r="A17" s="74">
        <v>14</v>
      </c>
      <c r="B17" s="75" t="s">
        <v>0</v>
      </c>
      <c r="C17" s="76" t="s">
        <v>36</v>
      </c>
      <c r="D17" s="1" t="s">
        <v>88</v>
      </c>
      <c r="E17" s="4" t="s">
        <v>38</v>
      </c>
      <c r="F17" s="82" t="s">
        <v>39</v>
      </c>
      <c r="G17" s="29" t="s">
        <v>40</v>
      </c>
      <c r="H17" s="85">
        <v>46157</v>
      </c>
      <c r="I17" s="20">
        <v>46157</v>
      </c>
      <c r="J17" s="93">
        <v>0.756944444444444</v>
      </c>
      <c r="K17" s="88" t="s">
        <v>41</v>
      </c>
      <c r="L17" s="72" t="s">
        <v>48</v>
      </c>
      <c r="M17" s="72" t="s">
        <v>48</v>
      </c>
      <c r="N17" s="72" t="s">
        <v>48</v>
      </c>
      <c r="O17" s="76" t="s">
        <v>89</v>
      </c>
      <c r="P17" s="101" t="s">
        <v>39</v>
      </c>
      <c r="Q17" s="76" t="s">
        <v>42</v>
      </c>
      <c r="R17" s="109">
        <v>46157.9166666667</v>
      </c>
      <c r="S17" s="101" t="s">
        <v>90</v>
      </c>
      <c r="T17" s="112" t="s">
        <v>56</v>
      </c>
      <c r="U17" s="4" t="s">
        <v>91</v>
      </c>
      <c r="V17" s="4" t="s">
        <v>91</v>
      </c>
      <c r="W17" s="4" t="s">
        <v>55</v>
      </c>
      <c r="X17" s="73" t="s">
        <v>58</v>
      </c>
      <c r="Y17" s="117" t="s">
        <v>46</v>
      </c>
      <c r="Z17" s="9" t="s">
        <v>92</v>
      </c>
    </row>
    <row r="18" spans="1:26">
      <c r="A18" s="74">
        <v>15</v>
      </c>
      <c r="B18" s="77" t="s">
        <v>0</v>
      </c>
      <c r="C18" s="77" t="s">
        <v>36</v>
      </c>
      <c r="D18" s="78" t="s">
        <v>93</v>
      </c>
      <c r="E18" s="74" t="s">
        <v>38</v>
      </c>
      <c r="F18" s="82" t="s">
        <v>39</v>
      </c>
      <c r="G18" s="77" t="s">
        <v>40</v>
      </c>
      <c r="H18" s="85">
        <v>46157</v>
      </c>
      <c r="I18" s="94">
        <v>46157</v>
      </c>
      <c r="J18" s="93">
        <v>0.759027777777778</v>
      </c>
      <c r="K18" s="95" t="s">
        <v>41</v>
      </c>
      <c r="L18" s="94">
        <v>46157</v>
      </c>
      <c r="M18" s="94">
        <v>46157</v>
      </c>
      <c r="N18" s="93">
        <v>0.759027777777778</v>
      </c>
      <c r="O18" s="102" t="s">
        <v>41</v>
      </c>
      <c r="P18" s="101" t="s">
        <v>39</v>
      </c>
      <c r="Q18" s="76" t="s">
        <v>42</v>
      </c>
      <c r="R18" s="113">
        <v>46157.8465277778</v>
      </c>
      <c r="S18" s="101" t="s">
        <v>94</v>
      </c>
      <c r="T18" s="112" t="s">
        <v>56</v>
      </c>
      <c r="U18" s="74" t="s">
        <v>95</v>
      </c>
      <c r="V18" s="74" t="s">
        <v>95</v>
      </c>
      <c r="W18" s="74" t="s">
        <v>80</v>
      </c>
      <c r="X18" s="73" t="s">
        <v>58</v>
      </c>
      <c r="Y18" s="118" t="s">
        <v>46</v>
      </c>
      <c r="Z18" s="9" t="s">
        <v>96</v>
      </c>
    </row>
    <row r="19" spans="1:26">
      <c r="A19" s="4">
        <v>16</v>
      </c>
      <c r="B19" s="29" t="s">
        <v>0</v>
      </c>
      <c r="C19" s="29" t="s">
        <v>36</v>
      </c>
      <c r="D19" s="5" t="s">
        <v>80</v>
      </c>
      <c r="E19" s="4" t="s">
        <v>38</v>
      </c>
      <c r="F19" s="32" t="s">
        <v>39</v>
      </c>
      <c r="G19" s="29" t="s">
        <v>40</v>
      </c>
      <c r="H19" s="84">
        <v>46157</v>
      </c>
      <c r="I19" s="20">
        <v>46157</v>
      </c>
      <c r="J19" s="91">
        <v>0.759027777777778</v>
      </c>
      <c r="K19" s="92" t="s">
        <v>41</v>
      </c>
      <c r="L19" s="20">
        <v>46157</v>
      </c>
      <c r="M19" s="20">
        <v>46157</v>
      </c>
      <c r="N19" s="91">
        <v>0.759027777777778</v>
      </c>
      <c r="O19" s="92" t="s">
        <v>41</v>
      </c>
      <c r="P19" s="29" t="s">
        <v>39</v>
      </c>
      <c r="Q19" s="29" t="s">
        <v>42</v>
      </c>
      <c r="R19" s="114">
        <v>46157.7916666667</v>
      </c>
      <c r="S19" s="114">
        <v>46157.8465277778</v>
      </c>
      <c r="T19" s="115" t="s">
        <v>97</v>
      </c>
      <c r="U19" s="4" t="s">
        <v>95</v>
      </c>
      <c r="V19" s="4"/>
      <c r="W19" s="4" t="s">
        <v>80</v>
      </c>
      <c r="X19" s="73" t="s">
        <v>58</v>
      </c>
      <c r="Y19" s="119" t="s">
        <v>46</v>
      </c>
      <c r="Z19" s="9" t="s">
        <v>96</v>
      </c>
    </row>
    <row r="20" spans="13:13">
      <c r="M20" s="66"/>
    </row>
    <row r="22" spans="4:7">
      <c r="D22" s="51"/>
      <c r="E22" s="56"/>
      <c r="F22" s="56"/>
      <c r="G22" s="51"/>
    </row>
    <row r="23" spans="5:5">
      <c r="E23" s="56"/>
    </row>
    <row r="26" ht="14.25" spans="21:21">
      <c r="U26" s="68"/>
    </row>
    <row r="27" ht="14.25" spans="21:21">
      <c r="U27" s="68"/>
    </row>
    <row r="28" ht="14.25" spans="21:21">
      <c r="U28" s="68"/>
    </row>
    <row r="29" ht="14.25" spans="21:21">
      <c r="U29" s="68"/>
    </row>
    <row r="30" ht="14.25" spans="21:21">
      <c r="U30" s="68"/>
    </row>
    <row r="31" ht="14.25" spans="21:21">
      <c r="U31" s="68"/>
    </row>
    <row r="32" ht="14.25" spans="21:21">
      <c r="U32" s="68"/>
    </row>
    <row r="33" ht="14.25" spans="21:21">
      <c r="U33" s="68"/>
    </row>
    <row r="34" ht="14.25" spans="21:21">
      <c r="U34" s="68"/>
    </row>
    <row r="35" ht="14.25" spans="21:21">
      <c r="U35" s="68"/>
    </row>
    <row r="36" ht="14.25" spans="21:21">
      <c r="U36" s="68"/>
    </row>
    <row r="37" ht="14.25" spans="21:21">
      <c r="U37" s="68"/>
    </row>
  </sheetData>
  <sheetProtection formatCells="0" insertHyperlinks="0" autoFilter="0"/>
  <autoFilter xmlns:etc="http://www.wps.cn/officeDocument/2017/etCustomData" ref="A3:AE19" etc:filterBottomFollowUsedRange="0">
    <extLst/>
  </autoFilter>
  <mergeCells count="3">
    <mergeCell ref="H1:K1"/>
    <mergeCell ref="L1:O1"/>
    <mergeCell ref="U1:Y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opLeftCell="L6" workbookViewId="0">
      <selection activeCell="R6" sqref="R6"/>
    </sheetView>
  </sheetViews>
  <sheetFormatPr defaultColWidth="9" defaultRowHeight="12.75"/>
  <cols>
    <col min="1" max="1" width="3.375" style="2" customWidth="1"/>
    <col min="2" max="2" width="9.75" style="3" customWidth="1"/>
    <col min="3" max="3" width="26.375" style="3" customWidth="1"/>
    <col min="4" max="4" width="9.85833333333333" style="3" customWidth="1"/>
    <col min="5" max="5" width="8.625" style="3" customWidth="1"/>
    <col min="6" max="6" width="8.875" style="3" customWidth="1"/>
    <col min="7" max="7" width="8.5" style="3" customWidth="1"/>
    <col min="8" max="8" width="9.375" style="3" customWidth="1"/>
    <col min="9" max="9" width="8.875" style="3" customWidth="1"/>
    <col min="10" max="10" width="8.75" style="3" customWidth="1"/>
    <col min="11" max="11" width="9.375" style="3" customWidth="1"/>
    <col min="12" max="12" width="13.625" style="3" customWidth="1"/>
    <col min="13" max="13" width="16.125" style="3" customWidth="1"/>
    <col min="14" max="14" width="12.25" style="3" customWidth="1"/>
    <col min="15" max="15" width="15.625" style="3" customWidth="1"/>
    <col min="16" max="16" width="28.5" style="3" customWidth="1"/>
    <col min="17" max="17" width="11.5" style="3" customWidth="1"/>
    <col min="18" max="18" width="25.625" style="3" customWidth="1"/>
    <col min="19" max="19" width="6.125" style="3" customWidth="1"/>
    <col min="20" max="20" width="6.5" style="3" customWidth="1"/>
    <col min="21" max="21" width="53.5083333333333" style="3" customWidth="1"/>
    <col min="22" max="16384" width="9" style="3"/>
  </cols>
  <sheetData>
    <row r="1" ht="19.35" customHeight="1" spans="1:20">
      <c r="A1" s="4"/>
      <c r="B1" s="5"/>
      <c r="C1" s="5"/>
      <c r="D1" s="5"/>
      <c r="E1" s="5"/>
      <c r="F1" s="10" t="s">
        <v>98</v>
      </c>
      <c r="G1" s="11"/>
      <c r="H1" s="11"/>
      <c r="I1" s="15" t="s">
        <v>99</v>
      </c>
      <c r="J1" s="16"/>
      <c r="K1" s="16"/>
      <c r="L1" s="17"/>
      <c r="M1" s="17"/>
      <c r="N1" s="17"/>
      <c r="O1" s="17"/>
      <c r="P1" s="5"/>
      <c r="Q1" s="22" t="s">
        <v>14</v>
      </c>
      <c r="R1" s="23"/>
      <c r="S1" s="23"/>
      <c r="T1" s="24"/>
    </row>
    <row r="2" ht="20.1" customHeight="1" spans="1:21">
      <c r="A2" s="6" t="s">
        <v>15</v>
      </c>
      <c r="B2" s="6" t="s">
        <v>1</v>
      </c>
      <c r="C2" s="6" t="s">
        <v>17</v>
      </c>
      <c r="D2" s="7" t="s">
        <v>18</v>
      </c>
      <c r="E2" s="6" t="s">
        <v>20</v>
      </c>
      <c r="F2" s="12" t="s">
        <v>21</v>
      </c>
      <c r="G2" s="12" t="s">
        <v>22</v>
      </c>
      <c r="H2" s="12" t="s">
        <v>23</v>
      </c>
      <c r="I2" s="18" t="s">
        <v>21</v>
      </c>
      <c r="J2" s="18" t="s">
        <v>22</v>
      </c>
      <c r="K2" s="18" t="s">
        <v>23</v>
      </c>
      <c r="L2" s="7" t="s">
        <v>25</v>
      </c>
      <c r="M2" s="7" t="s">
        <v>26</v>
      </c>
      <c r="N2" s="7" t="s">
        <v>27</v>
      </c>
      <c r="O2" s="7" t="s">
        <v>28</v>
      </c>
      <c r="P2" s="6" t="s">
        <v>29</v>
      </c>
      <c r="Q2" s="25" t="s">
        <v>100</v>
      </c>
      <c r="R2" s="26" t="s">
        <v>101</v>
      </c>
      <c r="S2" s="27" t="s">
        <v>102</v>
      </c>
      <c r="T2" s="26" t="s">
        <v>34</v>
      </c>
      <c r="U2" s="34" t="s">
        <v>35</v>
      </c>
    </row>
    <row r="3" spans="1:20">
      <c r="A3" s="4">
        <v>1</v>
      </c>
      <c r="B3" s="5" t="s">
        <v>7</v>
      </c>
      <c r="C3" s="8" t="s">
        <v>103</v>
      </c>
      <c r="D3" s="8"/>
      <c r="E3" s="4" t="s">
        <v>40</v>
      </c>
      <c r="F3" s="13"/>
      <c r="G3" s="13"/>
      <c r="H3" s="14"/>
      <c r="I3" s="13">
        <v>46141</v>
      </c>
      <c r="J3" s="13">
        <v>46141</v>
      </c>
      <c r="K3" s="14">
        <v>0.791666666666667</v>
      </c>
      <c r="L3" s="14"/>
      <c r="M3" s="14"/>
      <c r="N3" s="14"/>
      <c r="O3" s="14"/>
      <c r="P3" s="5" t="s">
        <v>104</v>
      </c>
      <c r="Q3" s="28" t="s">
        <v>105</v>
      </c>
      <c r="R3" s="4" t="s">
        <v>106</v>
      </c>
      <c r="S3" s="29" t="s">
        <v>45</v>
      </c>
      <c r="T3" s="4" t="s">
        <v>107</v>
      </c>
    </row>
    <row r="4" spans="1:21">
      <c r="A4" s="4">
        <v>2</v>
      </c>
      <c r="B4" s="5" t="s">
        <v>7</v>
      </c>
      <c r="C4" s="5" t="s">
        <v>108</v>
      </c>
      <c r="D4" s="5"/>
      <c r="E4" s="4" t="s">
        <v>40</v>
      </c>
      <c r="F4" s="5"/>
      <c r="G4" s="5"/>
      <c r="H4" s="5"/>
      <c r="I4" s="13">
        <v>46149</v>
      </c>
      <c r="J4" s="13">
        <v>46149</v>
      </c>
      <c r="K4" s="14">
        <v>0.659722222222222</v>
      </c>
      <c r="L4" s="14"/>
      <c r="M4" s="14"/>
      <c r="N4" s="14"/>
      <c r="O4" s="14"/>
      <c r="P4" s="5" t="s">
        <v>104</v>
      </c>
      <c r="Q4" s="30" t="s">
        <v>109</v>
      </c>
      <c r="R4" s="29" t="s">
        <v>110</v>
      </c>
      <c r="S4" s="29" t="s">
        <v>45</v>
      </c>
      <c r="T4" s="4" t="s">
        <v>107</v>
      </c>
      <c r="U4" s="3" t="s">
        <v>111</v>
      </c>
    </row>
    <row r="5" spans="1:20">
      <c r="A5" s="4">
        <v>3</v>
      </c>
      <c r="B5" s="5" t="s">
        <v>7</v>
      </c>
      <c r="C5" s="5" t="s">
        <v>112</v>
      </c>
      <c r="D5" s="5"/>
      <c r="E5" s="4" t="s">
        <v>40</v>
      </c>
      <c r="F5" s="5"/>
      <c r="G5" s="5"/>
      <c r="H5" s="5"/>
      <c r="I5" s="13">
        <v>46149</v>
      </c>
      <c r="J5" s="13">
        <v>46150</v>
      </c>
      <c r="K5" s="14">
        <v>0.395833333333333</v>
      </c>
      <c r="L5" s="14"/>
      <c r="M5" s="14"/>
      <c r="N5" s="14"/>
      <c r="O5" s="14"/>
      <c r="P5" s="9" t="s">
        <v>113</v>
      </c>
      <c r="Q5" s="31" t="s">
        <v>114</v>
      </c>
      <c r="R5" s="32" t="s">
        <v>115</v>
      </c>
      <c r="S5" s="29" t="s">
        <v>45</v>
      </c>
      <c r="T5" s="4" t="s">
        <v>107</v>
      </c>
    </row>
    <row r="6" spans="1:20">
      <c r="A6" s="4">
        <v>4</v>
      </c>
      <c r="B6" s="5" t="s">
        <v>7</v>
      </c>
      <c r="C6" s="5" t="s">
        <v>116</v>
      </c>
      <c r="D6" s="5"/>
      <c r="E6" s="4"/>
      <c r="F6" s="13"/>
      <c r="G6" s="13"/>
      <c r="H6" s="14"/>
      <c r="I6" s="19" t="s">
        <v>48</v>
      </c>
      <c r="J6" s="13"/>
      <c r="K6" s="14"/>
      <c r="L6" s="14"/>
      <c r="M6" s="14"/>
      <c r="N6" s="14"/>
      <c r="O6" s="14"/>
      <c r="P6" s="9" t="s">
        <v>113</v>
      </c>
      <c r="Q6" s="29" t="s">
        <v>117</v>
      </c>
      <c r="R6" s="33" t="s">
        <v>118</v>
      </c>
      <c r="S6" s="29" t="s">
        <v>45</v>
      </c>
      <c r="T6" s="4" t="s">
        <v>107</v>
      </c>
    </row>
    <row r="7" spans="1:20">
      <c r="A7" s="4">
        <v>5</v>
      </c>
      <c r="B7" s="9" t="s">
        <v>9</v>
      </c>
      <c r="C7" s="5" t="s">
        <v>119</v>
      </c>
      <c r="D7" s="5"/>
      <c r="E7" s="5"/>
      <c r="F7" s="5"/>
      <c r="G7" s="5"/>
      <c r="H7" s="5"/>
      <c r="I7" s="20">
        <v>46160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4">
        <v>6</v>
      </c>
      <c r="B8" s="9" t="s">
        <v>11</v>
      </c>
      <c r="C8" s="5" t="s">
        <v>120</v>
      </c>
      <c r="D8" s="5"/>
      <c r="E8" s="5"/>
      <c r="F8" s="5"/>
      <c r="G8" s="5"/>
      <c r="H8" s="5"/>
      <c r="I8" s="20">
        <v>46160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4">
        <v>7</v>
      </c>
      <c r="B9" s="9" t="s">
        <v>8</v>
      </c>
      <c r="C9" s="5" t="s">
        <v>121</v>
      </c>
      <c r="D9" s="5"/>
      <c r="E9" s="5"/>
      <c r="F9" s="5"/>
      <c r="G9" s="5"/>
      <c r="H9" s="5"/>
      <c r="I9" s="20">
        <v>46160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4">
        <v>8</v>
      </c>
      <c r="B10" s="9" t="s">
        <v>8</v>
      </c>
      <c r="C10" s="5" t="s">
        <v>122</v>
      </c>
      <c r="D10" s="5"/>
      <c r="E10" s="5"/>
      <c r="F10" s="5"/>
      <c r="G10" s="5"/>
      <c r="H10" s="5"/>
      <c r="I10" s="20">
        <v>46160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4">
        <v>9</v>
      </c>
      <c r="B11" s="9" t="s">
        <v>8</v>
      </c>
      <c r="C11" s="5" t="s">
        <v>123</v>
      </c>
      <c r="D11" s="5"/>
      <c r="E11" s="5"/>
      <c r="F11" s="5"/>
      <c r="G11" s="5"/>
      <c r="H11" s="5"/>
      <c r="I11" s="20">
        <v>46160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4">
        <v>10</v>
      </c>
      <c r="B12" s="9" t="s">
        <v>8</v>
      </c>
      <c r="C12" s="5" t="s">
        <v>124</v>
      </c>
      <c r="D12" s="5"/>
      <c r="E12" s="5"/>
      <c r="F12" s="5"/>
      <c r="G12" s="5"/>
      <c r="H12" s="5"/>
      <c r="I12" s="20">
        <v>46160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4">
        <v>11</v>
      </c>
      <c r="B13" s="9" t="s">
        <v>8</v>
      </c>
      <c r="C13" s="5" t="s">
        <v>125</v>
      </c>
      <c r="D13" s="5"/>
      <c r="E13" s="5"/>
      <c r="F13" s="5"/>
      <c r="G13" s="5"/>
      <c r="H13" s="5"/>
      <c r="I13" s="20">
        <v>46160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4">
        <v>12</v>
      </c>
      <c r="B14" s="9" t="s">
        <v>8</v>
      </c>
      <c r="C14" s="5" t="s">
        <v>126</v>
      </c>
      <c r="D14" s="5"/>
      <c r="E14" s="5"/>
      <c r="F14" s="5"/>
      <c r="G14" s="5"/>
      <c r="H14" s="5"/>
      <c r="I14" s="20">
        <v>46160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4">
        <v>13</v>
      </c>
      <c r="B15" s="9" t="s">
        <v>9</v>
      </c>
      <c r="C15" s="5" t="s">
        <v>127</v>
      </c>
      <c r="D15" s="5"/>
      <c r="E15" s="5"/>
      <c r="F15" s="5"/>
      <c r="G15" s="5"/>
      <c r="H15" s="5"/>
      <c r="I15" s="20">
        <v>46160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4">
        <v>14</v>
      </c>
      <c r="B16" s="9" t="s">
        <v>10</v>
      </c>
      <c r="C16" s="5" t="s">
        <v>128</v>
      </c>
      <c r="D16" s="5"/>
      <c r="E16" s="5"/>
      <c r="F16" s="5"/>
      <c r="G16" s="5"/>
      <c r="H16" s="5"/>
      <c r="I16" s="20">
        <v>46160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4">
        <v>15</v>
      </c>
      <c r="B17" s="9" t="s">
        <v>12</v>
      </c>
      <c r="C17" s="5" t="s">
        <v>129</v>
      </c>
      <c r="D17" s="9"/>
      <c r="E17" s="5"/>
      <c r="F17" s="5"/>
      <c r="G17" s="5"/>
      <c r="H17" s="5"/>
      <c r="I17" s="20">
        <v>46160</v>
      </c>
      <c r="J17" s="20">
        <v>46160</v>
      </c>
      <c r="K17" s="21">
        <v>0.692361111111111</v>
      </c>
      <c r="L17" s="5"/>
      <c r="M17" s="5"/>
      <c r="N17" s="5"/>
      <c r="O17" s="5"/>
      <c r="P17" s="5"/>
      <c r="Q17" s="9" t="s">
        <v>130</v>
      </c>
      <c r="R17" s="5"/>
      <c r="S17" s="5"/>
      <c r="T17" s="5"/>
    </row>
  </sheetData>
  <sheetProtection formatCells="0" insertHyperlinks="0" autoFilter="0"/>
  <autoFilter xmlns:etc="http://www.wps.cn/officeDocument/2017/etCustomData" ref="A2:T17" etc:filterBottomFollowUsedRange="0">
    <extLst/>
  </autoFilter>
  <mergeCells count="3">
    <mergeCell ref="F1:H1"/>
    <mergeCell ref="I1:K1"/>
    <mergeCell ref="Q1:T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workbookViewId="0">
      <pane ySplit="2" topLeftCell="A3" activePane="bottomLeft" state="frozen"/>
      <selection/>
      <selection pane="bottomLeft" activeCell="A3" sqref="A3"/>
    </sheetView>
  </sheetViews>
  <sheetFormatPr defaultColWidth="9" defaultRowHeight="12.75"/>
  <cols>
    <col min="1" max="1" width="3.375" style="2" customWidth="1"/>
    <col min="2" max="2" width="7.25" style="2" customWidth="1"/>
    <col min="3" max="3" width="6.25" style="3" customWidth="1"/>
    <col min="4" max="4" width="25.375" style="3" customWidth="1"/>
    <col min="5" max="5" width="15.25" style="2" customWidth="1"/>
    <col min="6" max="6" width="5.50833333333333" style="2" customWidth="1"/>
    <col min="7" max="7" width="5.50833333333333" style="3" customWidth="1"/>
    <col min="8" max="8" width="8.875" style="45" customWidth="1"/>
    <col min="9" max="9" width="8.75" style="45" customWidth="1"/>
    <col min="10" max="10" width="9.375" style="45" customWidth="1"/>
    <col min="11" max="11" width="18.0166666666667" style="45" customWidth="1"/>
    <col min="12" max="12" width="8.875" style="45" customWidth="1"/>
    <col min="13" max="13" width="8.75" style="45" customWidth="1"/>
    <col min="14" max="14" width="9.375" style="45" customWidth="1"/>
    <col min="15" max="15" width="15.025" style="45" customWidth="1"/>
    <col min="16" max="16" width="8.41666666666667" style="45" hidden="1" customWidth="1"/>
    <col min="17" max="17" width="9.225" style="45" hidden="1" customWidth="1"/>
    <col min="18" max="18" width="13.8916666666667" style="45" hidden="1" customWidth="1"/>
    <col min="19" max="19" width="18.125" style="45" hidden="1" customWidth="1"/>
    <col min="20" max="20" width="28.375" style="45" hidden="1" customWidth="1"/>
    <col min="21" max="22" width="13.6" style="2" customWidth="1"/>
    <col min="23" max="23" width="22.625" style="3" customWidth="1"/>
    <col min="24" max="24" width="7" style="3" customWidth="1"/>
    <col min="25" max="25" width="6.5" style="3" customWidth="1"/>
    <col min="26" max="26" width="158.333333333333" style="3" customWidth="1"/>
    <col min="27" max="16383" width="9" style="3" customWidth="1"/>
    <col min="16384" max="16384" width="9" style="3"/>
  </cols>
  <sheetData>
    <row r="1" ht="21.85" customHeight="1" spans="2:25">
      <c r="B1" s="46"/>
      <c r="C1" s="47"/>
      <c r="D1" s="47"/>
      <c r="E1" s="46"/>
      <c r="F1" s="46"/>
      <c r="G1" s="47"/>
      <c r="H1" s="52" t="s">
        <v>4</v>
      </c>
      <c r="I1" s="57"/>
      <c r="J1" s="57"/>
      <c r="K1" s="58"/>
      <c r="L1" s="59" t="s">
        <v>5</v>
      </c>
      <c r="M1" s="62"/>
      <c r="N1" s="62"/>
      <c r="O1" s="63"/>
      <c r="P1" s="64"/>
      <c r="Q1" s="64"/>
      <c r="R1" s="64"/>
      <c r="S1" s="64"/>
      <c r="T1" s="64"/>
      <c r="U1" s="56" t="s">
        <v>14</v>
      </c>
      <c r="V1" s="56"/>
      <c r="W1" s="2"/>
      <c r="X1" s="2"/>
      <c r="Y1" s="2"/>
    </row>
    <row r="2" s="2" customFormat="1" ht="39.5" customHeight="1" spans="1:26">
      <c r="A2" s="6" t="s">
        <v>15</v>
      </c>
      <c r="B2" s="48" t="s">
        <v>1</v>
      </c>
      <c r="C2" s="49" t="s">
        <v>16</v>
      </c>
      <c r="D2" s="50" t="s">
        <v>17</v>
      </c>
      <c r="E2" s="53" t="s">
        <v>18</v>
      </c>
      <c r="F2" s="54" t="s">
        <v>19</v>
      </c>
      <c r="G2" s="50" t="s">
        <v>20</v>
      </c>
      <c r="H2" s="55" t="s">
        <v>21</v>
      </c>
      <c r="I2" s="55" t="s">
        <v>22</v>
      </c>
      <c r="J2" s="55" t="s">
        <v>23</v>
      </c>
      <c r="K2" s="60" t="s">
        <v>24</v>
      </c>
      <c r="L2" s="61" t="s">
        <v>21</v>
      </c>
      <c r="M2" s="61" t="s">
        <v>22</v>
      </c>
      <c r="N2" s="61" t="s">
        <v>23</v>
      </c>
      <c r="O2" s="65" t="s">
        <v>24</v>
      </c>
      <c r="P2" s="54" t="s">
        <v>25</v>
      </c>
      <c r="Q2" s="54" t="s">
        <v>26</v>
      </c>
      <c r="R2" s="54" t="s">
        <v>27</v>
      </c>
      <c r="S2" s="54" t="s">
        <v>28</v>
      </c>
      <c r="T2" s="49" t="s">
        <v>29</v>
      </c>
      <c r="U2" s="67" t="s">
        <v>30</v>
      </c>
      <c r="V2" s="67" t="s">
        <v>31</v>
      </c>
      <c r="W2" s="67" t="s">
        <v>32</v>
      </c>
      <c r="X2" s="67" t="s">
        <v>33</v>
      </c>
      <c r="Y2" s="67" t="s">
        <v>34</v>
      </c>
      <c r="Z2" s="69" t="s">
        <v>131</v>
      </c>
    </row>
    <row r="3" spans="13:13">
      <c r="M3" s="66"/>
    </row>
    <row r="5" spans="4:7">
      <c r="D5" s="51"/>
      <c r="E5" s="56"/>
      <c r="F5" s="56"/>
      <c r="G5" s="51"/>
    </row>
    <row r="6" spans="5:5">
      <c r="E6" s="56"/>
    </row>
    <row r="9" ht="14.25" spans="21:21">
      <c r="U9" s="68"/>
    </row>
    <row r="10" ht="14.25" spans="21:21">
      <c r="U10" s="68"/>
    </row>
    <row r="11" ht="14.25" spans="21:21">
      <c r="U11" s="68"/>
    </row>
    <row r="12" ht="14.25" spans="21:21">
      <c r="U12" s="68"/>
    </row>
    <row r="13" ht="14.25" spans="21:21">
      <c r="U13" s="68"/>
    </row>
    <row r="14" ht="14.25" spans="21:21">
      <c r="U14" s="68"/>
    </row>
    <row r="15" ht="14.25" spans="21:21">
      <c r="U15" s="68"/>
    </row>
    <row r="16" ht="14.25" spans="21:21">
      <c r="U16" s="68"/>
    </row>
    <row r="17" ht="14.25" spans="21:21">
      <c r="U17" s="68"/>
    </row>
    <row r="18" ht="14.25" spans="21:21">
      <c r="U18" s="68"/>
    </row>
    <row r="19" ht="14.25" spans="21:21">
      <c r="U19" s="68"/>
    </row>
    <row r="20" ht="14.25" spans="21:21">
      <c r="U20" s="68"/>
    </row>
  </sheetData>
  <sheetProtection formatCells="0" insertHyperlinks="0" autoFilter="0"/>
  <mergeCells count="3">
    <mergeCell ref="H1:K1"/>
    <mergeCell ref="L1:O1"/>
    <mergeCell ref="U1:Y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pane xSplit="1" ySplit="2" topLeftCell="T5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12.75" outlineLevelRow="4"/>
  <cols>
    <col min="1" max="1" width="3.375" style="2" customWidth="1"/>
    <col min="2" max="2" width="9.75" style="3" customWidth="1"/>
    <col min="3" max="3" width="8.5" style="3" customWidth="1"/>
    <col min="4" max="4" width="23.5666666666667" style="3" customWidth="1"/>
    <col min="5" max="5" width="8.625" style="3" customWidth="1"/>
    <col min="6" max="6" width="15.25" style="3" customWidth="1"/>
    <col min="7" max="7" width="11.125" style="3" customWidth="1"/>
    <col min="8" max="8" width="15.5" style="3" customWidth="1"/>
    <col min="9" max="9" width="12.65" style="3" customWidth="1"/>
    <col min="10" max="10" width="12.475" style="3" customWidth="1"/>
    <col min="11" max="11" width="9.375" style="3" customWidth="1"/>
    <col min="12" max="12" width="15" style="3" customWidth="1"/>
    <col min="13" max="13" width="20.25" style="3" customWidth="1"/>
    <col min="14" max="14" width="15.625" style="3" customWidth="1"/>
    <col min="15" max="15" width="17.875" style="3" customWidth="1"/>
    <col min="16" max="16" width="29.825" style="3" customWidth="1"/>
    <col min="17" max="17" width="11.5" style="3" customWidth="1"/>
    <col min="18" max="18" width="18.225" style="3" customWidth="1"/>
    <col min="19" max="19" width="8.475" style="3" customWidth="1"/>
    <col min="20" max="20" width="10.375" style="3" customWidth="1"/>
    <col min="21" max="21" width="53.5083333333333" style="3" customWidth="1"/>
    <col min="22" max="16384" width="9" style="3"/>
  </cols>
  <sheetData>
    <row r="1" ht="19.35" customHeight="1" spans="1:20">
      <c r="A1" s="4"/>
      <c r="B1" s="5"/>
      <c r="C1" s="5"/>
      <c r="D1" t="s">
        <v>132</v>
      </c>
      <c r="E1" s="5"/>
      <c r="F1" s="10" t="s">
        <v>98</v>
      </c>
      <c r="G1" s="11"/>
      <c r="H1" s="11"/>
      <c r="I1" s="15" t="s">
        <v>99</v>
      </c>
      <c r="J1" s="16"/>
      <c r="K1" s="16"/>
      <c r="L1" s="17"/>
      <c r="M1" s="17"/>
      <c r="N1" t="s">
        <v>133</v>
      </c>
      <c r="O1" t="s">
        <v>133</v>
      </c>
      <c r="P1" s="5"/>
      <c r="Q1" s="22" t="s">
        <v>14</v>
      </c>
      <c r="R1" s="23"/>
      <c r="S1" s="23"/>
      <c r="T1" s="24"/>
    </row>
    <row r="2" ht="20.1" customHeight="1" spans="1:21">
      <c r="A2" s="6" t="s">
        <v>15</v>
      </c>
      <c r="B2" s="6" t="s">
        <v>1</v>
      </c>
      <c r="C2" s="6" t="s">
        <v>17</v>
      </c>
      <c r="D2" s="7" t="s">
        <v>18</v>
      </c>
      <c r="E2" s="6" t="s">
        <v>20</v>
      </c>
      <c r="F2" s="12" t="s">
        <v>21</v>
      </c>
      <c r="G2" s="12" t="s">
        <v>22</v>
      </c>
      <c r="H2" s="12" t="s">
        <v>23</v>
      </c>
      <c r="I2" s="18" t="s">
        <v>21</v>
      </c>
      <c r="J2" s="18" t="s">
        <v>22</v>
      </c>
      <c r="K2" s="18" t="s">
        <v>23</v>
      </c>
      <c r="L2" s="7" t="s">
        <v>25</v>
      </c>
      <c r="M2" s="7" t="s">
        <v>26</v>
      </c>
      <c r="N2" s="7" t="s">
        <v>27</v>
      </c>
      <c r="O2" s="7" t="s">
        <v>28</v>
      </c>
      <c r="P2" s="6" t="s">
        <v>29</v>
      </c>
      <c r="Q2" s="25" t="s">
        <v>100</v>
      </c>
      <c r="R2" s="26" t="s">
        <v>101</v>
      </c>
      <c r="S2" s="27" t="s">
        <v>102</v>
      </c>
      <c r="T2" s="26" t="s">
        <v>34</v>
      </c>
      <c r="U2" s="34" t="s">
        <v>131</v>
      </c>
    </row>
    <row r="3" spans="1:20">
      <c r="A3" s="4">
        <v>1</v>
      </c>
      <c r="B3" s="9" t="s">
        <v>13</v>
      </c>
      <c r="C3" s="35" t="s">
        <v>134</v>
      </c>
      <c r="D3" s="4" t="s">
        <v>38</v>
      </c>
      <c r="E3" s="4" t="s">
        <v>40</v>
      </c>
      <c r="F3" s="13"/>
      <c r="G3" s="13"/>
      <c r="H3" s="14"/>
      <c r="I3" s="37">
        <v>46168</v>
      </c>
      <c r="J3" s="38">
        <v>46158</v>
      </c>
      <c r="K3" s="39">
        <v>0.677083333333333</v>
      </c>
      <c r="L3" s="14"/>
      <c r="M3" s="14"/>
      <c r="N3" s="14"/>
      <c r="O3" s="14"/>
      <c r="P3" s="42" t="s">
        <v>113</v>
      </c>
      <c r="Q3" s="44" t="s">
        <v>135</v>
      </c>
      <c r="R3" s="4"/>
      <c r="S3" s="29"/>
      <c r="T3" s="29" t="s">
        <v>107</v>
      </c>
    </row>
    <row r="4" spans="1:20">
      <c r="A4" s="4">
        <v>2</v>
      </c>
      <c r="B4" s="9" t="s">
        <v>13</v>
      </c>
      <c r="C4" s="36" t="s">
        <v>136</v>
      </c>
      <c r="D4" s="4" t="s">
        <v>38</v>
      </c>
      <c r="E4" s="4" t="s">
        <v>40</v>
      </c>
      <c r="F4" s="5"/>
      <c r="G4" s="5"/>
      <c r="H4" s="5"/>
      <c r="I4" s="40">
        <v>46168</v>
      </c>
      <c r="J4" s="41">
        <v>46158</v>
      </c>
      <c r="K4" s="39">
        <v>0.635416666666667</v>
      </c>
      <c r="L4" s="14"/>
      <c r="M4" s="14"/>
      <c r="N4" s="14"/>
      <c r="O4" s="14"/>
      <c r="P4" s="43" t="s">
        <v>113</v>
      </c>
      <c r="Q4" s="44" t="s">
        <v>137</v>
      </c>
      <c r="R4" s="29"/>
      <c r="S4" s="29"/>
      <c r="T4" s="29" t="s">
        <v>107</v>
      </c>
    </row>
    <row r="5" spans="1:20">
      <c r="A5" s="4">
        <v>3</v>
      </c>
      <c r="B5" s="9" t="s">
        <v>13</v>
      </c>
      <c r="C5" s="36" t="s">
        <v>138</v>
      </c>
      <c r="D5" s="4" t="s">
        <v>38</v>
      </c>
      <c r="E5" s="4" t="s">
        <v>40</v>
      </c>
      <c r="F5" s="5"/>
      <c r="G5" s="5"/>
      <c r="H5" s="5"/>
      <c r="I5" s="40">
        <v>46165</v>
      </c>
      <c r="J5" s="41">
        <v>46159</v>
      </c>
      <c r="K5" s="39">
        <v>0.657638888888889</v>
      </c>
      <c r="L5" s="14"/>
      <c r="M5" s="14"/>
      <c r="N5" s="14"/>
      <c r="O5" s="14"/>
      <c r="P5" s="43" t="s">
        <v>139</v>
      </c>
      <c r="Q5" s="44" t="s">
        <v>140</v>
      </c>
      <c r="R5" s="32"/>
      <c r="S5" s="29"/>
      <c r="T5" s="29" t="s">
        <v>107</v>
      </c>
    </row>
  </sheetData>
  <sheetProtection formatCells="0" insertHyperlinks="0" autoFilter="0"/>
  <autoFilter xmlns:etc="http://www.wps.cn/officeDocument/2017/etCustomData" ref="A2:T5" etc:filterBottomFollowUsedRange="0">
    <extLst/>
  </autoFilter>
  <mergeCells count="3">
    <mergeCell ref="F1:H1"/>
    <mergeCell ref="I1:K1"/>
    <mergeCell ref="Q1:T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zoomScale="80" zoomScaleNormal="80" topLeftCell="L6" workbookViewId="0">
      <selection activeCell="R6" sqref="R6"/>
    </sheetView>
  </sheetViews>
  <sheetFormatPr defaultColWidth="9" defaultRowHeight="12.75"/>
  <cols>
    <col min="1" max="1" width="3.375" style="2" customWidth="1"/>
    <col min="2" max="2" width="9.75" style="3" customWidth="1"/>
    <col min="3" max="3" width="26.375" style="3" customWidth="1"/>
    <col min="4" max="4" width="9.85833333333333" style="3" customWidth="1"/>
    <col min="5" max="5" width="8.625" style="3" customWidth="1"/>
    <col min="6" max="6" width="8.875" style="3" customWidth="1"/>
    <col min="7" max="7" width="8.5" style="3" customWidth="1"/>
    <col min="8" max="8" width="9.375" style="3" customWidth="1"/>
    <col min="9" max="9" width="8.875" style="3" customWidth="1"/>
    <col min="10" max="10" width="8.75" style="3" customWidth="1"/>
    <col min="11" max="11" width="9.375" style="3" customWidth="1"/>
    <col min="12" max="12" width="13.625" style="3" customWidth="1"/>
    <col min="13" max="13" width="16.125" style="3" customWidth="1"/>
    <col min="14" max="14" width="12.25" style="3" customWidth="1"/>
    <col min="15" max="15" width="15.625" style="3" customWidth="1"/>
    <col min="16" max="16" width="28.5" style="3" customWidth="1"/>
    <col min="17" max="17" width="11.5" style="3" customWidth="1"/>
    <col min="18" max="18" width="25.625" style="3" customWidth="1"/>
    <col min="19" max="19" width="6.125" style="3" customWidth="1"/>
    <col min="20" max="20" width="6.5" style="3" customWidth="1"/>
    <col min="21" max="21" width="53.5083333333333" style="3" customWidth="1"/>
    <col min="22" max="16384" width="9" style="3"/>
  </cols>
  <sheetData>
    <row r="1" ht="19.35" customHeight="1" spans="1:20">
      <c r="A1" s="4"/>
      <c r="B1" s="5"/>
      <c r="C1" s="5"/>
      <c r="D1" s="5"/>
      <c r="E1" s="5"/>
      <c r="F1" s="10" t="s">
        <v>98</v>
      </c>
      <c r="G1" s="11"/>
      <c r="H1" s="11"/>
      <c r="I1" s="15" t="s">
        <v>99</v>
      </c>
      <c r="J1" s="16"/>
      <c r="K1" s="16"/>
      <c r="L1" s="17"/>
      <c r="M1" s="17"/>
      <c r="N1" s="17"/>
      <c r="O1" s="17"/>
      <c r="P1" s="5"/>
      <c r="Q1" s="22" t="s">
        <v>14</v>
      </c>
      <c r="R1" s="23"/>
      <c r="S1" s="23"/>
      <c r="T1" s="24"/>
    </row>
    <row r="2" ht="20.1" customHeight="1" spans="1:21">
      <c r="A2" s="6" t="s">
        <v>15</v>
      </c>
      <c r="B2" s="6" t="s">
        <v>1</v>
      </c>
      <c r="C2" s="6" t="s">
        <v>17</v>
      </c>
      <c r="D2" s="7" t="s">
        <v>18</v>
      </c>
      <c r="E2" s="6" t="s">
        <v>20</v>
      </c>
      <c r="F2" s="12" t="s">
        <v>21</v>
      </c>
      <c r="G2" s="12" t="s">
        <v>22</v>
      </c>
      <c r="H2" s="12" t="s">
        <v>23</v>
      </c>
      <c r="I2" s="18" t="s">
        <v>21</v>
      </c>
      <c r="J2" s="18" t="s">
        <v>22</v>
      </c>
      <c r="K2" s="18" t="s">
        <v>23</v>
      </c>
      <c r="L2" s="7" t="s">
        <v>25</v>
      </c>
      <c r="M2" s="7" t="s">
        <v>26</v>
      </c>
      <c r="N2" s="7" t="s">
        <v>27</v>
      </c>
      <c r="O2" s="7" t="s">
        <v>28</v>
      </c>
      <c r="P2" s="6" t="s">
        <v>29</v>
      </c>
      <c r="Q2" s="25" t="s">
        <v>100</v>
      </c>
      <c r="R2" s="26" t="s">
        <v>101</v>
      </c>
      <c r="S2" s="27" t="s">
        <v>102</v>
      </c>
      <c r="T2" s="26" t="s">
        <v>34</v>
      </c>
      <c r="U2" s="34" t="s">
        <v>131</v>
      </c>
    </row>
    <row r="3" spans="1:20">
      <c r="A3" s="4">
        <v>1</v>
      </c>
      <c r="B3" s="5" t="s">
        <v>7</v>
      </c>
      <c r="C3" s="8" t="s">
        <v>103</v>
      </c>
      <c r="D3" s="8"/>
      <c r="E3" s="4" t="s">
        <v>40</v>
      </c>
      <c r="F3" s="13"/>
      <c r="G3" s="13"/>
      <c r="H3" s="14"/>
      <c r="I3" s="13">
        <v>46141</v>
      </c>
      <c r="J3" s="13">
        <v>46141</v>
      </c>
      <c r="K3" s="14">
        <v>0.791666666666667</v>
      </c>
      <c r="L3" s="14"/>
      <c r="M3" s="14"/>
      <c r="N3" s="14"/>
      <c r="O3" s="14"/>
      <c r="P3" s="5" t="s">
        <v>104</v>
      </c>
      <c r="Q3" s="28" t="s">
        <v>105</v>
      </c>
      <c r="R3" s="4" t="s">
        <v>106</v>
      </c>
      <c r="S3" s="29" t="s">
        <v>45</v>
      </c>
      <c r="T3" s="4" t="s">
        <v>107</v>
      </c>
    </row>
    <row r="4" spans="1:21">
      <c r="A4" s="4">
        <v>2</v>
      </c>
      <c r="B4" s="5" t="s">
        <v>7</v>
      </c>
      <c r="C4" s="5" t="s">
        <v>108</v>
      </c>
      <c r="D4" s="5"/>
      <c r="E4" s="4" t="s">
        <v>40</v>
      </c>
      <c r="F4" s="5"/>
      <c r="G4" s="5"/>
      <c r="H4" s="5"/>
      <c r="I4" s="13">
        <v>46149</v>
      </c>
      <c r="J4" s="13">
        <v>46149</v>
      </c>
      <c r="K4" s="14">
        <v>0.659722222222222</v>
      </c>
      <c r="L4" s="14"/>
      <c r="M4" s="14"/>
      <c r="N4" s="14"/>
      <c r="O4" s="14"/>
      <c r="P4" s="5" t="s">
        <v>104</v>
      </c>
      <c r="Q4" s="30" t="s">
        <v>109</v>
      </c>
      <c r="R4" s="29" t="s">
        <v>110</v>
      </c>
      <c r="S4" s="29" t="s">
        <v>45</v>
      </c>
      <c r="T4" s="4" t="s">
        <v>107</v>
      </c>
      <c r="U4" s="3" t="s">
        <v>111</v>
      </c>
    </row>
    <row r="5" spans="1:20">
      <c r="A5" s="4">
        <v>3</v>
      </c>
      <c r="B5" s="5" t="s">
        <v>7</v>
      </c>
      <c r="C5" s="5" t="s">
        <v>112</v>
      </c>
      <c r="D5" s="5"/>
      <c r="E5" s="4" t="s">
        <v>40</v>
      </c>
      <c r="F5" s="5"/>
      <c r="G5" s="5"/>
      <c r="H5" s="5"/>
      <c r="I5" s="13">
        <v>46149</v>
      </c>
      <c r="J5" s="13">
        <v>46150</v>
      </c>
      <c r="K5" s="14">
        <v>0.395833333333333</v>
      </c>
      <c r="L5" s="14"/>
      <c r="M5" s="14"/>
      <c r="N5" s="14"/>
      <c r="O5" s="14"/>
      <c r="P5" s="9" t="s">
        <v>113</v>
      </c>
      <c r="Q5" s="31" t="s">
        <v>114</v>
      </c>
      <c r="R5" s="32" t="s">
        <v>115</v>
      </c>
      <c r="S5" s="29" t="s">
        <v>45</v>
      </c>
      <c r="T5" s="4" t="s">
        <v>107</v>
      </c>
    </row>
    <row r="6" spans="1:20">
      <c r="A6" s="4">
        <v>4</v>
      </c>
      <c r="B6" s="5" t="s">
        <v>7</v>
      </c>
      <c r="C6" s="5" t="s">
        <v>116</v>
      </c>
      <c r="D6" s="5"/>
      <c r="E6" s="4"/>
      <c r="F6" s="13"/>
      <c r="G6" s="13"/>
      <c r="H6" s="14"/>
      <c r="I6" s="19" t="s">
        <v>48</v>
      </c>
      <c r="J6" s="13"/>
      <c r="K6" s="14"/>
      <c r="L6" s="14"/>
      <c r="M6" s="14"/>
      <c r="N6" s="14"/>
      <c r="O6" s="14"/>
      <c r="P6" s="9" t="s">
        <v>113</v>
      </c>
      <c r="Q6" s="29" t="s">
        <v>117</v>
      </c>
      <c r="R6" s="33" t="s">
        <v>118</v>
      </c>
      <c r="S6" s="29" t="s">
        <v>45</v>
      </c>
      <c r="T6" s="4" t="s">
        <v>107</v>
      </c>
    </row>
    <row r="7" spans="1:20">
      <c r="A7" s="4">
        <v>5</v>
      </c>
      <c r="B7" s="9" t="s">
        <v>9</v>
      </c>
      <c r="C7" s="5" t="s">
        <v>119</v>
      </c>
      <c r="D7" s="5"/>
      <c r="E7" s="5"/>
      <c r="F7" s="5"/>
      <c r="G7" s="5"/>
      <c r="H7" s="5"/>
      <c r="I7" s="20">
        <v>46160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4">
        <v>6</v>
      </c>
      <c r="B8" s="9" t="s">
        <v>11</v>
      </c>
      <c r="C8" s="5" t="s">
        <v>120</v>
      </c>
      <c r="D8" s="5"/>
      <c r="E8" s="5"/>
      <c r="F8" s="5"/>
      <c r="G8" s="5"/>
      <c r="H8" s="5"/>
      <c r="I8" s="20">
        <v>46160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4">
        <v>7</v>
      </c>
      <c r="B9" s="9" t="s">
        <v>8</v>
      </c>
      <c r="C9" s="5" t="s">
        <v>121</v>
      </c>
      <c r="D9" s="5"/>
      <c r="E9" s="5"/>
      <c r="F9" s="5"/>
      <c r="G9" s="5"/>
      <c r="H9" s="5"/>
      <c r="I9" s="20">
        <v>46160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4">
        <v>8</v>
      </c>
      <c r="B10" s="9" t="s">
        <v>8</v>
      </c>
      <c r="C10" s="5" t="s">
        <v>122</v>
      </c>
      <c r="D10" s="5"/>
      <c r="E10" s="5"/>
      <c r="F10" s="5"/>
      <c r="G10" s="5"/>
      <c r="H10" s="5"/>
      <c r="I10" s="20">
        <v>46160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4">
        <v>9</v>
      </c>
      <c r="B11" s="9" t="s">
        <v>8</v>
      </c>
      <c r="C11" s="5" t="s">
        <v>123</v>
      </c>
      <c r="D11" s="5"/>
      <c r="E11" s="5"/>
      <c r="F11" s="5"/>
      <c r="G11" s="5"/>
      <c r="H11" s="5"/>
      <c r="I11" s="20">
        <v>46160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4">
        <v>10</v>
      </c>
      <c r="B12" s="9" t="s">
        <v>8</v>
      </c>
      <c r="C12" s="5" t="s">
        <v>124</v>
      </c>
      <c r="D12" s="5"/>
      <c r="E12" s="5"/>
      <c r="F12" s="5"/>
      <c r="G12" s="5"/>
      <c r="H12" s="5"/>
      <c r="I12" s="20">
        <v>46160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4">
        <v>11</v>
      </c>
      <c r="B13" s="9" t="s">
        <v>8</v>
      </c>
      <c r="C13" s="5" t="s">
        <v>125</v>
      </c>
      <c r="D13" s="5"/>
      <c r="E13" s="5"/>
      <c r="F13" s="5"/>
      <c r="G13" s="5"/>
      <c r="H13" s="5"/>
      <c r="I13" s="20">
        <v>46160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4">
        <v>12</v>
      </c>
      <c r="B14" s="9" t="s">
        <v>8</v>
      </c>
      <c r="C14" s="5" t="s">
        <v>126</v>
      </c>
      <c r="D14" s="5"/>
      <c r="E14" s="5"/>
      <c r="F14" s="5"/>
      <c r="G14" s="5"/>
      <c r="H14" s="5"/>
      <c r="I14" s="20">
        <v>46160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4">
        <v>13</v>
      </c>
      <c r="B15" s="9" t="s">
        <v>9</v>
      </c>
      <c r="C15" s="5" t="s">
        <v>127</v>
      </c>
      <c r="D15" s="5"/>
      <c r="E15" s="5"/>
      <c r="F15" s="5"/>
      <c r="G15" s="5"/>
      <c r="H15" s="5"/>
      <c r="I15" s="20">
        <v>46160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4">
        <v>14</v>
      </c>
      <c r="B16" s="9" t="s">
        <v>10</v>
      </c>
      <c r="C16" s="5" t="s">
        <v>128</v>
      </c>
      <c r="D16" s="5"/>
      <c r="E16" s="5"/>
      <c r="F16" s="5"/>
      <c r="G16" s="5"/>
      <c r="H16" s="5"/>
      <c r="I16" s="20">
        <v>46160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4">
        <v>15</v>
      </c>
      <c r="B17" s="9" t="s">
        <v>12</v>
      </c>
      <c r="C17" s="5" t="s">
        <v>129</v>
      </c>
      <c r="D17" s="9"/>
      <c r="E17" s="5"/>
      <c r="F17" s="5"/>
      <c r="G17" s="5"/>
      <c r="H17" s="5"/>
      <c r="I17" s="20">
        <v>46160</v>
      </c>
      <c r="J17" s="20">
        <v>46160</v>
      </c>
      <c r="K17" s="21">
        <v>0.692361111111111</v>
      </c>
      <c r="L17" s="5"/>
      <c r="M17" s="5"/>
      <c r="N17" s="5"/>
      <c r="O17" s="5"/>
      <c r="P17" s="5"/>
      <c r="Q17" s="9" t="s">
        <v>130</v>
      </c>
      <c r="R17" s="5"/>
      <c r="S17" s="5"/>
      <c r="T17" s="5"/>
    </row>
  </sheetData>
  <sheetProtection formatCells="0" insertHyperlinks="0" autoFilter="0"/>
  <autoFilter xmlns:etc="http://www.wps.cn/officeDocument/2017/etCustomData" ref="A2:T17" etc:filterBottomFollowUsedRange="0">
    <extLst/>
  </autoFilter>
  <mergeCells count="3">
    <mergeCell ref="F1:H1"/>
    <mergeCell ref="I1:K1"/>
    <mergeCell ref="Q1:T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25" outlineLevelRow="2"/>
  <sheetData>
    <row r="1" spans="1:1">
      <c r="A1" s="1"/>
    </row>
    <row r="2" spans="1:1">
      <c r="A2" s="1"/>
    </row>
    <row r="3" spans="1:1">
      <c r="A3" s="1"/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AK20210901JXNSXO11126863">
      <hiddenRange rowFrom="3" rowTo="3"/>
      <hiddenRange rowFrom="6" rowTo="18"/>
    </filterData>
    <filterData filterID="AK20210901JXNSXO5332669"/>
    <autofilterInfo filterID="AK20210901JXNSXO11126863">
      <autoFilter xmlns="http://schemas.openxmlformats.org/spreadsheetml/2006/main" ref="A3:AE19">
        <filterColumn colId="20">
          <customFilters>
            <customFilter operator="equal" val="HNIPDG03"/>
            <customFilter operator="equal" val="HNIPDG14"/>
          </customFilters>
        </filterColumn>
      </autoFilter>
    </autofilterInfo>
    <autofilterInfo filterID="AK20210901JXNSXO5332669">
      <autoFilter xmlns="http://schemas.openxmlformats.org/spreadsheetml/2006/main" ref="A3:AE19"/>
    </autofilterInfo>
  </sheetItem>
  <sheetItem sheetStid="2">
    <filterData filterID="AK20210901JXNSXO19988694"/>
    <filterData filterID="AK20210901JXNSXO5206797"/>
    <autofilterInfo filterID="AK20210901JXNSXO19988694">
      <autoFilter xmlns="http://schemas.openxmlformats.org/spreadsheetml/2006/main" ref="A2:T17"/>
    </autofilterInfo>
    <autofilterInfo filterID="AK20210901JXNSXO5206797">
      <autoFilter xmlns="http://schemas.openxmlformats.org/spreadsheetml/2006/main" ref="A2:T17"/>
    </autofilterInfo>
  </sheetItem>
  <sheetItem sheetStid="7">
    <filterData filterID="AK20210901JXNSXO19988694"/>
    <autofilterInfo filterID="AK20210901JXNSXO19988694">
      <autoFilter xmlns="http://schemas.openxmlformats.org/spreadsheetml/2006/main" ref="A2:T5"/>
    </autofilterInfo>
  </sheetItem>
  <sheetItem sheetStid="8">
    <filterData filterID="AK20210901JXNSXO19988694"/>
    <autofilterInfo filterID="AK20210901JXNSXO19988694">
      <autoFilter xmlns="http://schemas.openxmlformats.org/spreadsheetml/2006/main" ref="A2:T17"/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4"/>
  <pixelatorList sheetStid="1"/>
  <pixelatorList sheetStid="2"/>
  <pixelatorList sheetStid="9"/>
  <pixelatorList sheetStid="7"/>
  <pixelatorList sheetStid="8"/>
  <pixelatorList sheetStid="6"/>
  <pixelatorList sheetStid="5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Ha Noi Progress</vt:lpstr>
      <vt:lpstr>North 5G Progress</vt:lpstr>
      <vt:lpstr>Middle Swap Progress </vt:lpstr>
      <vt:lpstr>Middle 5G  Progress</vt:lpstr>
      <vt:lpstr>South 5G  Progress Tracker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wanghaipeng (H)</dc:creator>
  <cp:lastModifiedBy>Nguyen Thanh Dong</cp:lastModifiedBy>
  <dcterms:created xsi:type="dcterms:W3CDTF">2026-05-19T00:51:00Z</dcterms:created>
  <dcterms:modified xsi:type="dcterms:W3CDTF">2026-05-19T01:47:00Z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