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RC-RF\MBF\MBF-basic infor\___South\South swap cluster division &amp; polygon_0410\"/>
    </mc:Choice>
  </mc:AlternateContent>
  <xr:revisionPtr revIDLastSave="0" documentId="13_ncr:1_{21E014A7-2460-4C6A-B3EE-2613D1AC753C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CRAN Review" sheetId="1" r:id="rId1"/>
    <sheet name="CRAN" sheetId="5" state="hidden" r:id="rId2"/>
    <sheet name="TA" sheetId="6" state="hidden" r:id="rId3"/>
    <sheet name="TA Review" sheetId="7" r:id="rId4"/>
    <sheet name="TAC Update" sheetId="8" state="hidden" r:id="rId5"/>
    <sheet name="swap squence" sheetId="12" r:id="rId6"/>
    <sheet name="CRAN核查-47Cluster)_latest" sheetId="4" r:id="rId7"/>
  </sheets>
  <definedNames>
    <definedName name="_xlnm._FilterDatabase" localSheetId="0" hidden="1">'CRAN Review'!$A$1:$D$72</definedName>
    <definedName name="_xlnm._FilterDatabase" localSheetId="6" hidden="1">'CRAN核查-47Cluster)_latest'!$A$1:$AA$808</definedName>
    <definedName name="_xlnm._FilterDatabase" localSheetId="3" hidden="1">'TA Review'!$A$1:$D$64</definedName>
  </definedNames>
  <calcPr calcId="191029"/>
  <pivotCaches>
    <pivotCache cacheId="30" r:id="rId8"/>
    <pivotCache cacheId="31" r:id="rId9"/>
    <pivotCache cacheId="4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2" i="7"/>
  <c r="Y5" i="4" l="1"/>
  <c r="Y8" i="4"/>
  <c r="Y14" i="4"/>
  <c r="Y15" i="4"/>
  <c r="Y614" i="4"/>
  <c r="Y601" i="4"/>
  <c r="Y2" i="4"/>
  <c r="Y16" i="4"/>
  <c r="Y17" i="4"/>
  <c r="Y18" i="4"/>
  <c r="Y19" i="4"/>
  <c r="Y11" i="4"/>
  <c r="Y4" i="4"/>
  <c r="Y3" i="4"/>
  <c r="Y6" i="4"/>
  <c r="Y7" i="4"/>
  <c r="Y12" i="4"/>
  <c r="Y13" i="4"/>
  <c r="Y20" i="4"/>
  <c r="Y602" i="4"/>
  <c r="Y21" i="4"/>
  <c r="Y22" i="4"/>
  <c r="Y564" i="4"/>
  <c r="Y23" i="4"/>
  <c r="Y168" i="4"/>
  <c r="Y26" i="4"/>
  <c r="Y34" i="4"/>
  <c r="Y35" i="4"/>
  <c r="Y39" i="4"/>
  <c r="Y24" i="4"/>
  <c r="Y25" i="4"/>
  <c r="Y27" i="4"/>
  <c r="Y28" i="4"/>
  <c r="Y31" i="4"/>
  <c r="Y32" i="4"/>
  <c r="Y33" i="4"/>
  <c r="Y37" i="4"/>
  <c r="Y38" i="4"/>
  <c r="Y40" i="4"/>
  <c r="Y44" i="4"/>
  <c r="Y45" i="4"/>
  <c r="Y46" i="4"/>
  <c r="Y52" i="4"/>
  <c r="Y53" i="4"/>
  <c r="Y56" i="4"/>
  <c r="Y57" i="4"/>
  <c r="Y58" i="4"/>
  <c r="Y59" i="4"/>
  <c r="Y157" i="4"/>
  <c r="Y60" i="4"/>
  <c r="Y61" i="4"/>
  <c r="Y62" i="4"/>
  <c r="Y41" i="4"/>
  <c r="Y42" i="4"/>
  <c r="Y43" i="4"/>
  <c r="Y47" i="4"/>
  <c r="Y48" i="4"/>
  <c r="Y50" i="4"/>
  <c r="Y51" i="4"/>
  <c r="Y54" i="4"/>
  <c r="Y55" i="4"/>
  <c r="Y73" i="4"/>
  <c r="Y74" i="4"/>
  <c r="Y75" i="4"/>
  <c r="Y79" i="4"/>
  <c r="Y80" i="4"/>
  <c r="Y81" i="4"/>
  <c r="Y159" i="4"/>
  <c r="Y65" i="4"/>
  <c r="Y67" i="4"/>
  <c r="Y68" i="4"/>
  <c r="Y69" i="4"/>
  <c r="Y70" i="4"/>
  <c r="Y66" i="4"/>
  <c r="Y63" i="4"/>
  <c r="Y64" i="4"/>
  <c r="Y71" i="4"/>
  <c r="Y72" i="4"/>
  <c r="Y76" i="4"/>
  <c r="Y77" i="4"/>
  <c r="Y78" i="4"/>
  <c r="Y82" i="4"/>
  <c r="Y83" i="4"/>
  <c r="Y84" i="4"/>
  <c r="Y85" i="4"/>
  <c r="Y86" i="4"/>
  <c r="Y90" i="4"/>
  <c r="Y91" i="4"/>
  <c r="Y92" i="4"/>
  <c r="Y87" i="4"/>
  <c r="Y89" i="4"/>
  <c r="Y93" i="4"/>
  <c r="Y95" i="4"/>
  <c r="Y96" i="4"/>
  <c r="Y97" i="4"/>
  <c r="Y98" i="4"/>
  <c r="Y99" i="4"/>
  <c r="Y100" i="4"/>
  <c r="Y101" i="4"/>
  <c r="Y481" i="4"/>
  <c r="Y104" i="4"/>
  <c r="Y492" i="4"/>
  <c r="Y108" i="4"/>
  <c r="Y111" i="4"/>
  <c r="Y112" i="4"/>
  <c r="Y116" i="4"/>
  <c r="Y117" i="4"/>
  <c r="Y118" i="4"/>
  <c r="Y119" i="4"/>
  <c r="Y102" i="4"/>
  <c r="Y103" i="4"/>
  <c r="Y105" i="4"/>
  <c r="Y106" i="4"/>
  <c r="Y107" i="4"/>
  <c r="Y109" i="4"/>
  <c r="Y110" i="4"/>
  <c r="Y115" i="4"/>
  <c r="Y120" i="4"/>
  <c r="Y121" i="4"/>
  <c r="Y122" i="4"/>
  <c r="Y124" i="4"/>
  <c r="Y139" i="4"/>
  <c r="Y128" i="4"/>
  <c r="Y129" i="4"/>
  <c r="Y130" i="4"/>
  <c r="Y131" i="4"/>
  <c r="Y140" i="4"/>
  <c r="Y133" i="4"/>
  <c r="Y134" i="4"/>
  <c r="Y135" i="4"/>
  <c r="Y136" i="4"/>
  <c r="Y137" i="4"/>
  <c r="Y138" i="4"/>
  <c r="Y125" i="4"/>
  <c r="Y132" i="4"/>
  <c r="Y141" i="4"/>
  <c r="Y142" i="4"/>
  <c r="Y123" i="4"/>
  <c r="Y126" i="4"/>
  <c r="Y127" i="4"/>
  <c r="Y113" i="4"/>
  <c r="Y152" i="4"/>
  <c r="Y143" i="4"/>
  <c r="Y144" i="4"/>
  <c r="Y147" i="4"/>
  <c r="Y148" i="4"/>
  <c r="Y149" i="4"/>
  <c r="Y150" i="4"/>
  <c r="Y151" i="4"/>
  <c r="Y484" i="4"/>
  <c r="Y153" i="4"/>
  <c r="Y154" i="4"/>
  <c r="Y155" i="4"/>
  <c r="Y156" i="4"/>
  <c r="Y161" i="4"/>
  <c r="Y512" i="4"/>
  <c r="Y162" i="4"/>
  <c r="Y163" i="4"/>
  <c r="Y145" i="4"/>
  <c r="Y146" i="4"/>
  <c r="Y158" i="4"/>
  <c r="Y179" i="4"/>
  <c r="Y164" i="4"/>
  <c r="Y165" i="4"/>
  <c r="Y482" i="4"/>
  <c r="Y166" i="4"/>
  <c r="Y167" i="4"/>
  <c r="Y171" i="4"/>
  <c r="Y175" i="4"/>
  <c r="Y176" i="4"/>
  <c r="Y177" i="4"/>
  <c r="Y169" i="4"/>
  <c r="Y170" i="4"/>
  <c r="Y172" i="4"/>
  <c r="Y173" i="4"/>
  <c r="Y174" i="4"/>
  <c r="Y160" i="4"/>
  <c r="Y299" i="4"/>
  <c r="Y190" i="4"/>
  <c r="Y189" i="4"/>
  <c r="Y178" i="4"/>
  <c r="Y202" i="4"/>
  <c r="Y182" i="4"/>
  <c r="Y412" i="4"/>
  <c r="Y185" i="4"/>
  <c r="Y186" i="4"/>
  <c r="Y187" i="4"/>
  <c r="Y188" i="4"/>
  <c r="Y292" i="4"/>
  <c r="Y180" i="4"/>
  <c r="Y183" i="4"/>
  <c r="Y184" i="4"/>
  <c r="Y191" i="4"/>
  <c r="Y192" i="4"/>
  <c r="Y197" i="4"/>
  <c r="Y413" i="4"/>
  <c r="Y215" i="4"/>
  <c r="Y217" i="4"/>
  <c r="Y196" i="4"/>
  <c r="Y210" i="4"/>
  <c r="Y194" i="4"/>
  <c r="Y206" i="4"/>
  <c r="Y207" i="4"/>
  <c r="Y208" i="4"/>
  <c r="Y209" i="4"/>
  <c r="Y214" i="4"/>
  <c r="Y216" i="4"/>
  <c r="Y193" i="4"/>
  <c r="Y195" i="4"/>
  <c r="Y198" i="4"/>
  <c r="Y199" i="4"/>
  <c r="Y200" i="4"/>
  <c r="Y201" i="4"/>
  <c r="Y203" i="4"/>
  <c r="Y205" i="4"/>
  <c r="Y212" i="4"/>
  <c r="Y213" i="4"/>
  <c r="Y223" i="4"/>
  <c r="Y218" i="4"/>
  <c r="Y220" i="4"/>
  <c r="Y224" i="4"/>
  <c r="Y225" i="4"/>
  <c r="Y230" i="4"/>
  <c r="Y237" i="4"/>
  <c r="Y238" i="4"/>
  <c r="Y245" i="4"/>
  <c r="Y248" i="4"/>
  <c r="Y240" i="4"/>
  <c r="Y219" i="4"/>
  <c r="Y231" i="4"/>
  <c r="Y232" i="4"/>
  <c r="Y235" i="4"/>
  <c r="Y236" i="4"/>
  <c r="Y241" i="4"/>
  <c r="Y246" i="4"/>
  <c r="Y247" i="4"/>
  <c r="Y226" i="4"/>
  <c r="Y239" i="4"/>
  <c r="Y222" i="4"/>
  <c r="Y221" i="4"/>
  <c r="Y227" i="4"/>
  <c r="Y228" i="4"/>
  <c r="Y233" i="4"/>
  <c r="Y234" i="4"/>
  <c r="Y243" i="4"/>
  <c r="Y242" i="4"/>
  <c r="Y244" i="4"/>
  <c r="Y253" i="4"/>
  <c r="Y254" i="4"/>
  <c r="Y256" i="4"/>
  <c r="Y258" i="4"/>
  <c r="Y261" i="4"/>
  <c r="Y262" i="4"/>
  <c r="Y263" i="4"/>
  <c r="Y380" i="4"/>
  <c r="Y268" i="4"/>
  <c r="Y313" i="4"/>
  <c r="Y323" i="4"/>
  <c r="Y269" i="4"/>
  <c r="Y270" i="4"/>
  <c r="Y271" i="4"/>
  <c r="Y252" i="4"/>
  <c r="Y267" i="4"/>
  <c r="Y259" i="4"/>
  <c r="Y260" i="4"/>
  <c r="Y264" i="4"/>
  <c r="Y266" i="4"/>
  <c r="Y274" i="4"/>
  <c r="Y285" i="4"/>
  <c r="Y275" i="4"/>
  <c r="Y276" i="4"/>
  <c r="Y281" i="4"/>
  <c r="Y282" i="4"/>
  <c r="Y283" i="4"/>
  <c r="Y284" i="4"/>
  <c r="Y286" i="4"/>
  <c r="Y432" i="4"/>
  <c r="Y287" i="4"/>
  <c r="Y273" i="4"/>
  <c r="Y272" i="4"/>
  <c r="Y229" i="4"/>
  <c r="Y277" i="4"/>
  <c r="Y278" i="4"/>
  <c r="Y279" i="4"/>
  <c r="Y280" i="4"/>
  <c r="Y288" i="4"/>
  <c r="Y301" i="4"/>
  <c r="Y291" i="4"/>
  <c r="Y293" i="4"/>
  <c r="Y294" i="4"/>
  <c r="Y296" i="4"/>
  <c r="Y298" i="4"/>
  <c r="Y295" i="4"/>
  <c r="Y289" i="4"/>
  <c r="Y290" i="4"/>
  <c r="Y300" i="4"/>
  <c r="Y251" i="4"/>
  <c r="Y303" i="4"/>
  <c r="Y249" i="4"/>
  <c r="Y250" i="4"/>
  <c r="Y317" i="4"/>
  <c r="Y328" i="4"/>
  <c r="Y327" i="4"/>
  <c r="Y312" i="4"/>
  <c r="Y316" i="4"/>
  <c r="Y310" i="4"/>
  <c r="Y465" i="4"/>
  <c r="Y318" i="4"/>
  <c r="Y319" i="4"/>
  <c r="Y324" i="4"/>
  <c r="Y325" i="4"/>
  <c r="Y326" i="4"/>
  <c r="Y453" i="4"/>
  <c r="Y304" i="4"/>
  <c r="Y305" i="4"/>
  <c r="Y306" i="4"/>
  <c r="Y307" i="4"/>
  <c r="Y308" i="4"/>
  <c r="Y309" i="4"/>
  <c r="Y311" i="4"/>
  <c r="Y314" i="4"/>
  <c r="Y315" i="4"/>
  <c r="Y320" i="4"/>
  <c r="Y321" i="4"/>
  <c r="Y322" i="4"/>
  <c r="Y347" i="4"/>
  <c r="Y345" i="4"/>
  <c r="Y329" i="4"/>
  <c r="Y334" i="4"/>
  <c r="Y335" i="4"/>
  <c r="Y445" i="4"/>
  <c r="Y346" i="4"/>
  <c r="Y348" i="4"/>
  <c r="Y349" i="4"/>
  <c r="Y350" i="4"/>
  <c r="Y352" i="4"/>
  <c r="Y330" i="4"/>
  <c r="Y331" i="4"/>
  <c r="Y344" i="4"/>
  <c r="Y351" i="4"/>
  <c r="Y332" i="4"/>
  <c r="Y471" i="4"/>
  <c r="Y336" i="4"/>
  <c r="Y337" i="4"/>
  <c r="Y338" i="4"/>
  <c r="Y339" i="4"/>
  <c r="Y340" i="4"/>
  <c r="Y341" i="4"/>
  <c r="Y342" i="4"/>
  <c r="Y343" i="4"/>
  <c r="Y353" i="4"/>
  <c r="Y354" i="4"/>
  <c r="Y355" i="4"/>
  <c r="Y360" i="4"/>
  <c r="Y361" i="4"/>
  <c r="Y362" i="4"/>
  <c r="Y365" i="4"/>
  <c r="Y370" i="4"/>
  <c r="Y371" i="4"/>
  <c r="Y374" i="4"/>
  <c r="Y375" i="4"/>
  <c r="Y376" i="4"/>
  <c r="Y359" i="4"/>
  <c r="Y363" i="4"/>
  <c r="Y364" i="4"/>
  <c r="Y369" i="4"/>
  <c r="Y506" i="4"/>
  <c r="Y496" i="4"/>
  <c r="Y356" i="4"/>
  <c r="Y357" i="4"/>
  <c r="Y358" i="4"/>
  <c r="Y367" i="4"/>
  <c r="Y368" i="4"/>
  <c r="Y366" i="4"/>
  <c r="Y372" i="4"/>
  <c r="Y373" i="4"/>
  <c r="Y384" i="4"/>
  <c r="Y455" i="4"/>
  <c r="Y297" i="4"/>
  <c r="Y425" i="4"/>
  <c r="Y388" i="4"/>
  <c r="Y391" i="4"/>
  <c r="Y392" i="4"/>
  <c r="Y302" i="4"/>
  <c r="Y393" i="4"/>
  <c r="Y377" i="4"/>
  <c r="Y378" i="4"/>
  <c r="Y379" i="4"/>
  <c r="Y381" i="4"/>
  <c r="Y382" i="4"/>
  <c r="Y383" i="4"/>
  <c r="Y385" i="4"/>
  <c r="Y386" i="4"/>
  <c r="Y389" i="4"/>
  <c r="Y390" i="4"/>
  <c r="Y394" i="4"/>
  <c r="Y395" i="4"/>
  <c r="Y402" i="4"/>
  <c r="Y403" i="4"/>
  <c r="Y49" i="4"/>
  <c r="Y408" i="4"/>
  <c r="Y404" i="4"/>
  <c r="Y29" i="4"/>
  <c r="Y405" i="4"/>
  <c r="Y406" i="4"/>
  <c r="Y407" i="4"/>
  <c r="Y417" i="4"/>
  <c r="Y36" i="4"/>
  <c r="Y418" i="4"/>
  <c r="Y419" i="4"/>
  <c r="Y420" i="4"/>
  <c r="Y430" i="4"/>
  <c r="Y431" i="4"/>
  <c r="Y397" i="4"/>
  <c r="Y398" i="4"/>
  <c r="Y396" i="4"/>
  <c r="Y399" i="4"/>
  <c r="Y400" i="4"/>
  <c r="Y401" i="4"/>
  <c r="Y409" i="4"/>
  <c r="Y410" i="4"/>
  <c r="Y414" i="4"/>
  <c r="Y415" i="4"/>
  <c r="Y416" i="4"/>
  <c r="Y421" i="4"/>
  <c r="Y422" i="4"/>
  <c r="Y423" i="4"/>
  <c r="Y424" i="4"/>
  <c r="Y426" i="4"/>
  <c r="Y427" i="4"/>
  <c r="Y428" i="4"/>
  <c r="Y429" i="4"/>
  <c r="Y436" i="4"/>
  <c r="Y433" i="4"/>
  <c r="Y434" i="4"/>
  <c r="Y435" i="4"/>
  <c r="Y438" i="4"/>
  <c r="Y437" i="4"/>
  <c r="Y515" i="4"/>
  <c r="Y439" i="4"/>
  <c r="Y440" i="4"/>
  <c r="Y459" i="4"/>
  <c r="Y463" i="4"/>
  <c r="Y457" i="4"/>
  <c r="Y458" i="4"/>
  <c r="Y30" i="4"/>
  <c r="Y460" i="4"/>
  <c r="Y461" i="4"/>
  <c r="Y9" i="4"/>
  <c r="Y803" i="4"/>
  <c r="Y462" i="4"/>
  <c r="Y441" i="4"/>
  <c r="Y442" i="4"/>
  <c r="Y443" i="4"/>
  <c r="Y444" i="4"/>
  <c r="Y446" i="4"/>
  <c r="Y447" i="4"/>
  <c r="Y448" i="4"/>
  <c r="Y449" i="4"/>
  <c r="Y450" i="4"/>
  <c r="Y451" i="4"/>
  <c r="Y452" i="4"/>
  <c r="Y454" i="4"/>
  <c r="Y456" i="4"/>
  <c r="Y473" i="4"/>
  <c r="Y474" i="4"/>
  <c r="Y476" i="4"/>
  <c r="Y10" i="4"/>
  <c r="Y477" i="4"/>
  <c r="Y114" i="4"/>
  <c r="Y478" i="4"/>
  <c r="Y94" i="4"/>
  <c r="Y479" i="4"/>
  <c r="Y475" i="4"/>
  <c r="Y464" i="4"/>
  <c r="Y466" i="4"/>
  <c r="Y467" i="4"/>
  <c r="Y468" i="4"/>
  <c r="Y469" i="4"/>
  <c r="Y470" i="4"/>
  <c r="Y472" i="4"/>
  <c r="Y488" i="4"/>
  <c r="Y489" i="4"/>
  <c r="Y495" i="4"/>
  <c r="Y499" i="4"/>
  <c r="Y500" i="4"/>
  <c r="Y501" i="4"/>
  <c r="Y480" i="4"/>
  <c r="Y483" i="4"/>
  <c r="Y88" i="4"/>
  <c r="Y485" i="4"/>
  <c r="Y486" i="4"/>
  <c r="Y487" i="4"/>
  <c r="Y490" i="4"/>
  <c r="Y491" i="4"/>
  <c r="Y493" i="4"/>
  <c r="Y494" i="4"/>
  <c r="Y497" i="4"/>
  <c r="Y498" i="4"/>
  <c r="Y211" i="4"/>
  <c r="Y204" i="4"/>
  <c r="Y181" i="4"/>
  <c r="Y502" i="4"/>
  <c r="Y503" i="4"/>
  <c r="Y504" i="4"/>
  <c r="Y505" i="4"/>
  <c r="Y507" i="4"/>
  <c r="Y508" i="4"/>
  <c r="Y511" i="4"/>
  <c r="Y513" i="4"/>
  <c r="Y514" i="4"/>
  <c r="Y517" i="4"/>
  <c r="Y518" i="4"/>
  <c r="Y519" i="4"/>
  <c r="Y525" i="4"/>
  <c r="Y526" i="4"/>
  <c r="Y527" i="4"/>
  <c r="Y521" i="4"/>
  <c r="Y522" i="4"/>
  <c r="Y523" i="4"/>
  <c r="Y524" i="4"/>
  <c r="Y529" i="4"/>
  <c r="Y509" i="4"/>
  <c r="Y510" i="4"/>
  <c r="Y516" i="4"/>
  <c r="Y520" i="4"/>
  <c r="Y528" i="4"/>
  <c r="Y411" i="4"/>
  <c r="Y530" i="4"/>
  <c r="Y532" i="4"/>
  <c r="Y533" i="4"/>
  <c r="Y534" i="4"/>
  <c r="Y535" i="4"/>
  <c r="Y544" i="4"/>
  <c r="Y545" i="4"/>
  <c r="Y546" i="4"/>
  <c r="Y547" i="4"/>
  <c r="Y548" i="4"/>
  <c r="Y549" i="4"/>
  <c r="Y550" i="4"/>
  <c r="Y531" i="4"/>
  <c r="Y537" i="4"/>
  <c r="Y536" i="4"/>
  <c r="Y538" i="4"/>
  <c r="Y539" i="4"/>
  <c r="Y540" i="4"/>
  <c r="Y541" i="4"/>
  <c r="Y542" i="4"/>
  <c r="Y551" i="4"/>
  <c r="Y552" i="4"/>
  <c r="Y553" i="4"/>
  <c r="Y555" i="4"/>
  <c r="Y556" i="4"/>
  <c r="Y543" i="4"/>
  <c r="Y554" i="4"/>
  <c r="Y557" i="4"/>
  <c r="Y558" i="4"/>
  <c r="Y562" i="4"/>
  <c r="Y560" i="4"/>
  <c r="Y561" i="4"/>
  <c r="Y563" i="4"/>
  <c r="Y565" i="4"/>
  <c r="Y566" i="4"/>
  <c r="Y570" i="4"/>
  <c r="Y571" i="4"/>
  <c r="Y575" i="4"/>
  <c r="Y576" i="4"/>
  <c r="Y577" i="4"/>
  <c r="Y578" i="4"/>
  <c r="Y559" i="4"/>
  <c r="Y567" i="4"/>
  <c r="Y568" i="4"/>
  <c r="Y569" i="4"/>
  <c r="Y572" i="4"/>
  <c r="Y573" i="4"/>
  <c r="Y574" i="4"/>
  <c r="Y255" i="4"/>
  <c r="Y579" i="4"/>
  <c r="Y581" i="4"/>
  <c r="Y582" i="4"/>
  <c r="Y583" i="4"/>
  <c r="Y584" i="4"/>
  <c r="Y591" i="4"/>
  <c r="Y592" i="4"/>
  <c r="Y593" i="4"/>
  <c r="Y580" i="4"/>
  <c r="Y585" i="4"/>
  <c r="Y586" i="4"/>
  <c r="Y588" i="4"/>
  <c r="Y589" i="4"/>
  <c r="Y590" i="4"/>
  <c r="Y594" i="4"/>
  <c r="Y596" i="4"/>
  <c r="Y597" i="4"/>
  <c r="Y598" i="4"/>
  <c r="Y587" i="4"/>
  <c r="Y595" i="4"/>
  <c r="Y600" i="4"/>
  <c r="Y603" i="4"/>
  <c r="Y604" i="4"/>
  <c r="Y610" i="4"/>
  <c r="Y613" i="4"/>
  <c r="Y615" i="4"/>
  <c r="Y616" i="4"/>
  <c r="Y618" i="4"/>
  <c r="Y599" i="4"/>
  <c r="Y605" i="4"/>
  <c r="Y606" i="4"/>
  <c r="Y607" i="4"/>
  <c r="Y265" i="4"/>
  <c r="Y608" i="4"/>
  <c r="Y257" i="4"/>
  <c r="Y609" i="4"/>
  <c r="Y611" i="4"/>
  <c r="Y612" i="4"/>
  <c r="Y333" i="4"/>
  <c r="Y617" i="4"/>
  <c r="Y619" i="4"/>
  <c r="Y620" i="4"/>
  <c r="Y621" i="4"/>
  <c r="Y622" i="4"/>
  <c r="Y623" i="4"/>
  <c r="Y624" i="4"/>
  <c r="Y627" i="4"/>
  <c r="Y626" i="4"/>
  <c r="Y628" i="4"/>
  <c r="Y629" i="4"/>
  <c r="Y630" i="4"/>
  <c r="Y625" i="4"/>
  <c r="Y634" i="4"/>
  <c r="Y635" i="4"/>
  <c r="Y636" i="4"/>
  <c r="Y637" i="4"/>
  <c r="Y631" i="4"/>
  <c r="Y632" i="4"/>
  <c r="Y633" i="4"/>
  <c r="Y638" i="4"/>
  <c r="Y639" i="4"/>
  <c r="Y640" i="4"/>
  <c r="Y641" i="4"/>
  <c r="Y642" i="4"/>
  <c r="Y643" i="4"/>
  <c r="Y644" i="4"/>
  <c r="Y647" i="4"/>
  <c r="Y648" i="4"/>
  <c r="Y649" i="4"/>
  <c r="Y650" i="4"/>
  <c r="Y646" i="4"/>
  <c r="Y652" i="4"/>
  <c r="Y653" i="4"/>
  <c r="Y645" i="4"/>
  <c r="Y651" i="4"/>
  <c r="Y655" i="4"/>
  <c r="Y656" i="4"/>
  <c r="Y658" i="4"/>
  <c r="Y660" i="4"/>
  <c r="Y657" i="4"/>
  <c r="Y659" i="4"/>
  <c r="Y654" i="4"/>
  <c r="Y661" i="4"/>
  <c r="Y662" i="4"/>
  <c r="Y664" i="4"/>
  <c r="Y666" i="4"/>
  <c r="Y668" i="4"/>
  <c r="Y665" i="4"/>
  <c r="Y667" i="4"/>
  <c r="Y663" i="4"/>
  <c r="Y669" i="4"/>
  <c r="Y670" i="4"/>
  <c r="Y671" i="4"/>
  <c r="Y672" i="4"/>
  <c r="Y673" i="4"/>
  <c r="Y675" i="4"/>
  <c r="Y676" i="4"/>
  <c r="Y677" i="4"/>
  <c r="Y679" i="4"/>
  <c r="Y680" i="4"/>
  <c r="Y678" i="4"/>
  <c r="Y683" i="4"/>
  <c r="Y682" i="4"/>
  <c r="Y684" i="4"/>
  <c r="Y685" i="4"/>
  <c r="Y687" i="4"/>
  <c r="Y688" i="4"/>
  <c r="Y689" i="4"/>
  <c r="Y690" i="4"/>
  <c r="Y691" i="4"/>
  <c r="Y692" i="4"/>
  <c r="Y693" i="4"/>
  <c r="Y694" i="4"/>
  <c r="Y686" i="4"/>
  <c r="Y695" i="4"/>
  <c r="Y696" i="4"/>
  <c r="Y674" i="4"/>
  <c r="Y699" i="4"/>
  <c r="Y700" i="4"/>
  <c r="Y701" i="4"/>
  <c r="Y697" i="4"/>
  <c r="Y698" i="4"/>
  <c r="Y681" i="4"/>
  <c r="Y702" i="4"/>
  <c r="Y703" i="4"/>
  <c r="Y704" i="4"/>
  <c r="Y706" i="4"/>
  <c r="Y705" i="4"/>
  <c r="Y707" i="4"/>
  <c r="Y708" i="4"/>
  <c r="Y709" i="4"/>
  <c r="Y711" i="4"/>
  <c r="Y712" i="4"/>
  <c r="Y710" i="4"/>
  <c r="Y713" i="4"/>
  <c r="Y714" i="4"/>
  <c r="Y716" i="4"/>
  <c r="Y717" i="4"/>
  <c r="Y718" i="4"/>
  <c r="Y719" i="4"/>
  <c r="Y721" i="4"/>
  <c r="Y722" i="4"/>
  <c r="Y715" i="4"/>
  <c r="Y725" i="4"/>
  <c r="Y724" i="4"/>
  <c r="Y723" i="4"/>
  <c r="Y720" i="4"/>
  <c r="Y731" i="4"/>
  <c r="Y732" i="4"/>
  <c r="Y730" i="4"/>
  <c r="Y726" i="4"/>
  <c r="Y727" i="4"/>
  <c r="Y728" i="4"/>
  <c r="Y729" i="4"/>
  <c r="Y733" i="4"/>
  <c r="Y734" i="4"/>
  <c r="Y736" i="4"/>
  <c r="Y737" i="4"/>
  <c r="Y738" i="4"/>
  <c r="Y739" i="4"/>
  <c r="Y740" i="4"/>
  <c r="Y743" i="4"/>
  <c r="Y744" i="4"/>
  <c r="Y735" i="4"/>
  <c r="Y741" i="4"/>
  <c r="Y742" i="4"/>
  <c r="Y746" i="4"/>
  <c r="Y747" i="4"/>
  <c r="Y749" i="4"/>
  <c r="Y748" i="4"/>
  <c r="Y750" i="4"/>
  <c r="Y751" i="4"/>
  <c r="Y752" i="4"/>
  <c r="Y753" i="4"/>
  <c r="Y745" i="4"/>
  <c r="Y754" i="4"/>
  <c r="Y755" i="4"/>
  <c r="Y757" i="4"/>
  <c r="Y758" i="4"/>
  <c r="Y756" i="4"/>
  <c r="Y761" i="4"/>
  <c r="Y762" i="4"/>
  <c r="Y763" i="4"/>
  <c r="Y759" i="4"/>
  <c r="Y764" i="4"/>
  <c r="Y765" i="4"/>
  <c r="Y760" i="4"/>
  <c r="Y768" i="4"/>
  <c r="Y770" i="4"/>
  <c r="Y769" i="4"/>
  <c r="Y771" i="4"/>
  <c r="Y772" i="4"/>
  <c r="Y773" i="4"/>
  <c r="Y774" i="4"/>
  <c r="Y776" i="4"/>
  <c r="Y767" i="4"/>
  <c r="Y766" i="4"/>
  <c r="Y778" i="4"/>
  <c r="Y779" i="4"/>
  <c r="Y780" i="4"/>
  <c r="Y782" i="4"/>
  <c r="Y783" i="4"/>
  <c r="Y775" i="4"/>
  <c r="Y777" i="4"/>
  <c r="Y781" i="4"/>
  <c r="Y784" i="4"/>
  <c r="Y785" i="4"/>
  <c r="Y786" i="4"/>
  <c r="Y787" i="4"/>
  <c r="Y788" i="4"/>
  <c r="Y789" i="4"/>
  <c r="Y790" i="4"/>
  <c r="Y792" i="4"/>
  <c r="Y791" i="4"/>
  <c r="Y793" i="4"/>
  <c r="Y794" i="4"/>
  <c r="Y796" i="4"/>
  <c r="Y797" i="4"/>
  <c r="Y798" i="4"/>
  <c r="Y795" i="4"/>
  <c r="Y802" i="4"/>
  <c r="Y804" i="4"/>
  <c r="Y807" i="4"/>
  <c r="Y799" i="4"/>
  <c r="Y800" i="4"/>
  <c r="Y387" i="4"/>
  <c r="Y801" i="4"/>
  <c r="Y805" i="4"/>
  <c r="Y806" i="4"/>
  <c r="Y80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Minh Thao</author>
  </authors>
  <commentList>
    <comment ref="H1" authorId="0" shapeId="0" xr:uid="{199B7C46-D3AB-469B-BBAB-3E20D8359D62}">
      <text>
        <r>
          <rPr>
            <b/>
            <sz val="9"/>
            <color indexed="81"/>
            <rFont val="Tahoma"/>
            <family val="2"/>
          </rPr>
          <t>Hoang Minh Thao:</t>
        </r>
        <r>
          <rPr>
            <sz val="9"/>
            <color indexed="81"/>
            <rFont val="Tahoma"/>
            <family val="2"/>
          </rPr>
          <t xml:space="preserve">
RRU: Single/Dual/8T
Sector: Quantity</t>
        </r>
      </text>
    </comment>
    <comment ref="I1" authorId="0" shapeId="0" xr:uid="{ACCC6CF9-B7F2-44BD-A8AC-462A82BA6863}">
      <text>
        <r>
          <rPr>
            <b/>
            <sz val="9"/>
            <color indexed="81"/>
            <rFont val="Tahoma"/>
            <family val="2"/>
          </rPr>
          <t>Hoang Minh Thao:</t>
        </r>
        <r>
          <rPr>
            <sz val="9"/>
            <color indexed="81"/>
            <rFont val="Tahoma"/>
            <family val="2"/>
          </rPr>
          <t xml:space="preserve">
RRU: Single/Dual/8T
Sector: Quantity</t>
        </r>
      </text>
    </comment>
  </commentList>
</comments>
</file>

<file path=xl/sharedStrings.xml><?xml version="1.0" encoding="utf-8"?>
<sst xmlns="http://schemas.openxmlformats.org/spreadsheetml/2006/main" count="17718" uniqueCount="1123">
  <si>
    <t>Region</t>
  </si>
  <si>
    <t>PO</t>
  </si>
  <si>
    <t>New Province</t>
  </si>
  <si>
    <t>Old Province</t>
  </si>
  <si>
    <t>Physcial Site Name</t>
    <phoneticPr fontId="5" type="noConversion"/>
  </si>
  <si>
    <t>Main site Name</t>
    <phoneticPr fontId="5" type="noConversion"/>
  </si>
  <si>
    <t>4G Site Type</t>
    <phoneticPr fontId="5" type="noConversion"/>
  </si>
  <si>
    <t>4G Target Config from MBF (RRU Model)</t>
  </si>
  <si>
    <t>4G Target Config from MBF (Total Sector)</t>
  </si>
  <si>
    <t>5G Site Type</t>
  </si>
  <si>
    <t>5G Zone</t>
  </si>
  <si>
    <t>District</t>
  </si>
  <si>
    <t>Deliver Month</t>
  </si>
  <si>
    <t>Target network</t>
  </si>
  <si>
    <t>isOutdoor</t>
    <phoneticPr fontId="5" type="noConversion"/>
  </si>
  <si>
    <t>New Remark</t>
  </si>
  <si>
    <t>TAC_EP</t>
    <phoneticPr fontId="5" type="noConversion"/>
  </si>
  <si>
    <t>计划改cran</t>
    <phoneticPr fontId="5" type="noConversion"/>
  </si>
  <si>
    <t>PLAN_Site Type</t>
    <phoneticPr fontId="5" type="noConversion"/>
  </si>
  <si>
    <t>Master/Sub</t>
    <phoneticPr fontId="5" type="noConversion"/>
  </si>
  <si>
    <t>South</t>
  </si>
  <si>
    <t>PO2_South1</t>
  </si>
  <si>
    <t>Đồng Tháp</t>
  </si>
  <si>
    <t>Tiền Giang</t>
  </si>
  <si>
    <t>TGGD02</t>
    <phoneticPr fontId="5" type="noConversion"/>
  </si>
  <si>
    <t>TGGD02</t>
  </si>
  <si>
    <t>Swap</t>
  </si>
  <si>
    <t>Single-Band</t>
  </si>
  <si>
    <t>Go Cong Dong</t>
  </si>
  <si>
    <t>Month 2</t>
  </si>
  <si>
    <t>Swap_L18</t>
  </si>
  <si>
    <t>Outdoor</t>
  </si>
  <si>
    <t>Swap_Month 2</t>
  </si>
  <si>
    <t>Macro</t>
  </si>
  <si>
    <t>S1_CL01</t>
  </si>
  <si>
    <t>TGGD10</t>
  </si>
  <si>
    <t>Dual-band</t>
  </si>
  <si>
    <t>New</t>
  </si>
  <si>
    <t>PS mới 5G C</t>
  </si>
  <si>
    <t>Swap_L18 + L21 + NR 2.6 32T</t>
  </si>
  <si>
    <t>TGGD12</t>
  </si>
  <si>
    <t>Swap_L18 + NR 2.6 32T</t>
  </si>
  <si>
    <t>Master</t>
    <phoneticPr fontId="5" type="noConversion"/>
  </si>
  <si>
    <t>TGGD20</t>
  </si>
  <si>
    <t>TGGD21</t>
  </si>
  <si>
    <t>TGCB31</t>
  </si>
  <si>
    <t>Cai Be</t>
  </si>
  <si>
    <t>Swap_0</t>
  </si>
  <si>
    <t>S1_CL29</t>
  </si>
  <si>
    <t>OK</t>
  </si>
  <si>
    <t>CRAN</t>
    <phoneticPr fontId="5" type="noConversion"/>
  </si>
  <si>
    <t>TGCB74</t>
  </si>
  <si>
    <t>Sub</t>
    <phoneticPr fontId="5" type="noConversion"/>
  </si>
  <si>
    <t>TGCB35</t>
  </si>
  <si>
    <t>TGCB15</t>
  </si>
  <si>
    <t>TGGD38</t>
  </si>
  <si>
    <t>TGGD42</t>
  </si>
  <si>
    <t>TGGD47</t>
  </si>
  <si>
    <t>TGGD51</t>
  </si>
  <si>
    <t>TGGD15</t>
  </si>
  <si>
    <t>Swap_L18 + NR 7 + L9</t>
  </si>
  <si>
    <t>TGGDX0</t>
    <phoneticPr fontId="5" type="noConversion"/>
  </si>
  <si>
    <t>TGGD08</t>
  </si>
  <si>
    <t>CRAN</t>
  </si>
  <si>
    <t>TGGD11</t>
    <phoneticPr fontId="5" type="noConversion"/>
  </si>
  <si>
    <t>TGGD11</t>
  </si>
  <si>
    <t>TGGD41</t>
    <phoneticPr fontId="5" type="noConversion"/>
  </si>
  <si>
    <t>TGGD17</t>
  </si>
  <si>
    <t>TGGD46</t>
    <phoneticPr fontId="5" type="noConversion"/>
  </si>
  <si>
    <t>TGGD01</t>
  </si>
  <si>
    <t>S1_CL02</t>
  </si>
  <si>
    <t>TGCB45</t>
  </si>
  <si>
    <t>TGGD05</t>
  </si>
  <si>
    <t>TGGD06</t>
  </si>
  <si>
    <t>TGCB63</t>
  </si>
  <si>
    <t>S1_CL27</t>
  </si>
  <si>
    <t>TGCB10</t>
  </si>
  <si>
    <t>TGGD14</t>
  </si>
  <si>
    <t>TGCG13</t>
  </si>
  <si>
    <t>Cho Gao</t>
  </si>
  <si>
    <t>S1_CL09</t>
  </si>
  <si>
    <t>TGCG17</t>
  </si>
  <si>
    <t>TGGD24</t>
  </si>
  <si>
    <t>TGGD34</t>
  </si>
  <si>
    <t>TGGD35</t>
  </si>
  <si>
    <t>TGGD50</t>
    <phoneticPr fontId="5" type="noConversion"/>
  </si>
  <si>
    <t>TGGD50</t>
  </si>
  <si>
    <t>TGGD07</t>
    <phoneticPr fontId="5" type="noConversion"/>
  </si>
  <si>
    <t>TGGD16</t>
  </si>
  <si>
    <t>TGGD03</t>
    <phoneticPr fontId="5" type="noConversion"/>
  </si>
  <si>
    <t>TGGD28</t>
  </si>
  <si>
    <t>TGGD29</t>
  </si>
  <si>
    <t>TGGD30</t>
  </si>
  <si>
    <t>TGGD44</t>
    <phoneticPr fontId="5" type="noConversion"/>
  </si>
  <si>
    <t>TGGD33</t>
  </si>
  <si>
    <t>TGGD37</t>
  </si>
  <si>
    <t>TGGC01</t>
  </si>
  <si>
    <t>PS mới 5G A</t>
  </si>
  <si>
    <t>Go Cong</t>
  </si>
  <si>
    <t>S1_CL03</t>
  </si>
  <si>
    <t>TGGC04</t>
  </si>
  <si>
    <t>TGGC07</t>
  </si>
  <si>
    <t>TGGC08</t>
  </si>
  <si>
    <t>TGGC12</t>
  </si>
  <si>
    <t>TGGC17</t>
  </si>
  <si>
    <t>TGGC20</t>
  </si>
  <si>
    <t>TGGC21</t>
  </si>
  <si>
    <t>TGGC26</t>
  </si>
  <si>
    <t>TGGC27</t>
  </si>
  <si>
    <t>Swap_L18 + L21</t>
  </si>
  <si>
    <t>TGCG34</t>
  </si>
  <si>
    <t>S1_CL08</t>
  </si>
  <si>
    <t>TGCG52</t>
  </si>
  <si>
    <t>TGGC29</t>
  </si>
  <si>
    <t>TGGC33</t>
  </si>
  <si>
    <t>TGGC35</t>
    <phoneticPr fontId="5" type="noConversion"/>
  </si>
  <si>
    <t>TGGC35</t>
  </si>
  <si>
    <t>TGGC02</t>
    <phoneticPr fontId="5" type="noConversion"/>
  </si>
  <si>
    <t>TGGC03</t>
  </si>
  <si>
    <t>TGGD40</t>
    <phoneticPr fontId="5" type="noConversion"/>
  </si>
  <si>
    <t>S1_CL03</t>
    <phoneticPr fontId="5" type="noConversion"/>
  </si>
  <si>
    <t>TGGC09</t>
  </si>
  <si>
    <t>TGGC13</t>
  </si>
  <si>
    <t>TGGC11</t>
  </si>
  <si>
    <t>TGGC24</t>
  </si>
  <si>
    <t>TGGC15</t>
  </si>
  <si>
    <t>TGGC19</t>
  </si>
  <si>
    <t>TGGT03</t>
  </si>
  <si>
    <t>Go Cong Tay</t>
  </si>
  <si>
    <t>S1_CL04</t>
  </si>
  <si>
    <t>TGGT06</t>
  </si>
  <si>
    <t>TGGT13</t>
  </si>
  <si>
    <t>TGGT30</t>
  </si>
  <si>
    <t>TGGT31</t>
  </si>
  <si>
    <t>TGGT33</t>
    <phoneticPr fontId="5" type="noConversion"/>
  </si>
  <si>
    <t>TGGT33</t>
  </si>
  <si>
    <t>TGCG57</t>
  </si>
  <si>
    <t>TGGC10</t>
  </si>
  <si>
    <t>TGGC16</t>
  </si>
  <si>
    <t>TGGC18</t>
  </si>
  <si>
    <t>TGGC23</t>
  </si>
  <si>
    <t>TGGC30</t>
  </si>
  <si>
    <t>TGGC14</t>
  </si>
  <si>
    <t>TGGC06</t>
  </si>
  <si>
    <t>TGGC32</t>
  </si>
  <si>
    <t>TGGC05</t>
  </si>
  <si>
    <t>TGGC34</t>
  </si>
  <si>
    <t>TGGT19</t>
  </si>
  <si>
    <t>TGGT42</t>
  </si>
  <si>
    <t>TGGT48</t>
  </si>
  <si>
    <t>TGGT02</t>
  </si>
  <si>
    <t>S1_CL05</t>
  </si>
  <si>
    <t>TGGT09</t>
  </si>
  <si>
    <t>TGGT10</t>
  </si>
  <si>
    <t>TGGT15</t>
  </si>
  <si>
    <t>TGGT17</t>
  </si>
  <si>
    <t>TGGT26</t>
  </si>
  <si>
    <t>TGGT36</t>
  </si>
  <si>
    <t>TGGT39</t>
  </si>
  <si>
    <t>TGGT18</t>
  </si>
  <si>
    <t>TGGT44</t>
  </si>
  <si>
    <t>TGGT11</t>
  </si>
  <si>
    <t>TGGT40</t>
  </si>
  <si>
    <t>TGGT38</t>
  </si>
  <si>
    <t>TGGT47</t>
  </si>
  <si>
    <t>TGGT01</t>
    <phoneticPr fontId="5" type="noConversion"/>
  </si>
  <si>
    <t>TGGT01</t>
  </si>
  <si>
    <t>S1_CL06</t>
  </si>
  <si>
    <t>TGGT04</t>
  </si>
  <si>
    <t>Swap_L18 + L21 + NR 7 + L9</t>
  </si>
  <si>
    <t>TGGT05</t>
  </si>
  <si>
    <t>TGGT07</t>
  </si>
  <si>
    <t>TGCL69</t>
  </si>
  <si>
    <t>Cai Lay</t>
  </si>
  <si>
    <t>S1_CL24</t>
  </si>
  <si>
    <t>TGCL03</t>
  </si>
  <si>
    <t>TGGT14</t>
  </si>
  <si>
    <t>TGCL70</t>
  </si>
  <si>
    <t>S1_CL24</t>
    <phoneticPr fontId="5" type="noConversion"/>
  </si>
  <si>
    <t>TGCL41</t>
  </si>
  <si>
    <t>TGGT22</t>
  </si>
  <si>
    <t>TGGT24</t>
  </si>
  <si>
    <t>TGGT27</t>
  </si>
  <si>
    <t>TGGT32</t>
    <phoneticPr fontId="5" type="noConversion"/>
  </si>
  <si>
    <t>TGGT32</t>
  </si>
  <si>
    <t>S1_CL06</t>
    <phoneticPr fontId="5" type="noConversion"/>
  </si>
  <si>
    <t>TGGT37</t>
  </si>
  <si>
    <t>TGGT46</t>
  </si>
  <si>
    <t>TGGT50</t>
  </si>
  <si>
    <t>TGGT08</t>
  </si>
  <si>
    <t>TGGT21</t>
  </si>
  <si>
    <t>TGGT20</t>
  </si>
  <si>
    <t>TGGT29</t>
  </si>
  <si>
    <t>TGGT45</t>
  </si>
  <si>
    <t>TGGT23</t>
  </si>
  <si>
    <t>TGGT25</t>
  </si>
  <si>
    <t>TGGT28</t>
  </si>
  <si>
    <t>TGCG01</t>
  </si>
  <si>
    <t>S1_CL07</t>
  </si>
  <si>
    <t>TGCG03</t>
  </si>
  <si>
    <t>TGCG04</t>
  </si>
  <si>
    <t>TGCG11</t>
    <phoneticPr fontId="5" type="noConversion"/>
  </si>
  <si>
    <t>TGCG11</t>
  </si>
  <si>
    <t>S1_CL07</t>
    <phoneticPr fontId="5" type="noConversion"/>
  </si>
  <si>
    <t>TGCG14</t>
  </si>
  <si>
    <t>TGCG49</t>
  </si>
  <si>
    <t>TGCG20</t>
  </si>
  <si>
    <t>TGCG24</t>
  </si>
  <si>
    <t>TGCG27</t>
  </si>
  <si>
    <t>TGCG29</t>
  </si>
  <si>
    <t>TGCG33</t>
  </si>
  <si>
    <t>TGCG50</t>
  </si>
  <si>
    <t>TGCG35</t>
  </si>
  <si>
    <t>TGCG38</t>
  </si>
  <si>
    <t>TGCG41</t>
  </si>
  <si>
    <t>TGCG43</t>
  </si>
  <si>
    <t>TGCG45</t>
  </si>
  <si>
    <t>TGCG48</t>
  </si>
  <si>
    <t>TGCG54</t>
  </si>
  <si>
    <t>TGCG59</t>
  </si>
  <si>
    <t>TGCG06</t>
    <phoneticPr fontId="5" type="noConversion"/>
  </si>
  <si>
    <t>TGCG06</t>
  </si>
  <si>
    <t>TGCG18</t>
  </si>
  <si>
    <t>TGCG37</t>
    <phoneticPr fontId="5" type="noConversion"/>
  </si>
  <si>
    <t>TGCG61</t>
  </si>
  <si>
    <t>TGCG32</t>
  </si>
  <si>
    <t>S1_CL08</t>
    <phoneticPr fontId="5" type="noConversion"/>
  </si>
  <si>
    <t>TGCG05</t>
  </si>
  <si>
    <t>TGCG10</t>
  </si>
  <si>
    <t>TGCG21</t>
  </si>
  <si>
    <t>TGCG22</t>
  </si>
  <si>
    <t>TGCG23</t>
  </si>
  <si>
    <t>TGCG25</t>
  </si>
  <si>
    <t>TGCG26</t>
  </si>
  <si>
    <t>TGCL79</t>
  </si>
  <si>
    <t>TGCL04</t>
  </si>
  <si>
    <t>TGCG36</t>
  </si>
  <si>
    <t>TGCG40</t>
  </si>
  <si>
    <t>TGCG42</t>
  </si>
  <si>
    <t>TGCG51</t>
  </si>
  <si>
    <t>TGCG56</t>
  </si>
  <si>
    <t>TGCL80</t>
  </si>
  <si>
    <t>S1_CL25</t>
  </si>
  <si>
    <t>TGCL20</t>
  </si>
  <si>
    <t>TGCG60</t>
  </si>
  <si>
    <t>TGCG64</t>
  </si>
  <si>
    <t>TGCG19</t>
  </si>
  <si>
    <t>TGCGX1</t>
    <phoneticPr fontId="5" type="noConversion"/>
  </si>
  <si>
    <t>TGCG62</t>
  </si>
  <si>
    <t>TGMT30</t>
  </si>
  <si>
    <t>TGCG02</t>
  </si>
  <si>
    <t>TGCG09</t>
  </si>
  <si>
    <t>TGCL81</t>
  </si>
  <si>
    <t>TGCG15</t>
  </si>
  <si>
    <t>TGCG16</t>
  </si>
  <si>
    <t>TGCG28</t>
  </si>
  <si>
    <t>TGCG31</t>
  </si>
  <si>
    <t>TGCG44</t>
  </si>
  <si>
    <t>TGCG46</t>
  </si>
  <si>
    <t>TGCG55</t>
  </si>
  <si>
    <t>TGCG30</t>
  </si>
  <si>
    <t>TGCG39</t>
  </si>
  <si>
    <t>TGCG53</t>
  </si>
  <si>
    <t>TGCG63</t>
  </si>
  <si>
    <t>TGCGX0</t>
  </si>
  <si>
    <t>TGCT53</t>
  </si>
  <si>
    <t>TGCG58</t>
    <phoneticPr fontId="5" type="noConversion"/>
  </si>
  <si>
    <t>TGMT81</t>
  </si>
  <si>
    <t>TGMT78</t>
  </si>
  <si>
    <t>Swap (PS mới 5G B)</t>
  </si>
  <si>
    <t>My Tho</t>
  </si>
  <si>
    <t>Swap_L18 + L21 + NR 2.6 64T + NR 3.8</t>
  </si>
  <si>
    <t>S1_CL10</t>
  </si>
  <si>
    <t>TGCG12</t>
  </si>
  <si>
    <t>TGMT15</t>
  </si>
  <si>
    <t>PS mới 5G B+</t>
  </si>
  <si>
    <t>TGMT35</t>
  </si>
  <si>
    <t>TGCT15</t>
  </si>
  <si>
    <t>Chau Thanh</t>
  </si>
  <si>
    <t>S1_CL20</t>
  </si>
  <si>
    <t>TGCT50</t>
  </si>
  <si>
    <t>TGMT43</t>
  </si>
  <si>
    <t>PS mới 5G B</t>
  </si>
  <si>
    <t>TGMT56</t>
  </si>
  <si>
    <t>TGMT57</t>
  </si>
  <si>
    <t>TGMT74</t>
  </si>
  <si>
    <t>TGCT22</t>
  </si>
  <si>
    <t>S1_CL19</t>
  </si>
  <si>
    <t>TGCT17</t>
  </si>
  <si>
    <t>TGMT30</t>
    <phoneticPr fontId="5" type="noConversion"/>
  </si>
  <si>
    <t>S1_CL10</t>
    <phoneticPr fontId="5" type="noConversion"/>
  </si>
  <si>
    <t>TGMT41</t>
  </si>
  <si>
    <t>TGMT86</t>
  </si>
  <si>
    <t>TGMT79</t>
    <phoneticPr fontId="5" type="noConversion"/>
  </si>
  <si>
    <t>TGMT09</t>
    <phoneticPr fontId="5" type="noConversion"/>
  </si>
  <si>
    <t>TGMT09</t>
  </si>
  <si>
    <t>S1_CL11</t>
    <phoneticPr fontId="5" type="noConversion"/>
  </si>
  <si>
    <t>TGCT25</t>
  </si>
  <si>
    <t>S1_CL20</t>
    <phoneticPr fontId="5" type="noConversion"/>
  </si>
  <si>
    <t>TGMT58</t>
  </si>
  <si>
    <t>TGMTP2</t>
  </si>
  <si>
    <t>S1_CL11</t>
  </si>
  <si>
    <t>TGMT07</t>
  </si>
  <si>
    <t>TGMT51</t>
  </si>
  <si>
    <t>Swap_L18 + NR 2.6 64T + NR 3.8</t>
  </si>
  <si>
    <t>TGMT14</t>
  </si>
  <si>
    <t>done</t>
    <phoneticPr fontId="5" type="noConversion"/>
  </si>
  <si>
    <t>TGMT01</t>
  </si>
  <si>
    <t>TGMT36</t>
  </si>
  <si>
    <t>TGMT38</t>
  </si>
  <si>
    <t>TGMT40</t>
  </si>
  <si>
    <t>Swap_L18 + NR 2.6 64T</t>
  </si>
  <si>
    <t>TGMT49</t>
  </si>
  <si>
    <t>TGMT53</t>
  </si>
  <si>
    <t>TGMT83</t>
  </si>
  <si>
    <t>TGMT45</t>
  </si>
  <si>
    <t>TGMT10</t>
  </si>
  <si>
    <t>TGMT61</t>
  </si>
  <si>
    <t>TGMT13</t>
  </si>
  <si>
    <t>TGMTX0</t>
  </si>
  <si>
    <t>TGMT32</t>
  </si>
  <si>
    <t>TGMTP1</t>
  </si>
  <si>
    <t>TGMT52</t>
  </si>
  <si>
    <t>TGMT76</t>
    <phoneticPr fontId="5" type="noConversion"/>
  </si>
  <si>
    <t>TGMT08</t>
  </si>
  <si>
    <t>S1_CL12</t>
  </si>
  <si>
    <t>TGMT02</t>
  </si>
  <si>
    <t>TGMT05</t>
  </si>
  <si>
    <t>TGMT11</t>
  </si>
  <si>
    <t>TGMT12</t>
  </si>
  <si>
    <t>TGMT20</t>
  </si>
  <si>
    <t>TGMT29</t>
  </si>
  <si>
    <t>TGMT42</t>
  </si>
  <si>
    <t>TGMT62</t>
  </si>
  <si>
    <t>TGMT70</t>
  </si>
  <si>
    <t>TGMT47</t>
  </si>
  <si>
    <t>TGMT04</t>
    <phoneticPr fontId="5" type="noConversion"/>
  </si>
  <si>
    <t>TGMT04</t>
  </si>
  <si>
    <t>S1_CL12</t>
    <phoneticPr fontId="5" type="noConversion"/>
  </si>
  <si>
    <t>TGMT21</t>
  </si>
  <si>
    <t>TGMT22</t>
  </si>
  <si>
    <t>TGMT25</t>
  </si>
  <si>
    <t>TGMT28</t>
  </si>
  <si>
    <t>TGMT48</t>
  </si>
  <si>
    <t>TGMT63</t>
  </si>
  <si>
    <t>TGMT67</t>
  </si>
  <si>
    <t>TGMT16</t>
  </si>
  <si>
    <t>TGMT44</t>
  </si>
  <si>
    <t>TGMT73</t>
  </si>
  <si>
    <t>TGMT06</t>
  </si>
  <si>
    <t>TGMT19</t>
  </si>
  <si>
    <t>TGMT68</t>
    <phoneticPr fontId="5" type="noConversion"/>
  </si>
  <si>
    <t>TGMT23</t>
    <phoneticPr fontId="5" type="noConversion"/>
  </si>
  <si>
    <t>TGMT24</t>
  </si>
  <si>
    <t>TGMT54</t>
  </si>
  <si>
    <t>TGMT27</t>
  </si>
  <si>
    <t>TGMT87</t>
  </si>
  <si>
    <t>TGTD02</t>
  </si>
  <si>
    <t>Tan Phu Dong</t>
  </si>
  <si>
    <t>S1_CL13</t>
  </si>
  <si>
    <t>TGTD03</t>
  </si>
  <si>
    <t>TGTD04</t>
  </si>
  <si>
    <t>TGTD05</t>
  </si>
  <si>
    <t>TGTD07</t>
  </si>
  <si>
    <t>TGTD08</t>
  </si>
  <si>
    <t>TGTD09</t>
  </si>
  <si>
    <t>TGCT35</t>
  </si>
  <si>
    <t>TGCT05</t>
  </si>
  <si>
    <t>TGTD13</t>
  </si>
  <si>
    <t>TGCT38</t>
    <phoneticPr fontId="5" type="noConversion"/>
  </si>
  <si>
    <t>S1_CL16</t>
  </si>
  <si>
    <t>TGCT21</t>
  </si>
  <si>
    <t>TGCT40</t>
  </si>
  <si>
    <t>TGCT62</t>
  </si>
  <si>
    <t>TGTD17</t>
  </si>
  <si>
    <t>TGTD19</t>
  </si>
  <si>
    <t>TGTD24</t>
  </si>
  <si>
    <t>TGTD01</t>
  </si>
  <si>
    <t>TGTD12</t>
  </si>
  <si>
    <t>TGTD06</t>
  </si>
  <si>
    <t>TGTD18</t>
  </si>
  <si>
    <t>TGTD11</t>
  </si>
  <si>
    <t>TGTD21</t>
  </si>
  <si>
    <t>TGMT18</t>
  </si>
  <si>
    <t>S1_CL14</t>
  </si>
  <si>
    <t>TGMT72</t>
  </si>
  <si>
    <t>TGMT26</t>
  </si>
  <si>
    <t>TGMT31</t>
  </si>
  <si>
    <t>TGMT37</t>
  </si>
  <si>
    <t>TGMT46</t>
  </si>
  <si>
    <t>TGMT50</t>
  </si>
  <si>
    <t>TGMT69</t>
  </si>
  <si>
    <t>TGMT75</t>
  </si>
  <si>
    <t>TGCT63</t>
  </si>
  <si>
    <t>TGCL21</t>
  </si>
  <si>
    <t>TGMT84</t>
  </si>
  <si>
    <t>TGMT85</t>
  </si>
  <si>
    <t>TGMT03</t>
  </si>
  <si>
    <t>S1_CL14</t>
    <phoneticPr fontId="5" type="noConversion"/>
  </si>
  <si>
    <t>TGMT88</t>
  </si>
  <si>
    <t>TGMT33</t>
  </si>
  <si>
    <t>TGMT71</t>
  </si>
  <si>
    <t>TGMT34</t>
  </si>
  <si>
    <t>TGMT89</t>
  </si>
  <si>
    <t>TGCT10</t>
  </si>
  <si>
    <t>Swap (PS mới 5G A)</t>
  </si>
  <si>
    <t>S1_CL15</t>
    <phoneticPr fontId="5" type="noConversion"/>
  </si>
  <si>
    <t>TGCT66</t>
  </si>
  <si>
    <t>S1_CL15</t>
  </si>
  <si>
    <t>TGCT18</t>
  </si>
  <si>
    <t>TGCT27</t>
  </si>
  <si>
    <t>TGCT31</t>
  </si>
  <si>
    <t>TGCT34</t>
  </si>
  <si>
    <t>TGCT52</t>
  </si>
  <si>
    <t>TGCT13</t>
  </si>
  <si>
    <t>TGCT61</t>
  </si>
  <si>
    <t>TGCT53</t>
    <phoneticPr fontId="5" type="noConversion"/>
  </si>
  <si>
    <t>TGMTX1</t>
    <phoneticPr fontId="5" type="noConversion"/>
  </si>
  <si>
    <t>TGMT80</t>
  </si>
  <si>
    <t>TGCT58</t>
    <phoneticPr fontId="5" type="noConversion"/>
  </si>
  <si>
    <t>TGMT55</t>
  </si>
  <si>
    <t>TGMT80</t>
    <phoneticPr fontId="5" type="noConversion"/>
  </si>
  <si>
    <t>TGCT46</t>
  </si>
  <si>
    <t>TGCT78</t>
  </si>
  <si>
    <t>TGCT77</t>
  </si>
  <si>
    <t>TGCT30</t>
  </si>
  <si>
    <t>TGCT76</t>
  </si>
  <si>
    <t>TGCT19</t>
  </si>
  <si>
    <t>TGCY15</t>
  </si>
  <si>
    <t>TX Cai Lay</t>
  </si>
  <si>
    <t>S1_CL23</t>
    <phoneticPr fontId="5" type="noConversion"/>
  </si>
  <si>
    <t>TGCT28</t>
  </si>
  <si>
    <t>TGCT47</t>
  </si>
  <si>
    <t>TGCT54</t>
  </si>
  <si>
    <t>TGCT64</t>
  </si>
  <si>
    <t>TGCT65</t>
  </si>
  <si>
    <t>TGCY19</t>
  </si>
  <si>
    <t>S1_CL23</t>
  </si>
  <si>
    <t>TGCY09</t>
  </si>
  <si>
    <t>TGCT11</t>
  </si>
  <si>
    <t>TGCTX4</t>
  </si>
  <si>
    <t>TGCTX5</t>
  </si>
  <si>
    <t>TGCT12</t>
  </si>
  <si>
    <t>TGCT55</t>
  </si>
  <si>
    <t>TGCTX0</t>
  </si>
  <si>
    <t>TGCT23</t>
  </si>
  <si>
    <t>TGCT83</t>
  </si>
  <si>
    <t>TGCT57</t>
  </si>
  <si>
    <t>TGCT75</t>
  </si>
  <si>
    <t>TGCT79</t>
  </si>
  <si>
    <t>TGTP36</t>
  </si>
  <si>
    <t>Tan Phuoc</t>
  </si>
  <si>
    <t>S1_CL17</t>
  </si>
  <si>
    <t>TGTP34</t>
  </si>
  <si>
    <t>TGTP05</t>
  </si>
  <si>
    <t>TGTP13</t>
  </si>
  <si>
    <t>TGTP20</t>
  </si>
  <si>
    <t>TGCY20</t>
  </si>
  <si>
    <t>S1_CL22</t>
  </si>
  <si>
    <t>TGCY05</t>
  </si>
  <si>
    <t>TGTP35</t>
  </si>
  <si>
    <t>TGTP37</t>
  </si>
  <si>
    <t>TGTP38</t>
  </si>
  <si>
    <t>TGTP39</t>
  </si>
  <si>
    <t>TGTP47</t>
  </si>
  <si>
    <t>TGTP06</t>
  </si>
  <si>
    <t>TGTP09</t>
  </si>
  <si>
    <t>TGTP33</t>
  </si>
  <si>
    <t>TGTP40</t>
  </si>
  <si>
    <t>TGTP10</t>
  </si>
  <si>
    <t>TGCY38</t>
  </si>
  <si>
    <t>TGCY03</t>
  </si>
  <si>
    <t>TGCTX2</t>
    <phoneticPr fontId="5" type="noConversion"/>
  </si>
  <si>
    <t>TGTP23</t>
  </si>
  <si>
    <t>S1_CL17</t>
    <phoneticPr fontId="5" type="noConversion"/>
  </si>
  <si>
    <t>TGTP24</t>
  </si>
  <si>
    <t>TGTPX0</t>
  </si>
  <si>
    <t>TGTP27</t>
  </si>
  <si>
    <t>TGTP31</t>
  </si>
  <si>
    <t>TGTP29</t>
  </si>
  <si>
    <t>TGTP49</t>
  </si>
  <si>
    <t>TGTP01</t>
  </si>
  <si>
    <t>S1_CL18</t>
  </si>
  <si>
    <t>TGTP02</t>
  </si>
  <si>
    <t>TGTP03</t>
  </si>
  <si>
    <t>TGTP11</t>
  </si>
  <si>
    <t>TGTP12</t>
  </si>
  <si>
    <t>TGTP15</t>
  </si>
  <si>
    <t>TGTP18</t>
  </si>
  <si>
    <t>TGTP28</t>
  </si>
  <si>
    <t>TGTP30</t>
  </si>
  <si>
    <t>TGTP42</t>
  </si>
  <si>
    <t>TGTP43</t>
  </si>
  <si>
    <t>TGTP48</t>
  </si>
  <si>
    <t>TGTP08</t>
  </si>
  <si>
    <t>TGTP16</t>
    <phoneticPr fontId="5" type="noConversion"/>
  </si>
  <si>
    <t>TGTP16</t>
  </si>
  <si>
    <t>S1_CL18</t>
    <phoneticPr fontId="5" type="noConversion"/>
  </si>
  <si>
    <t>TGTP17</t>
  </si>
  <si>
    <t>TGTP21</t>
  </si>
  <si>
    <t>Dong Thap</t>
  </si>
  <si>
    <t>DTPTP207</t>
    <phoneticPr fontId="5" type="noConversion"/>
  </si>
  <si>
    <t>TGTP22</t>
  </si>
  <si>
    <t>Tân Phước</t>
  </si>
  <si>
    <t>Swap 4G only</t>
  </si>
  <si>
    <t>TGTP22</t>
    <phoneticPr fontId="5" type="noConversion"/>
  </si>
  <si>
    <t>TGCL46</t>
  </si>
  <si>
    <t>TGTP04</t>
  </si>
  <si>
    <t>TGTP45</t>
  </si>
  <si>
    <t>TGTP46</t>
  </si>
  <si>
    <t>TGTP07</t>
  </si>
  <si>
    <t>TGTP19</t>
  </si>
  <si>
    <t>DTPTP112</t>
    <phoneticPr fontId="5" type="noConversion"/>
  </si>
  <si>
    <t>TGTP14</t>
  </si>
  <si>
    <t>TGTP41</t>
  </si>
  <si>
    <t>TGCT07</t>
  </si>
  <si>
    <t>TGCY39</t>
  </si>
  <si>
    <t>TGCT33</t>
  </si>
  <si>
    <t>TGCY41</t>
  </si>
  <si>
    <t>TGCL06</t>
  </si>
  <si>
    <t>TGCT41</t>
  </si>
  <si>
    <t>TGCT56</t>
  </si>
  <si>
    <t>TGCT71</t>
  </si>
  <si>
    <t>S1_CL19</t>
    <phoneticPr fontId="5" type="noConversion"/>
  </si>
  <si>
    <t>TGCT80</t>
  </si>
  <si>
    <t>TGCT72</t>
  </si>
  <si>
    <t>TGCT03</t>
  </si>
  <si>
    <t>TGCT74</t>
    <phoneticPr fontId="5" type="noConversion"/>
  </si>
  <si>
    <t>TGCT05</t>
    <phoneticPr fontId="5" type="noConversion"/>
  </si>
  <si>
    <t>TGCT37</t>
  </si>
  <si>
    <t>TGCT68</t>
    <phoneticPr fontId="5" type="noConversion"/>
  </si>
  <si>
    <t>TGCT85</t>
  </si>
  <si>
    <t>TGCT24</t>
  </si>
  <si>
    <t>TGCTX1</t>
  </si>
  <si>
    <t>TGCT42</t>
  </si>
  <si>
    <t>TGCT81</t>
  </si>
  <si>
    <t>TGCT01</t>
  </si>
  <si>
    <t>TGCT02</t>
  </si>
  <si>
    <t>TGCT08</t>
  </si>
  <si>
    <t>TGCT09</t>
  </si>
  <si>
    <t>TGGC28</t>
  </si>
  <si>
    <t>TGCT16</t>
  </si>
  <si>
    <t>TGCT45</t>
  </si>
  <si>
    <t>TGCT20</t>
  </si>
  <si>
    <t>TGGD04</t>
  </si>
  <si>
    <t>TGCT32</t>
  </si>
  <si>
    <t>TGCT36</t>
  </si>
  <si>
    <t>TGCT43</t>
  </si>
  <si>
    <t>TGCT59</t>
  </si>
  <si>
    <t>TGGD13</t>
  </si>
  <si>
    <t>TGCT67</t>
  </si>
  <si>
    <t>TGCT69</t>
  </si>
  <si>
    <t>TGCT70</t>
  </si>
  <si>
    <t>TGCL21</t>
    <phoneticPr fontId="5" type="noConversion"/>
  </si>
  <si>
    <t>TGCT29</t>
  </si>
  <si>
    <t>TGCT44</t>
  </si>
  <si>
    <t>TGCT04</t>
  </si>
  <si>
    <t>TGCT60</t>
  </si>
  <si>
    <t>TGCT06</t>
  </si>
  <si>
    <t>TGCT73</t>
  </si>
  <si>
    <t>TGCTX3</t>
  </si>
  <si>
    <t>TGCT51</t>
  </si>
  <si>
    <t>TGCT82</t>
  </si>
  <si>
    <t>TGCT84</t>
  </si>
  <si>
    <t>S1_CL21</t>
  </si>
  <si>
    <t>TGCL29</t>
  </si>
  <si>
    <t>TGCL53</t>
  </si>
  <si>
    <t>TGCL62</t>
  </si>
  <si>
    <t>TGCL11</t>
  </si>
  <si>
    <t>TGCL43</t>
  </si>
  <si>
    <t>TGCL15</t>
  </si>
  <si>
    <t>TGCL74</t>
  </si>
  <si>
    <t>TGCL51</t>
  </si>
  <si>
    <t>TGCL49</t>
  </si>
  <si>
    <t>TGCL67</t>
  </si>
  <si>
    <t>TGCL73</t>
  </si>
  <si>
    <t>TGCL84</t>
  </si>
  <si>
    <t>TGCL65</t>
  </si>
  <si>
    <t>TGCY14</t>
    <phoneticPr fontId="5" type="noConversion"/>
  </si>
  <si>
    <t>TGCL23</t>
  </si>
  <si>
    <t>S1_CL22</t>
    <phoneticPr fontId="5" type="noConversion"/>
  </si>
  <si>
    <t>TGCT39</t>
    <phoneticPr fontId="5" type="noConversion"/>
  </si>
  <si>
    <t>TGCT39</t>
  </si>
  <si>
    <t>TGCY01</t>
  </si>
  <si>
    <t>TGCY21</t>
  </si>
  <si>
    <t>TGCY29</t>
  </si>
  <si>
    <t>TGCY16</t>
  </si>
  <si>
    <t>TGCY17</t>
  </si>
  <si>
    <t>TGGD18</t>
  </si>
  <si>
    <t>TGCY22</t>
  </si>
  <si>
    <t>TGCY23</t>
  </si>
  <si>
    <t>TGGD22</t>
    <phoneticPr fontId="5" type="noConversion"/>
  </si>
  <si>
    <t>TGGD26</t>
  </si>
  <si>
    <t>S1_Pilot</t>
  </si>
  <si>
    <t>TGGD31</t>
  </si>
  <si>
    <t>TGCY27</t>
  </si>
  <si>
    <t>TGCY02</t>
  </si>
  <si>
    <t>TGCY08</t>
  </si>
  <si>
    <t>TGCY12</t>
  </si>
  <si>
    <t>TGCY28</t>
  </si>
  <si>
    <t>TGCY31</t>
  </si>
  <si>
    <t>TGCY32</t>
  </si>
  <si>
    <t>TGCY06</t>
  </si>
  <si>
    <t>TGCY11</t>
  </si>
  <si>
    <t>TGCY25</t>
  </si>
  <si>
    <t>TGCY09</t>
    <phoneticPr fontId="5" type="noConversion"/>
  </si>
  <si>
    <t>TGCY36</t>
  </si>
  <si>
    <t>TGCYX0</t>
    <phoneticPr fontId="5" type="noConversion"/>
  </si>
  <si>
    <t>TGCY04</t>
  </si>
  <si>
    <t>TGCY07</t>
  </si>
  <si>
    <t>TGCY13</t>
  </si>
  <si>
    <t>TGGD36</t>
  </si>
  <si>
    <t>TGCY18</t>
  </si>
  <si>
    <t>TGGT12</t>
  </si>
  <si>
    <t>TGCY35</t>
  </si>
  <si>
    <t>TGGT16</t>
  </si>
  <si>
    <t>TGCY43</t>
  </si>
  <si>
    <t>TGCY10</t>
  </si>
  <si>
    <t>TGCT28</t>
    <phoneticPr fontId="5" type="noConversion"/>
  </si>
  <si>
    <t>TGCY30</t>
  </si>
  <si>
    <t>TGCY42</t>
    <phoneticPr fontId="5" type="noConversion"/>
  </si>
  <si>
    <t>TGCY24</t>
  </si>
  <si>
    <t>TGCY37</t>
  </si>
  <si>
    <t>TGCYX1</t>
  </si>
  <si>
    <t>TGCB73</t>
    <phoneticPr fontId="5" type="noConversion"/>
  </si>
  <si>
    <t>TGCL30</t>
  </si>
  <si>
    <t>TGCL46</t>
    <phoneticPr fontId="5" type="noConversion"/>
  </si>
  <si>
    <t>TGCL61</t>
  </si>
  <si>
    <t>TGCLX0</t>
  </si>
  <si>
    <t>TGCL78</t>
  </si>
  <si>
    <t>TGGT43</t>
  </si>
  <si>
    <t>TGCL09</t>
  </si>
  <si>
    <t>TGCL10</t>
  </si>
  <si>
    <t>TGCL16</t>
  </si>
  <si>
    <t>TGCL34</t>
  </si>
  <si>
    <t>TGCL42</t>
  </si>
  <si>
    <t>TGCL45</t>
  </si>
  <si>
    <t>TGCL50</t>
  </si>
  <si>
    <t>TGCL52</t>
  </si>
  <si>
    <t>TGMT17</t>
  </si>
  <si>
    <t>TGMT39</t>
  </si>
  <si>
    <t>TGMT77</t>
  </si>
  <si>
    <t>TGCL82</t>
  </si>
  <si>
    <t>TGCL83</t>
  </si>
  <si>
    <t>TGCL85</t>
  </si>
  <si>
    <t>TGCL89</t>
  </si>
  <si>
    <t>TGCL05</t>
    <phoneticPr fontId="5" type="noConversion"/>
  </si>
  <si>
    <t>TGCL05</t>
  </si>
  <si>
    <t>TGCY40</t>
    <phoneticPr fontId="5" type="noConversion"/>
  </si>
  <si>
    <t>S1_CL25</t>
    <phoneticPr fontId="5" type="noConversion"/>
  </si>
  <si>
    <t>TGCL20</t>
    <phoneticPr fontId="5" type="noConversion"/>
  </si>
  <si>
    <t>TGCY34</t>
    <phoneticPr fontId="5" type="noConversion"/>
  </si>
  <si>
    <t>TGCL23</t>
    <phoneticPr fontId="5" type="noConversion"/>
  </si>
  <si>
    <t>TGCL24</t>
  </si>
  <si>
    <t>TGCL47</t>
  </si>
  <si>
    <t>TGCL68</t>
  </si>
  <si>
    <t>TGCBX2</t>
    <phoneticPr fontId="5" type="noConversion"/>
  </si>
  <si>
    <t>TGCL64</t>
  </si>
  <si>
    <t>TGCL86</t>
    <phoneticPr fontId="5" type="noConversion"/>
  </si>
  <si>
    <t>TGCL58</t>
  </si>
  <si>
    <t>TGCL59</t>
  </si>
  <si>
    <t>TGCL60</t>
  </si>
  <si>
    <t>TGCL63</t>
  </si>
  <si>
    <t>TGCL87</t>
  </si>
  <si>
    <t>TGCL14</t>
  </si>
  <si>
    <t>TGCL17</t>
  </si>
  <si>
    <t>TGCL33</t>
  </si>
  <si>
    <t>TGCL54</t>
  </si>
  <si>
    <t>TGCL66</t>
  </si>
  <si>
    <t>TGMT82</t>
  </si>
  <si>
    <t>TGCL88</t>
  </si>
  <si>
    <t>TGCB02</t>
  </si>
  <si>
    <t>S1_CL26</t>
  </si>
  <si>
    <t>TGCB28</t>
    <phoneticPr fontId="5" type="noConversion"/>
  </si>
  <si>
    <t>TGCB03</t>
  </si>
  <si>
    <t>TGCB67</t>
  </si>
  <si>
    <t>TGCB46</t>
  </si>
  <si>
    <t>TGCB81</t>
    <phoneticPr fontId="5" type="noConversion"/>
  </si>
  <si>
    <t>S1_CL26</t>
    <phoneticPr fontId="5" type="noConversion"/>
  </si>
  <si>
    <t>TGCB92</t>
  </si>
  <si>
    <t>TGCBX0</t>
    <phoneticPr fontId="5" type="noConversion"/>
  </si>
  <si>
    <t>TGCB11</t>
    <phoneticPr fontId="5" type="noConversion"/>
  </si>
  <si>
    <t>TGCB53</t>
  </si>
  <si>
    <t>TGCBX3</t>
  </si>
  <si>
    <t>TGCB01</t>
  </si>
  <si>
    <t>TGCB09</t>
  </si>
  <si>
    <t>TGCB07</t>
  </si>
  <si>
    <t>TGCB19</t>
  </si>
  <si>
    <t>TGCB21</t>
  </si>
  <si>
    <t>TGCB26</t>
  </si>
  <si>
    <t>TGCB32</t>
  </si>
  <si>
    <t>TGCB40</t>
  </si>
  <si>
    <t>TGCB55</t>
  </si>
  <si>
    <t>TGCB57</t>
  </si>
  <si>
    <t>TGCB58</t>
  </si>
  <si>
    <t>TGCB72</t>
  </si>
  <si>
    <t>TGCB79</t>
  </si>
  <si>
    <t>TGCB44</t>
  </si>
  <si>
    <t>TGCB64</t>
  </si>
  <si>
    <t>TGCB04</t>
  </si>
  <si>
    <t>TGCB41</t>
  </si>
  <si>
    <t>TGCB56</t>
  </si>
  <si>
    <t>TGCB08</t>
  </si>
  <si>
    <t>TGCB52</t>
  </si>
  <si>
    <t>TGCB70</t>
  </si>
  <si>
    <t>TGCBX1</t>
    <phoneticPr fontId="5" type="noConversion"/>
  </si>
  <si>
    <t>TGCB30</t>
  </si>
  <si>
    <t>TGCB88</t>
  </si>
  <si>
    <t>TGCB54</t>
  </si>
  <si>
    <t>TGCB61</t>
  </si>
  <si>
    <t>TGCB66</t>
  </si>
  <si>
    <t>TGCB68</t>
  </si>
  <si>
    <t>TGCB05</t>
  </si>
  <si>
    <t>TGCB12</t>
  </si>
  <si>
    <t>TGCB13</t>
  </si>
  <si>
    <t>TGCB23</t>
  </si>
  <si>
    <t>TGCB49</t>
  </si>
  <si>
    <t>TGCB50</t>
  </si>
  <si>
    <t>TGCB51</t>
  </si>
  <si>
    <t>TGTD10</t>
  </si>
  <si>
    <t>TGCB91</t>
  </si>
  <si>
    <t>TGCB16</t>
  </si>
  <si>
    <t>S1_CL28</t>
  </si>
  <si>
    <t>TGCB77</t>
  </si>
  <si>
    <t>TGCB17</t>
  </si>
  <si>
    <t>TGCB78</t>
  </si>
  <si>
    <t>TGCB48</t>
  </si>
  <si>
    <t>TGCB62</t>
  </si>
  <si>
    <t>TGCB85</t>
  </si>
  <si>
    <t>TGCB06</t>
  </si>
  <si>
    <t>TGCB25</t>
  </si>
  <si>
    <t>TGCB27</t>
  </si>
  <si>
    <t>TGCB34</t>
  </si>
  <si>
    <t>TGCB39</t>
  </si>
  <si>
    <t>TGCB43</t>
  </si>
  <si>
    <t>TGCB65</t>
  </si>
  <si>
    <t>TGCB86</t>
  </si>
  <si>
    <t>TGCB87</t>
  </si>
  <si>
    <t>TGCB89</t>
  </si>
  <si>
    <t>TGCB29</t>
  </si>
  <si>
    <t>TGCB69</t>
  </si>
  <si>
    <t>TGCB71</t>
  </si>
  <si>
    <t>TGCB75</t>
  </si>
  <si>
    <t>TGCB37</t>
  </si>
  <si>
    <t>TGCB47</t>
  </si>
  <si>
    <t>TGCB76</t>
  </si>
  <si>
    <t>TGCB83</t>
    <phoneticPr fontId="5" type="noConversion"/>
  </si>
  <si>
    <t>TGCB14</t>
  </si>
  <si>
    <t>TGCB20</t>
  </si>
  <si>
    <t>TGCB22</t>
  </si>
  <si>
    <t>TGCB24</t>
  </si>
  <si>
    <t>TGTD15</t>
  </si>
  <si>
    <t>TGCB33</t>
  </si>
  <si>
    <t>TGTD16</t>
  </si>
  <si>
    <t>TGCB36</t>
  </si>
  <si>
    <t>TGCB38</t>
  </si>
  <si>
    <t>TGCB42</t>
  </si>
  <si>
    <t>TGTP44</t>
  </si>
  <si>
    <t>TGCB82</t>
  </si>
  <si>
    <t>TGCB84</t>
  </si>
  <si>
    <t>TGCB90</t>
  </si>
  <si>
    <t>An Giang</t>
  </si>
  <si>
    <t>Kiên Giang</t>
  </si>
  <si>
    <t>KGPQ06</t>
  </si>
  <si>
    <t>Phu Quoc</t>
  </si>
  <si>
    <t>S1_CL30</t>
  </si>
  <si>
    <t>KGPQ60</t>
  </si>
  <si>
    <t>KGPQ87</t>
  </si>
  <si>
    <t>IBC</t>
  </si>
  <si>
    <t>KGPQC3</t>
  </si>
  <si>
    <t>KGPQ86</t>
  </si>
  <si>
    <t>KGPQ85</t>
  </si>
  <si>
    <t>KGPQX6</t>
  </si>
  <si>
    <t>KGPQB1</t>
  </si>
  <si>
    <t>KGPQE7</t>
  </si>
  <si>
    <t>KGPQ62</t>
    <phoneticPr fontId="5" type="noConversion"/>
  </si>
  <si>
    <t>KGPQ62</t>
  </si>
  <si>
    <t>Macro + IBC</t>
  </si>
  <si>
    <t>KGPQE1</t>
  </si>
  <si>
    <t>S1_CL31</t>
  </si>
  <si>
    <t>KGPQF4</t>
  </si>
  <si>
    <t>KGPQE3</t>
  </si>
  <si>
    <t>Swap (PS mới 5G C)</t>
  </si>
  <si>
    <t>KGPQE4</t>
  </si>
  <si>
    <t>KGPQ54</t>
  </si>
  <si>
    <t>KGPQ55</t>
    <phoneticPr fontId="5" type="noConversion"/>
  </si>
  <si>
    <t>KGPQ55</t>
  </si>
  <si>
    <t>Indoor</t>
  </si>
  <si>
    <t>KGPQ56</t>
  </si>
  <si>
    <t>KGPQE5</t>
  </si>
  <si>
    <t>KGPQF1</t>
  </si>
  <si>
    <t>KGPQF2</t>
  </si>
  <si>
    <t>KGPQL6</t>
  </si>
  <si>
    <t>KGPQX5</t>
  </si>
  <si>
    <t>KGPQ05</t>
  </si>
  <si>
    <t>S1_CL32</t>
  </si>
  <si>
    <t>KGPQY5</t>
  </si>
  <si>
    <t>KGPQ35</t>
    <phoneticPr fontId="5" type="noConversion"/>
  </si>
  <si>
    <t>KGPQ73</t>
  </si>
  <si>
    <t>S1_CL32</t>
    <phoneticPr fontId="5" type="noConversion"/>
  </si>
  <si>
    <t>KGPQ59</t>
  </si>
  <si>
    <t>KGPQE6</t>
  </si>
  <si>
    <t>KGPQ61</t>
  </si>
  <si>
    <t>KGPQ95</t>
  </si>
  <si>
    <t>KGPQE9</t>
  </si>
  <si>
    <t>KGPQ23</t>
  </si>
  <si>
    <t>KGPQ78</t>
  </si>
  <si>
    <t>KGPQ24</t>
  </si>
  <si>
    <t>S1_CL33</t>
  </si>
  <si>
    <t>KGPQY1</t>
  </si>
  <si>
    <t>KGPQ36</t>
  </si>
  <si>
    <t>KGPQ88</t>
  </si>
  <si>
    <t>KGPQ27</t>
  </si>
  <si>
    <t>KGPQ40</t>
  </si>
  <si>
    <t>KGPQ10</t>
  </si>
  <si>
    <t>KGPQC1</t>
  </si>
  <si>
    <t>KGPQJ0</t>
  </si>
  <si>
    <t>KGPQ32</t>
  </si>
  <si>
    <t>S1_CL34</t>
  </si>
  <si>
    <t>KGPQD0</t>
  </si>
  <si>
    <t>KGPQZ7</t>
  </si>
  <si>
    <t>KGPQ79</t>
  </si>
  <si>
    <t>KGPQY6</t>
  </si>
  <si>
    <t>KGPQ28</t>
  </si>
  <si>
    <t>KGPQ49</t>
  </si>
  <si>
    <t>KGPQ80</t>
  </si>
  <si>
    <t>KGPQ84</t>
  </si>
  <si>
    <t>KGPQB2</t>
  </si>
  <si>
    <t>KGPQ15</t>
  </si>
  <si>
    <t>S1_CL35</t>
  </si>
  <si>
    <t>KGPQZ1</t>
  </si>
  <si>
    <t>KGPQ17</t>
  </si>
  <si>
    <t>KGPQ91</t>
  </si>
  <si>
    <t>KGPQ25</t>
  </si>
  <si>
    <t>KGPQZ5</t>
  </si>
  <si>
    <t>KGPQ22</t>
  </si>
  <si>
    <t>KGPQB9</t>
  </si>
  <si>
    <t>KGPQ81</t>
  </si>
  <si>
    <t>KGPQ01</t>
  </si>
  <si>
    <t>S1_CL36</t>
  </si>
  <si>
    <t>KGPQL0</t>
  </si>
  <si>
    <t>KGPQ33</t>
  </si>
  <si>
    <t>KGPQ64</t>
  </si>
  <si>
    <t>KGPQI4</t>
  </si>
  <si>
    <t>KGPQX3</t>
  </si>
  <si>
    <t>KGPQ48</t>
    <phoneticPr fontId="5" type="noConversion"/>
  </si>
  <si>
    <t>KGPQ48</t>
  </si>
  <si>
    <t>KGPQ82</t>
    <phoneticPr fontId="5" type="noConversion"/>
  </si>
  <si>
    <t>S1_CL36</t>
    <phoneticPr fontId="5" type="noConversion"/>
  </si>
  <si>
    <t>KGPQ96</t>
    <phoneticPr fontId="5" type="noConversion"/>
  </si>
  <si>
    <t>KGPQB3</t>
    <phoneticPr fontId="5" type="noConversion"/>
  </si>
  <si>
    <t>KGPQ21</t>
  </si>
  <si>
    <t>KGPQ50</t>
  </si>
  <si>
    <t>KGPQF9</t>
    <phoneticPr fontId="5" type="noConversion"/>
  </si>
  <si>
    <t>KGPQF9</t>
  </si>
  <si>
    <t>KGPQE8</t>
  </si>
  <si>
    <t>S1_CL37</t>
  </si>
  <si>
    <t>KGPQ47</t>
  </si>
  <si>
    <t>KGPQ83</t>
  </si>
  <si>
    <t>KGPQY4</t>
  </si>
  <si>
    <t>Swap_L18 + L21 + NR 2.6 32T</t>
    <phoneticPr fontId="5" type="noConversion"/>
  </si>
  <si>
    <t>KGPQ03</t>
  </si>
  <si>
    <t>KGPQ43</t>
  </si>
  <si>
    <t>KGPQ75</t>
  </si>
  <si>
    <t>KGPQ76</t>
  </si>
  <si>
    <t>KGPQG6</t>
  </si>
  <si>
    <t>KGPQ02</t>
  </si>
  <si>
    <t>S1_CL38</t>
  </si>
  <si>
    <t>KGPQA6</t>
  </si>
  <si>
    <t>KGPQ65</t>
  </si>
  <si>
    <t>KGPQ30</t>
  </si>
  <si>
    <t>KGPQ97</t>
  </si>
  <si>
    <t>KGPQA1</t>
  </si>
  <si>
    <t>KGPQ90</t>
    <phoneticPr fontId="5" type="noConversion"/>
  </si>
  <si>
    <t>KGPQ98</t>
  </si>
  <si>
    <t>S1_CL38</t>
    <phoneticPr fontId="5" type="noConversion"/>
  </si>
  <si>
    <t>KGPQ31</t>
  </si>
  <si>
    <t>KGPQA9</t>
  </si>
  <si>
    <t>KGPQC4</t>
  </si>
  <si>
    <t>KGPQ26</t>
  </si>
  <si>
    <t>S1_CL39</t>
  </si>
  <si>
    <t>KGPQZ4</t>
  </si>
  <si>
    <t>KGPQ34</t>
  </si>
  <si>
    <t>KGPQA0</t>
  </si>
  <si>
    <t>KGPQB8</t>
  </si>
  <si>
    <t>KGPQX1</t>
  </si>
  <si>
    <t>KGPQ11</t>
  </si>
  <si>
    <t>KGPQA5</t>
  </si>
  <si>
    <t>KGPQA3</t>
  </si>
  <si>
    <t>KGPQ44</t>
  </si>
  <si>
    <t>KGPQB7</t>
    <phoneticPr fontId="5" type="noConversion"/>
  </si>
  <si>
    <t>S1_CL40</t>
    <phoneticPr fontId="5" type="noConversion"/>
  </si>
  <si>
    <t>KGPQA8</t>
    <phoneticPr fontId="5" type="noConversion"/>
  </si>
  <si>
    <t>KGPQ46</t>
  </si>
  <si>
    <t>S1_CL40</t>
  </si>
  <si>
    <t>KGPQG5</t>
  </si>
  <si>
    <t>KGPQ07</t>
  </si>
  <si>
    <t>KGPQ13</t>
  </si>
  <si>
    <t>KGPQ37</t>
    <phoneticPr fontId="5" type="noConversion"/>
  </si>
  <si>
    <t>KGPQ37</t>
  </si>
  <si>
    <t>KGPQ41</t>
  </si>
  <si>
    <t>KGPQ93</t>
  </si>
  <si>
    <t>KGPQB0</t>
  </si>
  <si>
    <t>KGPQ42</t>
  </si>
  <si>
    <t>KGPQ99</t>
  </si>
  <si>
    <t>S1_CL41</t>
  </si>
  <si>
    <t>KGPQI3</t>
  </si>
  <si>
    <t>KGPQA2</t>
  </si>
  <si>
    <t>KGPQF6</t>
  </si>
  <si>
    <t>KGPQE2</t>
  </si>
  <si>
    <t>KGPQF3</t>
  </si>
  <si>
    <t>KGPQ58</t>
  </si>
  <si>
    <t>KGPQA4</t>
  </si>
  <si>
    <t>KGPQC8</t>
  </si>
  <si>
    <t>KGPQ19</t>
  </si>
  <si>
    <t>S1_CL42</t>
  </si>
  <si>
    <t>KGPQC2</t>
  </si>
  <si>
    <t>KGPQB5</t>
  </si>
  <si>
    <t>KGPQ74</t>
  </si>
  <si>
    <t>KGPQI2</t>
  </si>
  <si>
    <t>KGPQ77</t>
  </si>
  <si>
    <t>KGPQ92</t>
    <phoneticPr fontId="5" type="noConversion"/>
  </si>
  <si>
    <t>S1_CL42</t>
    <phoneticPr fontId="5" type="noConversion"/>
  </si>
  <si>
    <t>KGPQF7</t>
  </si>
  <si>
    <t>KGPQ18</t>
  </si>
  <si>
    <t>KGPQB6</t>
  </si>
  <si>
    <t>KGPQF0</t>
  </si>
  <si>
    <t>KGPQF5</t>
  </si>
  <si>
    <t>KGPQ29</t>
  </si>
  <si>
    <t>S1_CL43</t>
  </si>
  <si>
    <t>KGPQY9</t>
  </si>
  <si>
    <t>KGPQ94</t>
  </si>
  <si>
    <t>S1_CL43</t>
    <phoneticPr fontId="5" type="noConversion"/>
  </si>
  <si>
    <t>KGPQG4</t>
  </si>
  <si>
    <t>KGPQY2</t>
    <phoneticPr fontId="5" type="noConversion"/>
  </si>
  <si>
    <t>KGPQ38</t>
  </si>
  <si>
    <t>KGPQI5</t>
  </si>
  <si>
    <t>KGPQZ3</t>
  </si>
  <si>
    <t>KGPQ52</t>
  </si>
  <si>
    <t>KGPQ39</t>
    <phoneticPr fontId="5" type="noConversion"/>
  </si>
  <si>
    <t>KGPQ39</t>
  </si>
  <si>
    <t>S1_CL44</t>
  </si>
  <si>
    <t>KGPQD3</t>
    <phoneticPr fontId="5" type="noConversion"/>
  </si>
  <si>
    <t>S1_CL44</t>
    <phoneticPr fontId="5" type="noConversion"/>
  </si>
  <si>
    <t>KGPQC9</t>
    <phoneticPr fontId="5" type="noConversion"/>
  </si>
  <si>
    <t>PhúQuốc</t>
  </si>
  <si>
    <t>Swap 4G Only</t>
  </si>
  <si>
    <t>KGPQ45</t>
  </si>
  <si>
    <t>KGPQI6</t>
    <phoneticPr fontId="5" type="noConversion"/>
  </si>
  <si>
    <t>KGPQL3</t>
  </si>
  <si>
    <t>KGPQ51</t>
    <phoneticPr fontId="5" type="noConversion"/>
  </si>
  <si>
    <t>KGPQ51</t>
  </si>
  <si>
    <t>KGPQ89</t>
  </si>
  <si>
    <t>KGPQ20</t>
  </si>
  <si>
    <t>KGPQ09</t>
  </si>
  <si>
    <t>KGPQG7</t>
  </si>
  <si>
    <t>KGPQG8</t>
  </si>
  <si>
    <t>KGPQJ3</t>
    <phoneticPr fontId="5" type="noConversion"/>
  </si>
  <si>
    <t>KGPQJ3</t>
  </si>
  <si>
    <t>KGPQ16</t>
  </si>
  <si>
    <t>S1_CL45</t>
  </si>
  <si>
    <t>KGPQY0</t>
  </si>
  <si>
    <t>KGPQL4</t>
    <phoneticPr fontId="5" type="noConversion"/>
  </si>
  <si>
    <t>S1_CL45</t>
    <phoneticPr fontId="5" type="noConversion"/>
  </si>
  <si>
    <t>KGPQC7</t>
    <phoneticPr fontId="5" type="noConversion"/>
  </si>
  <si>
    <t>KGPQ04</t>
  </si>
  <si>
    <t>KGPQ53</t>
  </si>
  <si>
    <t>KGPQ63</t>
    <phoneticPr fontId="5" type="noConversion"/>
  </si>
  <si>
    <t>KGPQ63</t>
  </si>
  <si>
    <t>KGPQA7</t>
    <phoneticPr fontId="5" type="noConversion"/>
  </si>
  <si>
    <t>KGPQA7</t>
  </si>
  <si>
    <t>KGPQC6</t>
  </si>
  <si>
    <t>KGPQG0</t>
  </si>
  <si>
    <t>KGPQG1</t>
  </si>
  <si>
    <t>KGPQG2</t>
  </si>
  <si>
    <t>KGPQL1</t>
  </si>
  <si>
    <t>KGPQJ2</t>
    <phoneticPr fontId="5" type="noConversion"/>
  </si>
  <si>
    <t>KGPQJ2</t>
  </si>
  <si>
    <t>KGPQ08</t>
    <phoneticPr fontId="5" type="noConversion"/>
  </si>
  <si>
    <t>KGPQ08</t>
  </si>
  <si>
    <t>S1_CL46</t>
    <phoneticPr fontId="5" type="noConversion"/>
  </si>
  <si>
    <t>KGPQ12</t>
  </si>
  <si>
    <t>KGPQB4</t>
    <phoneticPr fontId="5" type="noConversion"/>
  </si>
  <si>
    <t>KGPQB4</t>
  </si>
  <si>
    <t>KGPQD2</t>
  </si>
  <si>
    <t>KGPQJ1</t>
  </si>
  <si>
    <t>KGPQ14</t>
    <phoneticPr fontId="5" type="noConversion"/>
  </si>
  <si>
    <t>TGGD25</t>
    <phoneticPr fontId="5" type="noConversion"/>
  </si>
  <si>
    <t>TGGD31</t>
    <phoneticPr fontId="5" type="noConversion"/>
  </si>
  <si>
    <t>TGGD52</t>
  </si>
  <si>
    <t>TGGC22</t>
  </si>
  <si>
    <t>TGGD09</t>
  </si>
  <si>
    <t>TGTP32</t>
  </si>
  <si>
    <t>TGGD27</t>
  </si>
  <si>
    <t>TGGD32</t>
  </si>
  <si>
    <t>TGGD49</t>
  </si>
  <si>
    <t>TGGD53</t>
  </si>
  <si>
    <t>`</t>
    <phoneticPr fontId="5" type="noConversion"/>
  </si>
  <si>
    <t>TGCB83</t>
  </si>
  <si>
    <t>KGPQ14</t>
  </si>
  <si>
    <t xml:space="preserve"> Cluster</t>
    <phoneticPr fontId="5" type="noConversion"/>
  </si>
  <si>
    <t>Macro</t>
    <phoneticPr fontId="4" type="noConversion"/>
  </si>
  <si>
    <t>Macro+IBC</t>
    <phoneticPr fontId="4" type="noConversion"/>
  </si>
  <si>
    <t>Amount site in Cluster</t>
    <phoneticPr fontId="4" type="noConversion"/>
  </si>
  <si>
    <t>Longitude</t>
    <phoneticPr fontId="4" type="noConversion"/>
  </si>
  <si>
    <t>Latitude</t>
    <phoneticPr fontId="4" type="noConversion"/>
  </si>
  <si>
    <t>S1_CL46</t>
  </si>
  <si>
    <t>Grand Total</t>
  </si>
  <si>
    <t>Count of  Cluster</t>
  </si>
  <si>
    <t>Main site Name</t>
  </si>
  <si>
    <t xml:space="preserve"> Cluster</t>
  </si>
  <si>
    <t>Total</t>
  </si>
  <si>
    <t>KGPQB7</t>
  </si>
  <si>
    <t>KGPQL4</t>
  </si>
  <si>
    <t>TGCY14</t>
  </si>
  <si>
    <t>TGCYX0</t>
  </si>
  <si>
    <t>TGMT68</t>
  </si>
  <si>
    <t>TGCG58</t>
  </si>
  <si>
    <t>TGMT79</t>
  </si>
  <si>
    <t>DTPTP207</t>
  </si>
  <si>
    <t>Physcial Site Name</t>
  </si>
  <si>
    <t xml:space="preserve"> Cluster-Proposal</t>
    <phoneticPr fontId="0" type="noConversion"/>
  </si>
  <si>
    <t>ISD of Master and sub  is more than 20KM, Need confirm the longitude and latitude（ S1_CL39）</t>
    <phoneticPr fontId="5" type="noConversion"/>
  </si>
  <si>
    <t>KGPQC7</t>
    <phoneticPr fontId="0" type="noConversion"/>
  </si>
  <si>
    <t>S1_CL44</t>
    <phoneticPr fontId="0" type="noConversion"/>
  </si>
  <si>
    <t>ISD of Master and sub  is more than 4KM, Need confirm the longitude and latitude（ S1_CL44）</t>
    <phoneticPr fontId="5" type="noConversion"/>
  </si>
  <si>
    <t>#N/A</t>
  </si>
  <si>
    <t>TAC_EP</t>
  </si>
  <si>
    <t>TA Cross Tag</t>
  </si>
  <si>
    <t>TA Cross Tag</t>
    <phoneticPr fontId="4" type="noConversion"/>
  </si>
  <si>
    <t>TAC Proposal</t>
    <phoneticPr fontId="0" type="noConversion"/>
  </si>
  <si>
    <t>Keep(Half Cluster)</t>
    <phoneticPr fontId="4" type="noConversion"/>
  </si>
  <si>
    <t>TGCG12:48020 -&gt;48050</t>
  </si>
  <si>
    <t>TGCG12:48020 -&gt;48050</t>
    <phoneticPr fontId="4" type="noConversion"/>
  </si>
  <si>
    <t>TGMT55 CRAN, Keep</t>
  </si>
  <si>
    <t>TGMT55 CRAN, Keep</t>
    <phoneticPr fontId="4" type="noConversion"/>
  </si>
  <si>
    <t>S1_CL15</t>
    <phoneticPr fontId="0" type="noConversion"/>
  </si>
  <si>
    <t>S1_CL12</t>
    <phoneticPr fontId="0" type="noConversion"/>
  </si>
  <si>
    <t>New Site</t>
  </si>
  <si>
    <t>New Site</t>
    <phoneticPr fontId="4" type="noConversion"/>
  </si>
  <si>
    <t>S1_CL20</t>
    <phoneticPr fontId="0" type="noConversion"/>
  </si>
  <si>
    <t>S1_CL21</t>
    <phoneticPr fontId="0" type="noConversion"/>
  </si>
  <si>
    <t>3 CRAN sites :S1_CL20 -&gt;S1_CL21</t>
  </si>
  <si>
    <t>TGCT39: S1_CL22 -&gt;S1_CL19</t>
  </si>
  <si>
    <t>TGCT39: S1_CL22 -&gt;S1_CL19</t>
    <phoneticPr fontId="4" type="noConversion"/>
  </si>
  <si>
    <t>TGCT28: CRAN keep</t>
  </si>
  <si>
    <t>TGCT28: CRAN keep</t>
    <phoneticPr fontId="4" type="noConversion"/>
  </si>
  <si>
    <t>TGCB73: CRAN keep</t>
  </si>
  <si>
    <t>TGCB73: CRAN keep</t>
    <phoneticPr fontId="4" type="noConversion"/>
  </si>
  <si>
    <t>TGCY40: CRAN keep</t>
  </si>
  <si>
    <t>TGCY40: CRAN keep</t>
    <phoneticPr fontId="4" type="noConversion"/>
  </si>
  <si>
    <t>TGCBX2: CRAN keep</t>
  </si>
  <si>
    <t>TGCBX2: CRAN keep</t>
    <phoneticPr fontId="4" type="noConversion"/>
  </si>
  <si>
    <t>TGGC22</t>
    <phoneticPr fontId="4" type="noConversion"/>
  </si>
  <si>
    <t>TGGD50:48000 -&gt;48040</t>
    <phoneticPr fontId="4" type="noConversion"/>
  </si>
  <si>
    <t>3 CRAN sites :S1_CL20 -&gt;S1_CL21</t>
    <phoneticPr fontId="4" type="noConversion"/>
  </si>
  <si>
    <t>TGGC22: Proposal Keep</t>
  </si>
  <si>
    <t>TGGC22: Proposal Keep</t>
    <phoneticPr fontId="4" type="noConversion"/>
  </si>
  <si>
    <t>TGGD40:S1_CL03 -&gt;S1_CL02</t>
    <phoneticPr fontId="4" type="noConversion"/>
  </si>
  <si>
    <t>TGCTX2 CRAN:48010 -&gt;48070</t>
  </si>
  <si>
    <t>TGCTX2 CRAN:48010 -&gt;48070</t>
    <phoneticPr fontId="4" type="noConversion"/>
  </si>
  <si>
    <t>TGGD50</t>
    <phoneticPr fontId="4" type="noConversion"/>
  </si>
  <si>
    <t>TGGD40</t>
    <phoneticPr fontId="4" type="noConversion"/>
  </si>
  <si>
    <t>TGCG12</t>
    <phoneticPr fontId="4" type="noConversion"/>
  </si>
  <si>
    <t>TGMT55</t>
    <phoneticPr fontId="4" type="noConversion"/>
  </si>
  <si>
    <t>TGGD50:48000 -&gt;48040</t>
  </si>
  <si>
    <t>TGGD40:S1_CL03 -&gt;S1_CL02</t>
  </si>
  <si>
    <t>TAC Proposal</t>
    <phoneticPr fontId="4" type="noConversion"/>
  </si>
  <si>
    <t>Needv Verify TAC site</t>
    <phoneticPr fontId="4" type="noConversion"/>
  </si>
  <si>
    <t xml:space="preserve">TGCTX2 </t>
    <phoneticPr fontId="4" type="noConversion"/>
  </si>
  <si>
    <t>TGCT39</t>
    <phoneticPr fontId="4" type="noConversion"/>
  </si>
  <si>
    <t>TGCT28</t>
    <phoneticPr fontId="4" type="noConversion"/>
  </si>
  <si>
    <t>TGCB73</t>
    <phoneticPr fontId="4" type="noConversion"/>
  </si>
  <si>
    <t>TGCBX2</t>
    <phoneticPr fontId="4" type="noConversion"/>
  </si>
  <si>
    <t>TGCY40</t>
    <phoneticPr fontId="4" type="noConversion"/>
  </si>
  <si>
    <t>DTPTP112</t>
    <phoneticPr fontId="4" type="noConversion"/>
  </si>
  <si>
    <t>TGCL21</t>
    <phoneticPr fontId="4" type="noConversion"/>
  </si>
  <si>
    <t>KGPQL3</t>
    <phoneticPr fontId="4" type="noConversion"/>
  </si>
  <si>
    <t>KGPQC7</t>
    <phoneticPr fontId="4" type="noConversion"/>
  </si>
  <si>
    <t>S1_CL35</t>
    <phoneticPr fontId="4" type="noConversion"/>
  </si>
  <si>
    <t>tac</t>
    <phoneticPr fontId="4" type="noConversion"/>
  </si>
  <si>
    <t>S1_CL15</t>
    <phoneticPr fontId="4" type="noConversion"/>
  </si>
  <si>
    <t>S1_CL19</t>
    <phoneticPr fontId="0" type="noConversion"/>
  </si>
  <si>
    <t>TGCT22</t>
    <phoneticPr fontId="0" type="noConversion"/>
  </si>
  <si>
    <t>S1_CL11</t>
    <phoneticPr fontId="4" type="noConversion"/>
  </si>
  <si>
    <t>ISD of Master and sub  is more than 20KM, Need confirm the longitude and latitude（ S1_CL39）</t>
  </si>
  <si>
    <t>ISD of Master and sub  is more than 4KM, Need confirm the longitude and latitude（ S1_CL44）</t>
  </si>
  <si>
    <t xml:space="preserve"> Cluster（Proposal-CRAN_final）</t>
    <phoneticPr fontId="5" type="noConversion"/>
  </si>
  <si>
    <t>S1_CL02</t>
    <phoneticPr fontId="4" type="noConversion"/>
  </si>
  <si>
    <t>S1_CL19</t>
    <phoneticPr fontId="4" type="noConversion"/>
  </si>
  <si>
    <t>Swap Week</t>
    <phoneticPr fontId="4" type="noConversion"/>
  </si>
  <si>
    <t>S1_CL39</t>
    <phoneticPr fontId="4" type="noConversion"/>
  </si>
  <si>
    <t>S1_CL44</t>
    <phoneticPr fontId="4" type="noConversion"/>
  </si>
  <si>
    <t>W01</t>
  </si>
  <si>
    <t>W01</t>
    <phoneticPr fontId="4" type="noConversion"/>
  </si>
  <si>
    <t>W03</t>
  </si>
  <si>
    <t>W02</t>
  </si>
  <si>
    <t>W04</t>
  </si>
  <si>
    <t>W05</t>
  </si>
  <si>
    <t>W06</t>
  </si>
  <si>
    <t>W07</t>
  </si>
  <si>
    <t>W08</t>
  </si>
  <si>
    <t>W09</t>
  </si>
  <si>
    <t>W10</t>
  </si>
  <si>
    <t>W02</t>
    <phoneticPr fontId="4" type="noConversion"/>
  </si>
  <si>
    <t>W11</t>
  </si>
  <si>
    <t>W12</t>
  </si>
  <si>
    <t>W15</t>
  </si>
  <si>
    <t>W17</t>
  </si>
  <si>
    <t>W14</t>
  </si>
  <si>
    <t>W16</t>
  </si>
  <si>
    <t>W13</t>
  </si>
  <si>
    <t>行标签</t>
  </si>
  <si>
    <t>(空白)</t>
  </si>
  <si>
    <t>总计</t>
  </si>
  <si>
    <t>计数项:TRUE</t>
  </si>
  <si>
    <t>W13</t>
    <phoneticPr fontId="4" type="noConversion"/>
  </si>
  <si>
    <t>month</t>
    <phoneticPr fontId="4" type="noConversion"/>
  </si>
  <si>
    <t>M1</t>
    <phoneticPr fontId="4" type="noConversion"/>
  </si>
  <si>
    <t>M3</t>
  </si>
  <si>
    <t>M2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</si>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</sst>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(* #,##0.00000_);_(* \(#,##0.00000\);_(* &quot;-&quot;??_);_(@_)"/>
  </numFmts>
  <fonts count="24" x14ac:knownFonts="1">
    <font>
      <sz val="11"/>
      <name val="Arial"/>
      <family val="2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b/>
      <sz val="10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2"/>
      <scheme val="minor"/>
    </font>
    <font>
      <b/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9"/>
      <name val="宋体"/>
      <family val="2"/>
      <scheme val="minor"/>
    </font>
    <font>
      <sz val="9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9"/>
      <color rgb="FFFF0000"/>
      <name val="宋体"/>
      <family val="2"/>
      <scheme val="minor"/>
    </font>
    <font>
      <sz val="9"/>
      <color rgb="FFFF0000"/>
      <name val="Aptos Narrow"/>
      <family val="2"/>
    </font>
    <font>
      <sz val="11"/>
      <color rgb="FFFF0000"/>
      <name val="宋体"/>
      <family val="2"/>
      <scheme val="minor"/>
    </font>
    <font>
      <sz val="9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/>
  </cellStyleXfs>
  <cellXfs count="8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177" fontId="3" fillId="5" borderId="1" xfId="2" applyNumberFormat="1" applyFont="1" applyFill="1" applyBorder="1" applyAlignment="1">
      <alignment horizontal="center" vertical="center" wrapText="1"/>
    </xf>
    <xf numFmtId="177" fontId="3" fillId="5" borderId="2" xfId="2" applyNumberFormat="1" applyFont="1" applyFill="1" applyBorder="1" applyAlignment="1">
      <alignment horizontal="center" vertical="center" wrapText="1"/>
    </xf>
    <xf numFmtId="177" fontId="3" fillId="5" borderId="3" xfId="2" applyNumberFormat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9" fillId="7" borderId="0" xfId="1" applyFont="1" applyFill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  <xf numFmtId="0" fontId="9" fillId="9" borderId="0" xfId="1" applyFont="1" applyFill="1" applyAlignment="1">
      <alignment horizontal="center" vertical="center" wrapText="1"/>
    </xf>
    <xf numFmtId="0" fontId="1" fillId="0" borderId="0" xfId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" fillId="0" borderId="0" xfId="1"/>
    <xf numFmtId="0" fontId="1" fillId="10" borderId="0" xfId="1" applyFill="1"/>
    <xf numFmtId="0" fontId="1" fillId="0" borderId="8" xfId="1" applyBorder="1" applyAlignment="1">
      <alignment horizontal="center"/>
    </xf>
    <xf numFmtId="0" fontId="14" fillId="0" borderId="9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" fillId="0" borderId="0" xfId="1" applyFill="1"/>
    <xf numFmtId="0" fontId="13" fillId="0" borderId="0" xfId="1" applyFont="1" applyFill="1"/>
    <xf numFmtId="0" fontId="8" fillId="0" borderId="0" xfId="1" applyFont="1" applyFill="1"/>
    <xf numFmtId="0" fontId="20" fillId="0" borderId="0" xfId="1" applyFont="1" applyFill="1"/>
    <xf numFmtId="0" fontId="1" fillId="0" borderId="0" xfId="1" applyFill="1" applyAlignment="1">
      <alignment horizontal="center"/>
    </xf>
    <xf numFmtId="0" fontId="7" fillId="8" borderId="5" xfId="1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0" fillId="0" borderId="1" xfId="1" applyFont="1" applyFill="1" applyBorder="1" applyAlignment="1">
      <alignment horizontal="center"/>
    </xf>
    <xf numFmtId="0" fontId="12" fillId="0" borderId="0" xfId="1" applyFont="1" applyFill="1" applyAlignment="1">
      <alignment horizontal="center"/>
    </xf>
    <xf numFmtId="177" fontId="10" fillId="0" borderId="1" xfId="2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/>
    </xf>
    <xf numFmtId="0" fontId="10" fillId="0" borderId="6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177" fontId="5" fillId="0" borderId="1" xfId="2" applyNumberFormat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/>
    </xf>
    <xf numFmtId="0" fontId="12" fillId="0" borderId="1" xfId="1" applyFont="1" applyFill="1" applyBorder="1" applyAlignment="1">
      <alignment horizontal="center"/>
    </xf>
    <xf numFmtId="0" fontId="12" fillId="0" borderId="3" xfId="1" applyFont="1" applyFill="1" applyBorder="1" applyAlignment="1">
      <alignment horizontal="center"/>
    </xf>
    <xf numFmtId="0" fontId="21" fillId="0" borderId="1" xfId="1" applyFont="1" applyFill="1" applyBorder="1" applyAlignment="1">
      <alignment horizontal="center" vertical="center"/>
    </xf>
    <xf numFmtId="0" fontId="17" fillId="0" borderId="1" xfId="1" applyFont="1" applyFill="1" applyBorder="1"/>
    <xf numFmtId="0" fontId="18" fillId="0" borderId="1" xfId="1" applyFont="1" applyFill="1" applyBorder="1" applyAlignment="1">
      <alignment horizontal="center"/>
    </xf>
    <xf numFmtId="0" fontId="10" fillId="0" borderId="3" xfId="1" applyFont="1" applyFill="1" applyBorder="1"/>
    <xf numFmtId="0" fontId="10" fillId="0" borderId="2" xfId="1" applyFont="1" applyFill="1" applyBorder="1" applyAlignment="1">
      <alignment horizontal="center"/>
    </xf>
    <xf numFmtId="0" fontId="19" fillId="0" borderId="1" xfId="1" applyFont="1" applyFill="1" applyBorder="1" applyAlignment="1">
      <alignment horizontal="center" vertical="center"/>
    </xf>
    <xf numFmtId="177" fontId="18" fillId="0" borderId="1" xfId="2" applyNumberFormat="1" applyFont="1" applyFill="1" applyBorder="1" applyAlignment="1">
      <alignment horizontal="center"/>
    </xf>
    <xf numFmtId="0" fontId="18" fillId="0" borderId="1" xfId="1" applyFont="1" applyFill="1" applyBorder="1" applyAlignment="1">
      <alignment horizontal="center" vertical="center"/>
    </xf>
    <xf numFmtId="0" fontId="18" fillId="0" borderId="3" xfId="1" applyFont="1" applyFill="1" applyBorder="1"/>
    <xf numFmtId="0" fontId="12" fillId="0" borderId="0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15" fillId="0" borderId="1" xfId="1" applyFont="1" applyFill="1" applyBorder="1" applyAlignment="1">
      <alignment horizontal="center"/>
    </xf>
    <xf numFmtId="177" fontId="15" fillId="0" borderId="1" xfId="2" applyNumberFormat="1" applyFont="1" applyFill="1" applyBorder="1" applyAlignment="1">
      <alignment horizontal="center"/>
    </xf>
    <xf numFmtId="0" fontId="16" fillId="0" borderId="1" xfId="1" applyFont="1" applyFill="1" applyBorder="1" applyAlignment="1">
      <alignment horizontal="center" vertical="center"/>
    </xf>
    <xf numFmtId="0" fontId="15" fillId="0" borderId="3" xfId="1" applyFont="1" applyFill="1" applyBorder="1" applyAlignment="1">
      <alignment horizontal="center"/>
    </xf>
    <xf numFmtId="0" fontId="17" fillId="0" borderId="1" xfId="1" applyFont="1" applyFill="1" applyBorder="1" applyAlignment="1">
      <alignment horizontal="center"/>
    </xf>
    <xf numFmtId="0" fontId="10" fillId="0" borderId="7" xfId="1" applyFont="1" applyFill="1" applyBorder="1" applyAlignment="1">
      <alignment horizontal="center"/>
    </xf>
    <xf numFmtId="0" fontId="12" fillId="11" borderId="0" xfId="1" applyFont="1" applyFill="1" applyAlignment="1">
      <alignment horizontal="center"/>
    </xf>
    <xf numFmtId="0" fontId="5" fillId="11" borderId="1" xfId="1" applyFont="1" applyFill="1" applyBorder="1" applyAlignment="1">
      <alignment horizontal="center"/>
    </xf>
    <xf numFmtId="0" fontId="10" fillId="11" borderId="1" xfId="1" applyFont="1" applyFill="1" applyBorder="1" applyAlignment="1">
      <alignment horizontal="center"/>
    </xf>
    <xf numFmtId="0" fontId="12" fillId="12" borderId="1" xfId="1" applyFont="1" applyFill="1" applyBorder="1" applyAlignment="1">
      <alignment horizontal="center"/>
    </xf>
    <xf numFmtId="0" fontId="19" fillId="14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13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1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12" borderId="0" xfId="0" applyFill="1">
      <alignment vertical="center"/>
    </xf>
    <xf numFmtId="0" fontId="10" fillId="16" borderId="1" xfId="1" applyFont="1" applyFill="1" applyBorder="1" applyAlignment="1">
      <alignment horizontal="center"/>
    </xf>
    <xf numFmtId="0" fontId="12" fillId="16" borderId="0" xfId="1" applyFont="1" applyFill="1" applyAlignment="1">
      <alignment horizontal="center"/>
    </xf>
    <xf numFmtId="177" fontId="10" fillId="16" borderId="1" xfId="2" applyNumberFormat="1" applyFont="1" applyFill="1" applyBorder="1" applyAlignment="1">
      <alignment horizontal="center"/>
    </xf>
    <xf numFmtId="0" fontId="10" fillId="16" borderId="6" xfId="1" applyFont="1" applyFill="1" applyBorder="1" applyAlignment="1">
      <alignment horizontal="center"/>
    </xf>
    <xf numFmtId="0" fontId="5" fillId="16" borderId="1" xfId="1" applyFont="1" applyFill="1" applyBorder="1" applyAlignment="1">
      <alignment horizontal="center"/>
    </xf>
    <xf numFmtId="0" fontId="5" fillId="16" borderId="0" xfId="1" applyFont="1" applyFill="1" applyAlignment="1">
      <alignment horizontal="center"/>
    </xf>
    <xf numFmtId="0" fontId="1" fillId="16" borderId="0" xfId="1" applyFill="1"/>
    <xf numFmtId="0" fontId="0" fillId="8" borderId="1" xfId="0" applyFill="1" applyBorder="1">
      <alignment vertical="center"/>
    </xf>
    <xf numFmtId="0" fontId="5" fillId="8" borderId="1" xfId="1" applyFont="1" applyFill="1" applyBorder="1" applyAlignment="1">
      <alignment horizontal="center"/>
    </xf>
    <xf numFmtId="0" fontId="1" fillId="0" borderId="0" xfId="1" applyFill="1" applyAlignment="1">
      <alignment horizontal="center" vertical="center"/>
    </xf>
    <xf numFmtId="0" fontId="18" fillId="0" borderId="2" xfId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0" fillId="6" borderId="1" xfId="1" applyFont="1" applyFill="1" applyBorder="1" applyAlignment="1">
      <alignment horizontal="center"/>
    </xf>
  </cellXfs>
  <cellStyles count="3">
    <cellStyle name="Comma 2" xfId="2" xr:uid="{97637AC7-EB5D-4F8B-81C4-1C2AF0C05FCB}"/>
    <cellStyle name="Normal 2" xfId="1" xr:uid="{CA8B8E34-355B-4312-9E37-2D73C794B47B}"/>
    <cellStyle name="常规" xfId="0" builtinId="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EE07D9-B993-4A58-A7DD-62D1E0C23B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548EE9-9D80-4FD2-9D72-550088C3F2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54A38A-EDA4-4445-A875-8DA00A012A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816D14-0D02-445B-A67E-7F1997A597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3CF1EA-5BA2-41F7-AE5E-9915A95A00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B9E9FA-B205-4A9E-87AB-7356DF7498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03490B-9566-4838-A9D0-E5FA75109B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D5D268-6E84-470E-A3A2-3AC725C35F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0B1FFC-4685-4ABC-B4AF-61D245C62F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E764DC-5442-412B-B8B9-FBDDBF73BE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D7D775-0807-4336-9E3A-0186A6FED3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3474F2-795B-40DD-8E12-BE03A02316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0CF911-B0E9-4E60-B2F9-AB5B1DEE1C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DB794D-A401-4570-A7A9-1D03316336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6A4E71-F3CC-4435-9E06-04DEB992DD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D60BE3-27A4-4FBC-8B4D-F0C28ACB8E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852097-2253-4773-B744-285F37D803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82B1BD-42F9-4C0F-9D71-0D425EC2CF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E211E5-56FE-4C97-A11A-57A7DCE983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9DA37B-27D2-4EF5-826A-688F9FEFDB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1FB2D1-3EDD-4FFE-A3E5-AF00F32E9E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290787-A183-4E0C-8875-4587123276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70308B-1261-4A57-913C-B6B85D0955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3AFA8C-C6EF-46C7-9F8D-173F3A6D54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5426D2-AE69-4AEB-9CA0-D036962C1E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73C2F1-2564-414F-8AE1-9B833F7414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362E0B-CCD6-4C7D-8264-D7D60BB657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E0CB22-EDAF-460B-8B70-60613AADAF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547FB5-C19C-4EC3-BD92-5F8EF7A145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AC5406-BB24-4D22-8F19-C97DB78A83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386491-AA23-46A1-B005-992BBD6FB0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0F33B9-0F75-43A6-BF42-8C4870C763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C839F1-7E6A-4D05-B085-B30AE915E4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3B2D1A-7A78-4412-9C88-1E42AABEEB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936055-BC87-4379-87B5-93D02C5C9B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C31C5A-46C9-4B7A-AE2A-D2EA05BD0C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F7D5DE-B629-4A00-989B-C09CCCEE3B9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88A326-76CC-447B-89E6-9E2424A3F4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309CEB-4D1A-444D-A602-0999FA703E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296E0B-D5A5-4827-8DE3-5AFCC6E568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8520CF-432E-46BD-B04F-E6E143731D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61D173-068D-41CE-954B-E9250A1FF6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9FDA72-0349-4D7F-A0F1-308DABDBBB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CDFC4D-03F4-4EF1-BBF2-5F89FEC84B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98EE8E-6B6E-4941-9B04-8E7BAD3073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6178D8-253B-4FE3-B442-EE98FB5027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0A0473-605B-4011-B1B2-6F42395B06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C1214F-D5AD-44BF-9B50-8459E8A662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3D36BD-FBDE-43FF-981E-A4E963F57E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76A9F1-7201-43FA-B931-FAF084A7B7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EFC59D-10D6-4FF7-98CB-75C1BB6490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D26695-9EA7-46C1-8628-29389A163C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72F6C7-990B-46AE-9EA7-80C62AED63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450DBA-D99B-4747-8422-0B0F45030C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0FD2F3-0619-4289-B0ED-74F2DAD8C8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0D9B6F-BEFE-49FA-9AE4-94FE549E0A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54BCA6-113F-41B0-A9D6-3A98FF8328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8FDCA6-8876-4370-80AB-E8F2F0B5CD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16FC6F-8511-4115-9EA9-8A788B6A6E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813C73-91E7-4E82-A5A0-F6065B1844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B1B453-2B2A-4B2D-88FF-D2C225A744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28AEA6-735B-4EAD-AD46-402D5F72B4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051C7F-1580-4D3F-9A05-A67A687D88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DD62B9-3A93-4882-934B-99058E9478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750C64-2B48-4FE1-A68E-361CE79BFF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EAD224-FD73-44A8-8FF9-07884B108D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A1705E-C361-4999-BBDE-D84CE3DC51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1FCF2F-4BBC-41FA-BB1A-2728838FB7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2DC25E-74D5-46C3-B6CA-0AE4AC770A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B63570-8EB1-43F5-91D8-500BCD185C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FA7EB5-57B2-4889-AA64-93DF96BAD3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11D266-802B-4C50-ACDA-AF28A0AFF4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FE81BF-96A8-4BC5-8591-9191C57CB6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7660AF-DEFB-4FF2-A2D4-DC76C62245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FF1FB1-F3E0-4933-81F2-0281D93B05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498590-255E-4BDC-A963-8D1A6DC955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0AEE20-2C8C-49B8-937B-D748C2E48C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08FFF0-B293-4381-B412-5F38FC5A05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6BB2AC-D84D-4C36-A84D-CD17251E14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598BF8-45A5-4E60-9C7A-D341B460A4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E79604-3DDA-41DD-A905-8EFD720FAD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FB4C88-8E09-4320-91AF-502000E238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A83CBB-2E3D-415A-B167-E097874E49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0D759F-1556-4888-B870-B64AB20A9F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AD1F28-89AC-4222-84F5-FABC35337F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0181AA-91DD-452E-9B6E-94B42313E0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18AF3B-BD7B-4EAC-B20C-B98CFE2B64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62791E-1D87-44CA-A62E-7CBFDB892F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B0F6B1-0668-4E1B-9775-B62BE2DB78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7E4A51-9F5B-440B-AF4E-A1DA3EE986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947415-A4A2-403A-B8C9-78E0B778E1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48F199-8326-45F1-BB2A-A7B5E291E0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70EA23-E570-476D-BD66-5A10AD47B9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6EBC3C-4CEB-4AA8-8013-6E5800BFD7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594550-6353-4A63-9360-A6556DCFE0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486E24-643A-42B9-82C2-05CF066DB5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505EF6-C6D2-423F-A896-43B36ECC3D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F1C3E2-428A-4558-BE2A-DE7A77510E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F4AC36-22A8-46B3-A11A-49C7E18E72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C5C2CD-DFB3-41BB-83C6-971676318F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0AA61C-9695-426D-9512-F350ED39CD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EDEF84-527A-4FB9-B2C8-3FEF92A8FF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BF1A53-8ADD-4DF3-AE16-ED40F9325C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CDA4D9-7F4B-47B1-A690-7DEA4E8115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96D9D1-23AE-436D-AF46-3A2AF248BF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B154D8-6058-40BB-8A62-DAF81AAC8A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F24D83-A61B-4206-8770-2DE6786516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1BF3C9-E46C-41F8-B21A-78B6FCA003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EF0665-FD23-4445-9A5F-37AEC898D6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B9D625-5233-469E-9A0D-F171A0DBC4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AF488E-A520-40CC-9A10-74C45BDF17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67FBA7-14D1-4771-9230-C53D55645E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90E0F7-1B42-4A95-A899-5D0AB334BA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E4E894-2AB3-495A-AFA0-4009C4A0CE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A2365E-10AD-4B39-A28C-E1658C5774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B67DD9-7E72-4B77-BDBE-B27E6FBFCD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89BAFB-E6CE-44C0-8D3F-1ACAF8A292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783DF6-6C4E-456D-A861-F21EFE67DE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6BCF81-A693-4984-AF27-EA51AE3E6D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C7BC11-58DF-4749-87CD-82F2AB7007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591C8E-4204-4FCF-90BD-04B9768CAB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3CD744-6D6A-4146-8B21-8C81CD3686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4D5333-F9F8-4571-B681-697E427BC1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8D2FB8-476B-404C-B958-E6891D759D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B0080C-D3BF-467F-A893-CD7E9A802B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EA5EA4-72BD-4326-AD81-0B6F38E6A2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B98C66-6602-4443-BFE6-9524E61C1F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61C4DB-FC62-4031-A2EE-B6D92F72B6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E1C01F-F9FF-4CD1-AA16-AE7A4F6D44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55C449-62B7-44C5-8D9A-1EF9E81E51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8F2F86-3859-4DF8-9868-C36463DC34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D0EFCD-617C-47B1-85CA-347259768E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D63493-B835-4047-8D23-6EA4B83F34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5B532A-0016-4B59-B1AE-AAFDC7A4EB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E3CEF1-4AD4-4AF4-A75C-3B528D76E2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8E1910-EAE2-4B91-8A76-D153E4A0B3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4548C8-8AAC-4E77-A65B-8E0421913B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D0C08C-B6F9-4170-8815-B715557D40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25813E-698B-4660-9690-A4D01C4E92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2D848F-EDC3-4BC4-B1ED-8121B1CAD1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1E928C-1514-4986-A66D-09F4A24AEA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4C2F38-C8C5-4174-9430-D9F0B53292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CA639C-6FAD-49ED-980E-A5A058B843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0C127A-496B-419C-8B24-82C51FE257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46C061-C4FC-4A56-A51C-CB49D7C544A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3D58C5-D168-45D4-9D80-4729AF7226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0E631F-D0DD-4FE6-8F49-8169D62659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E1F90F-AF9C-41A9-8C84-8E40500A3B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3A18DB-8C17-4311-9B09-3F58834BFC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D76180-5958-4C6C-B464-368C7959B0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783FF1-C2CF-4510-9AA1-D1B0B1A8FC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2FBA30-84FA-494A-958F-62F49E7932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0EE069-09E4-41EB-BB33-A8F8EC16B9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488956-B8D0-4EA4-AF2D-5CF7B54F77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8D33C9-A117-4A6D-AAB9-5FC62C0DFA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3898FB-5136-4309-B6B0-8DE5712D41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A7382E-AAF9-4549-9CCC-E00639D315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26ED5D-8497-48CC-9686-202C3D27F8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5E4030-985F-4025-8298-E495575284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CC3031-35D1-4B70-ABE1-9463077E9C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16120A-8F17-49D3-A374-F423CBCDF3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86EA3A-DCF4-4C20-BA46-C6BDCF3605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9B61C8-BC97-4C8A-B73C-68BECF812F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6801E0-2EDE-4FDD-BB49-1D68ACA7F1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E97DC1-374A-4ABC-8C89-DF6C1792F7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F3E092-9EB2-4197-B116-D575F4E87F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8186A3-8330-4932-B9B1-C4C346A177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9A8532-8258-4D74-94AE-C173B42401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F9A229-17C6-4348-AB54-95B861E806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AD2CAE-668D-4B2B-A527-8CB6584A1D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580787-BFB7-41E2-B7C8-77B1D9208F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F47195-A0B0-47A8-8B50-AA9F1185F4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1A1529-3F0D-4DD4-BFBE-FAADBBE780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C0E143-5C4E-470A-9775-5CC4BBEA5F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7DF64D-24CB-473B-8504-D1E86C6669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DC7BBB-DB39-4BDC-9A85-0757044545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6EA9BF-A015-4FF5-B512-FB0C75DD04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8B17CE-553E-4DCC-A963-3D59BD21DF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3D664F-ECCF-4EA5-950A-A53B80486C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2C2139-8688-4EE6-9108-3D33BE2A34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44C9B2-589C-4054-8C57-6FABC133BF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31FF92-3BB9-4390-AF68-09AA881AAE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1D7DE4-5670-41A1-8D97-32CDA6243A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F29B97-A340-4434-8608-46535DE02D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522F29-3F8D-45DC-B2A0-F39D1E3B9E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463A9E-3A69-41A9-832B-245E3470A5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E61BC2-8DD7-40C7-AF88-44C7FFAAFE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87B1BB-F77F-419C-A929-373A5914EC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039497-B1C1-4F47-92DB-EF382A6E65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0A2745-631D-46D7-A7AC-E6631D0DF5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66379C-20BC-4E6B-B7EC-6D973BE417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5C9378-226E-4660-B212-114838C23B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E526EF-3D76-490A-B703-D4D40BF5B9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65E475-8586-4604-9F61-5061DF1E5E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DA7088-9FAD-4454-A311-DFBA0A362C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3395BF-9BCE-4237-9C01-78C42767FD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ED0485-5AB4-4CAA-A021-34807BAFAC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2D49BE-CC45-4A63-885A-CDAF26CDFB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F53A2A-3AEA-42A8-AE4E-81F7D6776C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76C4D2-41E1-468C-B961-A9AB10EE91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3579E7-9636-4C55-8513-6626AA8457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C4750D-324B-4811-8F8C-D33C8F48C0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C0EEA2-1C0C-465E-A46B-CC8D6CA14F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8FA45A-FE89-45D0-977C-7A025E130D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DAD740-D81C-41A7-A34C-8CC489770D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47FD4B-F74A-49F5-9E87-3A6F4E9245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89E4B0-6114-4297-AE0D-52C540B4B3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312A82-0F23-4DF9-9076-53CA00B5A5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32EF78-43CF-44F8-AD30-FDA1EBEAAF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FA2832-5F40-4A54-9140-8B017BC084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250220-56C6-4BC9-92A0-83B0D90B3C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286767-0FC2-41BF-86F8-DB54673048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400AE5-9BBA-4A3B-92D9-8226F8D3A7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E851EA-B5B0-4972-9D9C-EDEF9805AD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2B98C4-B86A-4DAB-8104-ED88F730D2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175F29-29EA-4D0F-AF45-0C95C8349F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A9E3A4-F65B-4BEA-9319-1C1F46C338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BFC7C0-9BF9-4163-99F3-1FA6C426AE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38A622-7CF3-4CE5-99EF-1DE0AFE8F0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B9CB44-F58C-4C34-87E7-BAC466BC2B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F6362C-774B-4EF2-AE75-DB79CF4C84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75A909-55C1-455B-A983-1357CCDAB2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2DF4EB-586C-4868-BAC4-2ECA0E5E1B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6165EA-5990-4EB8-BFDE-E453E47D0E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06FB24-6834-4410-9953-192637718D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5A2741-9C78-4CD5-A198-08F7702086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E26C02-4099-45B7-9BC5-33DD73F90F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26DB6B-6597-479D-99BA-6196C1F1DA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542357-3C66-48D1-87EA-8401580E6F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32A3CD-248C-4F7F-8FF5-FBCBBAD655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530093-38B0-4E3A-A067-29AFA2CE11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8D7060-B006-4DBD-8454-B38411D7D5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C1398B-63E5-4875-81BE-D553DE8C3E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6EFAF3-70BE-437F-8328-8533A49F62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61B3E3-7508-4600-9C10-249E7B479D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663B02-DFE2-4909-9023-F26B1411F4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0507C0-4422-4922-AAC7-6B9B1DE0F2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9BE781-3B0D-4712-8374-43BF288E63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69DC2A-B2F3-482E-8107-EE90989B96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71ACA6-D949-4DA1-BF02-9004E48093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1CA834-2258-421D-A0A8-4C419EE77C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AA4635-4E1B-4E05-955E-66459143A3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AF6473-04AA-43D8-9503-B48A64A2D6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F5B6D4-B9BF-4BA0-AC75-16CDAAD539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60BE9E-2A17-44AC-A714-A5F5BC2DB1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F568D7-9AE0-423C-9D14-62174C1355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D993AC-B46B-4F27-B0CE-0B27A50ED2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D4CD99-2D10-437D-ADDF-D6E5EFCD02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FA4FBD-98BE-4042-9C2E-B7F557195F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3E1C8B-0C9C-4644-BED1-5247C3599A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3E03AC-771F-4C82-8057-32DA1839A2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A28F96-6B87-46D5-8608-629FEE95EE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C35678-323E-442D-B020-A6A9F34BAA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81BCD9-2CF9-47FC-990B-645A1AE451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04429C-3A02-48AB-96A0-15DF0F9C53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9DE3DD-E739-4155-98DC-36B085D362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296315-0637-4442-8BE1-D812E4B2A7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5961F7-BFE8-48CC-9996-75759EB942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B82250-3185-4D36-9A6C-AF9DE50A97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9D927A-FBFB-4356-9017-32D972F8BA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D4EB08-920D-4A98-BD2D-9E38D210CB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F0279B-8CB8-444F-A8A4-9032F70828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D66F5B-12D0-49A8-AA6B-5BFC94FCB9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F9820A-EFBB-4CF9-9FFE-96CA5F99FB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BB5577-3586-4D8B-8C6E-5A024BACFD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137223-53D9-4560-9235-7807E722A4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DB372A-D225-4B1E-B110-2F5A60FB24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A29FD6-F487-4CAB-95F9-B8068EECAC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B9ACC8-25F2-460A-B216-FACA6D21DC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B8D6CE-72E3-4A2E-AF83-2BC05DB3CF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798E43-84D9-4FAC-8002-58B9D5516F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FED647-DFE9-455E-AC0D-7628D96A6C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B237D3-156D-4B64-94B0-BA2B031F06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F863B2-5322-4E2F-8789-1C3D008793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4ADC8E-69C6-4C29-A592-ED77F9A48D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3F93F2-4018-410B-AE9C-C896868C3B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93623A-8A1C-4C55-A7CB-E3451FFD75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92545C-AE76-462E-80EC-C416FD7CD9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290E4D-4DAB-42D9-BBCF-063D88ACB5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E9239B-B812-44D0-ACF8-6292BD051E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50DB67-BDFD-48F1-AB70-3AE12FBB39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C3BF54-580A-482D-8823-4C1DA17DC7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E68FE2-4F20-43D7-9CE7-6A3FA78992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8A6789-DCB0-43DB-96AB-451804D189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12DDB3-76E2-4A81-8373-F934299168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10E316-1C27-4B94-B22B-766F0EE71F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96E2A3-EF62-4DB8-B6D1-11DC0ED577C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4A8900-300D-4776-A05E-7A2291BC32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B922E8-696C-4A48-97F0-7DFE4531B0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3E3D91-8BC4-4827-83F5-903090084D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9F0AE2-2FBB-4BE0-8483-134EA603A1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4D9D0B-46F3-4D30-8FC9-5CA222729E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8ABC0F-9A03-4C47-92FA-269943D4B1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12C6FD-7592-4D36-A8A7-7DB4D6FC24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E349F8-0BD0-49A1-BAC2-05E6E46189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75E13F-69A6-48DE-B770-6DFDE90838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D28C66-C7D3-4846-AF4B-87552CA5E4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3188C8-2C6B-4860-BFFB-F4EC47D38B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167AD2-A0AC-40B4-8237-CB68F8F1A8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524367-EA54-4B1D-A8ED-115EBBBFBD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D6CE28-DF70-4DAC-8A48-F9AC4770CD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DC515B-85DA-439B-8984-6FD502C40E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E27410-3A6F-4ED1-AA37-B4F8BAAA0F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4878E0-EE25-430F-AF93-4721949057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4D59BB-5BB7-4D58-884A-AAE5135ACF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51FC9E-904A-427A-B885-28051798BC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A919A5-D307-4D94-8918-1BC5231F07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D30AFE-524D-4664-B186-4BC7AA1DD5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26C137-EBF6-4CC8-9C62-0BEAAA1D41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E995B2-AC47-4360-9867-0B402B7E1B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1A908D-B405-41B2-A11A-9EB39A2A32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F3B59C-7A0B-4593-959C-A091D46FDB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11B2F2-A98B-4EBB-B940-D992686631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3ED4F4-E698-409B-A77D-E0FB3BDDCA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8274A5-770D-4078-96EA-22D367E978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C33AC7-3887-43FB-9DB0-B2B7344D99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88AE29-0767-45DA-A3F2-F5D6B6B8F8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7671BB-AF1C-4749-BBDD-6C7712B938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0DD427-98A1-4705-BF9E-34E0B1E176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3A7F4A-2C94-42D4-9952-6F50D496F6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CA3D7E-7BB5-4F11-8D3C-105A999E3E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FD2335-FC92-4B8B-AFDD-53A2A280AE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915196-D1CE-45F5-AA31-CA913C8E73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DFC2BA-BA94-4A63-A0D7-FC81CBD9FF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0180AF-7767-4BE0-8917-E9B7551E3B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708804-54AC-41C0-90FC-88378A0D77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FD1175-44B5-4FAF-B44D-4B57A1268B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0851FF-24A6-4EB5-AA5B-3B649CEB11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BB3975-9000-4442-BEAB-83F3CE6537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4A8B77-4A4C-4275-AA42-BAF48FB13A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CFBDB2-1077-4007-9974-525AA8B7FB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12DA79-D4B1-4ADF-AC35-E7A5F288AA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4E6B95-01E3-425A-A983-1655FBF376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B62B12-8581-4D33-A778-69DF8DA52A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9C2F61-618E-4322-B64E-0CE1D3B3E5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DEF8FA-398E-4F0B-A223-AE1EC45019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5CBF0D-DCDE-49BB-9017-F3D12DE3B0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9871C4-CD27-4E83-9252-47C3521443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C7C859-44D5-466B-97C1-ED94155E79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0427EE-D8C9-46C1-90C8-F9C94448E7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9695C1-49DE-4051-A755-FACAC8C1F1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271281-925D-4192-9443-A59206538E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B06434-E91B-4EA5-817C-889FC6C651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AFE73A-4D86-482E-A85D-B0D6ABBE5F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1513F2-D81A-4BFB-AC32-B9DFB392B0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2AC361-566D-4204-950E-B6F66C975E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E218F9-FEE1-434C-89DC-888FF10CA9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710E6C-3E8D-465C-84EA-504D0A4602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4996C6-C66B-488A-A246-E01C4ABC16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617EEE-560A-4FF0-908A-E8DEC0FE83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46A367-2B3C-4415-ACA0-8963ED29A8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C4DFA3-42AD-4B68-BD98-7AC2AF9E17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6F0F85-A18A-483B-87B6-72E8258F48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549078-E8CD-489F-BF58-941A84798F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3D561B-9564-4178-AD56-D742C609A9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84FCB2-2EA2-4BD4-AB48-E39096F646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597193-6296-4B74-B722-2DC996784D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4EDBFC-EEBB-4A88-80DE-E6677F31F4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55D8CC-8C2E-424C-B842-48FC032974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5FE7AC-8176-4B05-8433-5AF6340541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429A1A-7AE1-415D-BEBB-285DE203FA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3C14DC-8C93-446E-BEAA-6AFF3FC4B3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4A85DD-007F-4C93-84FB-DF5B47EDD6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69578D-354B-44D3-A370-D0404AB2A9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6B30BC-EF18-416C-AC00-60A676B5BF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8B35D4-DFC7-41A3-BD13-B67C7AF4EF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6C4BB4-794A-4F83-9B89-0E3210BAB7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71833B-6BB1-4E3B-A6FC-1D17BCA66C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6136BA-0C1B-4395-AB06-3110CFEDC3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12C36A-274E-4C12-B4AE-4AED82F879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3BA801-DF04-4BFF-A23E-EC8C90C8CC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D4C503-A729-4BC0-BDE3-6DF92E7ACD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F98DA7-7107-4FEF-B091-7B121336F9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52D35A-09FF-4678-8718-46EA43DBA9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EDCEC4-CB63-43AC-8BA1-5344C6CB9F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118795-521A-4A0A-BDBE-E93BA4A762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63F76E-19B2-449D-A2F7-1CE79603E0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DED324-C4C0-4B26-81AB-7DB4042F19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9C7570-B9C4-4953-9444-96F716040B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900AA1-035F-458B-9176-9F564D1BE7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57EDCD-97BF-45BB-BAD9-DD48A81C2E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7776BC-F955-4209-85D8-6DE4ADFE4A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93B39B-B4CA-44BD-84C7-57F55527D7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73DF84-B294-4F93-8E8F-F3F778A49D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64FC70-59AC-4A52-8E62-CA27A17018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75B200-0AE0-49A2-9DA8-ED789AC041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FF8835-418E-428C-8E50-8287EA7657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64C545-290F-445B-9A6E-61B4297E30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9F840F-2CCF-47AC-B79E-BCDA82F126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0C5320-3863-4D59-92B8-C5042511BE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B05C72-7334-47B2-8074-343B98ED91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CC48E8-04E4-46C8-A1B4-3EE1BD6A46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D8968C-A20B-4648-BC2E-ED25C1298C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94BAAE-3E00-42CC-BC15-BF980E6E01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649248-D3A1-493F-8A29-46C00101FE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5C4D40-3714-4372-B253-1B165B9E45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945139-E705-4E8D-9EA2-A4B6F53BFC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75AB2B-3205-4895-9E19-DAF01EE953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148B34-0E4C-47ED-97CA-9A1783F291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8E91CF-B19E-46CB-BFDA-11AFF53912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18B5FB-9643-4C74-A42E-666B8A982B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6EDD97-E595-4553-B4BE-19B14C9A24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222493-3264-4DE6-9DCD-169AFCAA17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73D57B-2D09-42F0-99CB-CDA93B9C4B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0C23F3-1FC0-4485-A153-AF4A78E8E6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CC62D6-2662-4A72-B38B-EDA2D2B35B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6F60B5-61ED-4440-9AE5-B1CD242E03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442287-3E2F-4A1B-9972-7D5666F575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CE5232-CDDF-4E24-A5E4-D54936A0E4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1E0D70-2991-4057-8B99-803776190D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3381AE-A2C6-430E-AF8C-3AB49CD544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8111C9-582E-436E-B375-B91D61BE7D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15600F-230F-4108-8D30-7EA24371CE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5AF3C2-7DD8-4C06-8353-C028E04246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D6A8CC-D0C2-4465-AB95-61BD7039F0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96B9AF-A01F-4AC6-AF53-E5DAE7333C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A2014F-173F-4290-B2BB-00155CAF17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1D22AB-8FE9-4E7C-9F2B-3F2487AD76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930E85-A31D-4410-9D53-48D8D4B578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F611A4-13D9-4B9F-B91B-5B91965A63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340657-5837-4348-8F27-7C956A6358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64AADC-F056-4BA1-8BCD-A8D03A7AB8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061330-528D-42EA-8C1C-66F177199B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635F9E-67D0-4C72-AB51-F697D53AC9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BB4E0F-3F3E-40B4-A56A-B7CD1F13CA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82030A-5D9E-43B7-884D-83F101B240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F7331B-9944-4B76-ABDE-606DF65368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9042E1-7629-4836-BCB7-AE5D91D5A3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18E634-E6DB-4247-A681-FD412FDD71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4968BC-9B5F-4D04-8F92-689B5D5C68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C6D24F-1426-41E4-9B0C-34B480FC17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FE7AD6-329F-4A22-BC82-58F28B7E8C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27FCB1-253A-4525-9A5B-CEE7FADAB3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19A5F9-3A96-407B-9A14-28D4D62E42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41095C-13C1-45D4-9CF2-7EC5E71FF3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8A655D-A200-454A-B25B-8239C2FDAF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40AF68-0B8D-47C1-B6F2-78E5308CE8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B643C6-AB96-4B57-BAE4-B515CF25F3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9018FD-2273-49E3-9C5F-D50A2E359F9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E62992-4C4A-4F9B-BC8A-1371E45FF4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EB7BA7-80D7-4F0B-BB31-FB6F39E533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BE002F-9465-45C7-99E7-E6E79651A3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AAE04C-89A4-4220-BD0E-0379449B44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DDA511-5C96-4E34-A810-EFCF26193E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4F83EA-322A-4C9B-8668-1A0D4B6C52A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6E701A-3036-4F8A-AB9E-2135EBF357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6A7D50-E79A-4D0F-B66A-679227547D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135EDF-E138-449D-87F7-56406D9C5E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E3CB35-127B-4CB5-9330-4FEAF35DBF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CEC2D3-B3AC-4FEC-A704-62D87C54CB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3C637A-F1EB-4667-9056-A34810358D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5BA483-FA20-485D-A3CE-8BF9284A80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3C624B-4BC5-4D75-9F5C-47B0A64BB9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AB6041-2C3D-4E62-97C3-459E159A32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5A7FC8-2DE5-4ED8-9EC8-68507B146B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394F85-C55A-4B1B-8FD0-4431BA6338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92EB15-11BB-4310-9221-3DD8EAF030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AB0B94-EBED-467F-9C11-2E7F5F444E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3FD720-088D-4D17-AB44-D8670F829D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1C6878-D750-4479-9ED3-5D25C438C3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FE6A25-2651-4A38-B6D2-42D73107BB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EEAE05-2874-4B37-9CD5-B1182AAE82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A9A9C1-0B70-4421-B1EF-84849A0AFD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8E7BC1-CC3F-4802-A09D-DA43170498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81AA69-A347-4A5E-9970-575775EF7D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05FBAD-1D38-4FFE-995B-414C6CF547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C1F31F-81D5-43A8-837D-2486A486E7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0CD763-A601-476F-A910-A83B89BBDC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EB0AE3-F20A-4491-92FE-D0C38C1D0A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5F47C9-1F11-44DB-AB20-0F8C94A18A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1ADBB9-FBEB-42EB-B3D8-F4C0B7F570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25C92F-0E1B-4765-8B52-F9CD78182D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CD6B91-CE26-46B2-9D0E-FA710869F5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CEBAF4-01F4-4AAC-86A2-8A29C74319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02C5BE-F51A-4EC3-ADFF-68C1B65073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BA1C43-F2F8-4316-BAB3-912425E3D4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41270C-FB09-4C31-8DCE-DAFA772A83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473742-E7A9-48D2-B5DA-3490449B06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C7B212-22C4-4018-8B38-15EDE90CB6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8406C7-5E3B-45D7-B3D1-D4C2F7FFB4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C1C449-173D-431F-A811-8053FA12B3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B22CEC-8A58-457E-8B50-47C2EA5FDB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C2FC01-04D7-4995-A6ED-B57EC81BD2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3E4D25-2712-45D6-ABDA-E6871DA8DB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D99A75-54FC-4654-BC4B-485FFCCEF6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2DE1E4-6526-435F-9E49-545B24940D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52DB02-52CA-4092-98D7-0CE87C5510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856372-A203-4D8B-9152-2C4F62A34E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01B333-CD09-43EB-A58F-89A18AE492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BCB128-CDA1-475D-84A8-E6DB690299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4B576D-18FA-4919-A553-F8E4481958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0D9FB3-AC44-41FC-B8CD-634E51A9F5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16A791-CF60-473E-A758-93293C1D75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9EDE36-CFAB-4F65-A665-8DCF4B2AFC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C95D48-88C7-46CA-B115-6CA979C943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1073E3-FF70-4C43-99A0-87FCF7506D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5BEAA2-5641-41C0-8434-D6F57702DC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4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9A10F7-FBDC-4C71-BC57-37B17B09BE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E3BF57-2D31-40AC-A591-9F5B79959C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D15F29-3670-48FB-B27E-95BB979797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F931DF-B627-404D-9999-4A5A283012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77A4BB-660E-449C-893D-104F29FDC6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CDB143-8965-4A66-8902-F7702EA62B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D6C850-F401-4D58-B5CF-18AA32F308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4FD2B5-D283-4BC5-941C-59EA486AFE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6E8BFF-203D-4132-95AD-7E2405BCD1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37D126-4D99-4D47-AF64-FBEA9DF0D2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79FF80-3C52-463E-80BB-7F799FFF3D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68E0D0-0DB4-4DDA-A246-2F44E9DBCB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B285FE-7331-490B-8687-A443613EA1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889AE8-E68A-4658-880A-1C957A2E1F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5A3066-3095-41A2-9E15-067E829C51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42FC9C-15F4-4B11-B8F6-9A40C22248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CEFE67-5694-4DA3-832A-401AA2983E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E467CC-F5CB-481C-8C88-73735F6040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996905-5B4C-45E1-862B-D21E46AD78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5389D9-2544-4174-97AC-F4165453DE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2C0CF8-306D-4974-8625-904F95F70DC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C73A43-FFF0-4A29-821E-A016426AB3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D80210-E3A9-4592-B6DF-7E1E465C2A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0949E2-6920-4EB0-A2E6-BAC28691BD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AD5E94-123C-4111-A87E-881BA538D1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75BEB9-E779-4724-BBA0-91F0A9FB69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1599AD-343E-4D7E-B5CE-7BFF4A0488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010DB4-372A-43C7-871E-D7F9E2B318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5E39A5-4161-48EC-89F4-38E4FA0488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7B832C-95D3-480B-87CC-A251265C9D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D8AA95-D8A5-47AE-935D-2E58734184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A026D6-9291-43F4-B464-41C225D4ED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8CE1E6-DFD0-4F1F-8919-FABB0D970B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A39A27-830F-40B1-8142-9389602F7B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4322E5-9414-48F2-A63A-3C55BAEC94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106ECA-840D-44E2-8B2B-E4FB4C87D9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78D739-71A2-4019-A132-3A406FFF14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752D96-8F72-4F14-BB30-D764A44EC3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19F707-B9C0-42E7-AC1D-31008ABF1D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C41D62-1326-438C-A249-F1E83A3F38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FFDE22-E6B9-482C-9DE3-A76F8EF679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CE8CD1-1971-4249-99ED-5FE8F03F14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F1A5E0-4D15-4915-96CD-309B0E99BC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BB3755-52B0-4735-A55B-DDF974D6A3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38E80A-5074-4ADD-A09F-8B1E5E2007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BE9934-F1EC-4191-9290-4C4CAF3553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CD62C9-237C-4D11-B1FB-7EEFFC757F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1879B1-5418-4591-8D5E-20D447BDD9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D291D2-8955-42A9-8634-F17DA2EE3F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6D3947-E725-43DB-AFCB-A6235B0F4A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DC4D50-2596-40FB-B054-3C9CE1C730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61B3F5-0291-4C94-BA61-962DAAC9AF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8FCEF5-AC4D-4CAC-BB3F-B9866A2E3D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FBE47A-C252-44D9-BFC5-FF1AC28E1B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317F67-6213-4553-972C-74DB3D3A9E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21EB5D-C34E-4B5C-AFFF-482116AEB5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03BB95-CF0B-4B70-B9E3-3F222E9CDD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A4A135-8C9C-41A2-B43C-D350656A78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FCB2C3-19E5-47B2-BD74-97C75F099E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0ED176-F413-4896-AFA2-E3B358FBAD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F1995E-98B2-434E-A43E-9FCCE737E9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6BF7B4-2183-427D-A248-507D8735F5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07CA54-11A7-46F8-977D-DD194935B0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325ACE-1216-46DE-BA17-926C1EE3E1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C9608D-0B53-4F7A-B86B-81AD8D6D7F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AFF84B-6479-43D1-A7BA-C24CDF0008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36048B-0751-4154-AD78-F7F540E9FA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63EB0A-66E3-412E-8B40-F9222746CB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880E59-6900-42F2-951A-478C9F4C5B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813F9F-F8D8-4006-85D2-EB12E84B48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DCB297-9573-4379-8B6C-2E5D6154C7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C82025-EE28-4CCC-B799-89AD3ED959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2E9DE0-4B0C-4161-A276-52BFEFB6D4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A2552D-AC18-4430-BD39-40C34244E6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5C2410-4A63-495E-92A4-B8BA31DBF7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4D9ADD-C3C9-4D4B-A508-453B47D2B6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C91B6E-170C-4573-BC40-F756EF0E16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EC7D88-7693-46A4-905B-A68D8EC18D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0BAD0B-5752-4645-9237-E7F2529EE8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84C616-16B8-4164-B676-A60E177411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090572-8A68-4F79-8010-F66E6DD45D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426582-E26C-4E90-8A0F-CEE5A5A62D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9FF425-07BF-4854-9BA2-C32F6182D8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32A01A-1E49-4AA3-8727-77965CEE5C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DD376B-53F8-443F-A42B-42A49F15E1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BB5011-4678-43B6-A2A6-235B975A57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E066D1-EF42-4F5C-8E59-DA0EBF3CE4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20B3E-2353-49F2-9912-0C2CE4D42A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489068-AEBC-4B61-AB54-876FF190F6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EEFED4-ED39-4420-937E-97715351B3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66A8AC-EE06-4E0C-9C6F-50E38DA11F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514D66-17D3-4552-937A-38A912FF71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8E4757-0B55-41FA-AE68-8C0304A668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E61560-F240-404F-B763-F8C4B64DDC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1AE4D2-354C-4A86-B296-FC5C32773D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01D35B-C9A8-403D-B008-C8082BB4ED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FCEB05-133A-4D91-9E82-656FAA56DB9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60CDB9-DE1D-4F9A-9D1B-D9C852209D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0A08E8-1C7A-4C70-92FA-F991F0AADF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9E8B16-4203-418E-BD2D-3796D6E2A7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5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385E44-C320-4575-85B0-4937289E66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A7B189-3B13-4817-A91F-CEC79BFB7E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FF5FFC-AAE8-4A78-A040-8CF241542F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63CD33-8A8C-4D8B-973A-D6AB2EFA35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20E605-DBF0-4FBB-A808-38CAF9A886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E65BB3-8D53-4855-89D7-F3F6CD330D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18FF1F-7200-47C9-990B-892D9E4471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BE97C8-1FD9-48A1-BFEE-F8AC3A245A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770EA6-3907-4A0F-A264-690F9A5F26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4860EB-51B2-42A5-95F1-3EB88022D9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B4FD68-9688-4C02-AB28-73E195952E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EFB7A7-26D8-48DF-BF59-BC16736BBF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B07A18-F046-475D-A808-D8D0B528B7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A05F42-E0C4-4FA6-A43C-E89A1A8812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E42EA0-E1F0-42D4-B110-DA9AE8B7B5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289BA6-C955-4056-88E7-3FBBA7C2F0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0C0B2A-99EE-4BCC-85B4-E0B6CCDC9B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B5FD4A-104E-4F0D-A58A-8CC1215853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B4D737-00A6-4B28-A437-C443FD9295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84FAAE-9407-450B-AFCC-247349D713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C1549F-4ADA-4291-BC3F-D38B84CA15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0C2357-2454-4D22-B822-8FFA9F78FE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E7C085-072B-42F3-96DA-E2B4548483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80B246-84AC-4973-BF56-CDEBE45579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F5E7FF-0389-4E50-B2B1-AF35003F87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887774-ED41-4171-A51B-E3D6E22D0F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665660-AF5A-471C-A919-83AD2FEDD7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DCC3B0-97BC-4B25-B347-47B92088B0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71EEC6-11AF-468A-85CB-FAC6476F13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7BF307-FD0C-4BB0-B12F-A533439ADA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BBC99D-7246-47B1-B608-9ED31DF9E9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D68119-C43F-48BD-BD0A-80A25A1658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351495-4A01-4494-8EED-B6E025C202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F0C6CE-8914-4CCD-855D-A6CA7327D8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9C313D-9CC6-417F-9015-75703B9A6F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25CBB4-2A3D-440D-9F94-AB29884431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EF0254-2886-4285-97F2-13882ED1DE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40C50E-4238-4678-809E-B74777CCD3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515DCD-B5DB-40F0-B8E5-C17BD9F60A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2215F6-4388-4DF3-B798-32608623B1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64C73B-FC22-4AEC-B365-EECAAE7B63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0B85B6-93CA-4C42-96A9-EBDAD146F7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EF9B0E-35EB-4D7F-942D-3727C56F8B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69A5A6-4296-4DAB-ABF7-FF9F506A61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2AF156-AB14-44E4-885B-C1D431AD2C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3337CE-D575-423E-B91A-02AE96EEC7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E6B907-446E-4E20-8A6C-E75AB52E2F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9CAEA3-DC7F-4DC7-B22D-9BEB66AA3B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2F6299-9DE0-46CA-9D92-3B330B9A3E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813925-5BB9-4202-90F3-6C51BCCD7B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3CC03E-9956-4EB8-8BF6-FB027BCF23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5D451A-1812-415F-A129-79CC9C33A5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9F05E3-E776-4B48-9AED-1852CB0E98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195EF6-3956-463E-B508-95F9B23037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18B0E7-B695-471B-B565-B688A3118A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3ABB95-24A4-4535-9ACC-3FE06C3A9D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CD0E81-18C0-4A66-BDEB-C3082D8E8D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46FCB5-659C-4DAF-B344-D294DEBDB4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EF24AC-FF73-49C1-8A57-BF6DF7BCE1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C140E0-8051-4D28-9BA4-FBD962BEDD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97099C-D296-4136-80D9-5C7D101E39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70D22F-DABD-4A2B-AC93-F756B79B5B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B71EA4-5705-486B-832D-5C02C95975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187F1E-FA6B-4D88-9FD4-F06EA95251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01F3B5-E35C-48CD-BFEB-42A5B92C20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4D8CCF-A9F9-41CE-8199-DFA659DFEC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978B98-E25C-41B6-9509-4464FF2ADD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6A9051-A9D0-46DA-BE5C-4ADF49CA66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A33465-1C6D-4833-83BD-0773870589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FFCBA0-7C3E-4F05-8615-0AA64188A2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3529DB-34C1-4C1C-9E73-1B8B889505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451D2B-568A-4C29-B32E-901F922FD3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093EAF-7635-4ED9-92AD-0D068C403E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2043A4-6104-4BAC-BFA8-ECF094C29F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B5F6D6-E3AB-4FE6-AEDB-32478421F3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8161EF-8B6B-460B-B67B-1410D8B5B8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F23191-CD00-499E-B848-A17862774C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156E9C-3D65-4BA7-9006-4BD521F903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E9A75D-60E8-4F67-ACEE-950ED4D15A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26647A-5D70-4269-AAF1-8D03D15436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FDD77C-6408-4C6C-A694-9F9A597324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CA14FC-FBF9-4757-A0D9-582A0C768F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6C1343-3BA5-4F19-B7C0-336EE1A20F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136E1B-5A4D-4F48-84AB-5E95AB18B1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A78DA0-0864-4E04-8B68-EE2D5B1E32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D3D554-8269-4595-9E4A-0C9821748E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AF615E-D7CA-4FBF-A1F9-244C65D7DF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33CE23-A2F6-4A23-A975-0156F55264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AB5E79-5226-4B17-9B1E-DB9D36AD7B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AC4D6A-8499-4454-B1FE-5CEDBCC561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FE007B-58FB-48D2-B398-EC2FA21C4C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7F79C7-87B3-4541-ABE8-1B0117A6D4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1644A6-9396-42F9-88AD-3E4588DAC2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6F1A93-3AD6-40C9-8B0A-CBBB7D5074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4348C3-2FF3-4076-9F06-A8AAACEFF9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84204F-6F8F-4734-B166-C9FD7BEBE7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FBB43A-D180-4178-B43C-8C5D29DC3F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FCC145-F3C1-4CF7-8BA2-50CC467C66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41AA42-D7BE-455B-838C-CF6A605CAB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43F7D3-4118-44C1-9B9F-48723FFC64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6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FFFABE-73CB-4F78-861A-E8CF2DDBE9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8A4D88-E92E-48BD-81A9-CCCFB48A41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3BB83C-1C06-4D36-ADD5-18832778B9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160DA9-D196-4F66-905A-7852DB0476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B85A2F-D07B-4909-B735-2B5430037A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AF448-00C0-4C75-B614-CFD869131D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0661CA-DA88-4CF4-9032-D4C96D7FFA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D88C05-0F68-49FA-8BD2-665AADFF46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05BFDB-1355-44B2-A4ED-0214A7ACBD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57D630-921B-41C3-ABF4-66DEB59472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946CAE-4DAB-4EEF-BB92-599A326CBD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78DB38-1651-41AA-9107-14F11AC95B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021460-5BE6-420E-975E-A31E812297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AA0C87-1946-452B-AD55-67B7941AFA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69DD45-647B-4840-8CD4-A272BFB41A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3EFC98-5FBA-4C0D-B03E-90355366AB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48327D-0079-4626-B0FA-0C44EC72B0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775AEE-EC09-4B81-8EC0-260537C73F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166D07-1373-4C7B-8932-A58B4CB6B5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D523FC-1D1A-4B58-9BA9-D84E7891B3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B3E087-1787-4456-979F-D001F8B4EA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1F935D-33B4-4F0B-9BDD-B6D6A53EED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947E27-033A-4450-A4A7-AA5D89FB2C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4B1DF1-C173-404F-BB05-15E9FDD3A7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9CDCF8-E06C-46F1-B5FC-CB8C5295E2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A82603-E6F9-4817-BDFC-C1F2AD187F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2DE783-4071-4FA6-8E10-3CFDEF0D86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1272B0-10CE-40C7-A369-88C271E9F0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C029B-B167-483B-BEF4-2F3FF24BAE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700977-3D04-4409-8BC7-8AD798699D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1281FB-70A1-49AE-8DE1-9F13942346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DCCBD1-F627-4EE6-A37C-A32ECEDC1A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DE6E6B-D29C-4D5E-967F-F4AB1888E2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726F8F-32B5-4067-8EEC-BF7B63EA60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9A9F62-61F8-4A4A-AE5D-DC849B9171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FC20DB-3BD1-45B8-A0BD-8979080075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477964-D8F5-4F9E-A178-EFBC0F2B3C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0DEFA9-E27E-4833-B406-3C5B416BAA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5A9560-9735-4F47-9AF6-98335305E7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BF0AD1-F0A1-4B49-B764-37976C2BF2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F3F894-D9ED-4900-927E-8217C885B0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3799E1-0B9B-4399-95A8-363D253E38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02C2EA-AC34-4312-83A9-6A6EC226A6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592AF3-1C82-4A53-B77F-4188A89736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A017E2-160C-4877-AA39-DB90EF049F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3949A1-4D6B-4158-9D29-45FD1E6088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0F8B55-195C-49B6-A090-24AB7150CD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926EDA-0609-4CAC-B5BD-884A76C8DD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F60FDB-C1D0-4633-90C8-2A761FC4C9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50280D-C9C4-4054-8EF1-AF264B0FA3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BC2F56-1B34-494F-8A8A-512EA52B4B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BE9A91-5880-48A9-BC20-A84DD16678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4FF573-52CB-4807-8FD6-151DDF4B30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18EF4B-CC10-4836-AB35-3D910B9A9D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8277C3-2DBA-4F7A-9FBA-911F82CE9F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45C882-F692-42EC-9910-95D14FA72C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2AE604-27BE-456E-9B81-9BF9BEE3C5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A51605-85FE-47AF-9583-5F4020A95B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3E53B2-D4A3-4C9C-B1CA-9C393854B3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A46F84-F98C-484A-94BF-B0C17A961C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61BAE2-7E28-42CB-AD86-04EC345C22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5A11A6-4011-4447-82F6-C0DAFA340F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54BFA8-D4E7-406D-96EB-3129BA75FC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FD2A94-F6FF-44A4-B9CF-FD4E0C865D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9083C4-C0C5-4671-9CD4-B5BF9844EA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0BBD4-59DB-43CB-A211-ABEDCF9483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B1469B-2546-4BE0-ACE4-9A8D00227F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39036F-A790-4125-A55A-5044692E42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02A6C7-42DA-4EBB-8D7D-DFD3DB7B7D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775E3F-11C4-48F1-8101-9F1A88EEAE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BA5661-A7A4-435E-9E69-CDB58411D6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7F236A-CB3E-4800-912A-9043224D82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EAA981-CF31-4007-873D-2CFD02731E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21A03A-6A68-42A9-B80F-AEFE4D65BA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96F9BE-A1F1-45E3-9D24-B49CE9DBCF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8C4752-3FDC-4601-B34E-1732D6F0E3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2A02D6-D7F6-4F82-8456-AB5E3B35B3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24E64F-13D2-4393-931F-51E25022EB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12D87E-D927-45AD-8D8D-CA0332318A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598EF1-0A9F-4B8B-A483-267E2ED893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45EB48-FFA6-4392-82FF-21520802AE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C7D9B6-6CD1-45B1-87D4-F2785E35A3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0676F5-35F4-488B-ACB9-2E7BEDF403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CB6F8C-F49A-4AA0-969D-3E4C9AC823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AE4AF6-7899-4C95-9404-A320A59F9A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16C60B-7FF6-4B04-986D-CDF6B95217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87575F-B627-4BCC-A1D3-8BD1F96384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29097F-C63F-4774-9075-94FB9F9838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889FEF-9CCD-4AA2-B47E-1C492DFDB8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86E170-481A-4D62-BCB3-F9C5EBD35A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D19407-EE20-44EC-A782-D41E91867F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1BCF23-7D6D-4E63-894D-1EA1E83D42A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73BD41-6BD1-4468-8F1C-BF61464B30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F46A9C-EDE2-4CF4-89E7-106F9C2C31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3DF592-4380-4C77-AE59-6E7995D5AD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A63343-560E-410E-844E-403A8BA240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AEE86F-89A4-458B-9030-0B6C793119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3492B2-AC2D-4134-B2B6-EF6E4EB2A7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6EA0FE-135D-417C-AFA8-537ADAAB75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24E62C-6BAE-44DB-B4C2-F34195E937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7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D35DF4-FE97-468C-A76E-BD3B9D4E52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5E90F1-6DCC-46EB-AFDE-06A52E8264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D8929F-D711-4E3E-8764-F653CA8840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0FC6E9-87F4-44B3-98DF-32292A1E22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66C357-5E3A-4D33-80AC-4A76BE7DFF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E28D21-2428-4314-B2F1-C20AF41DA5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C2C993-6932-464A-972F-959D0EEBFB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D2A27A-8FF3-4CA8-9F39-8B0B2CAE10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7836C7-AFAE-4E1E-9303-84337C938A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04A1BA-3CA8-4FDB-A2BA-32BA7F756B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E466AA-6FBC-4681-BB16-46AA1D29BF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442235-C541-4D27-9605-F97A3B2D92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F0F77D-F4B7-4D2A-BCA4-1E6B299ED1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0CB6A9-A27F-4ADD-ACE7-C89F57FA5B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C8F0CE-F8C2-4F8B-A9EB-89C1D59765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A6884A-2DB7-44AB-9784-EC9A5964A8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FF13D8-7F6C-480F-BDA0-C64B349885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58CA7C-608A-422F-AA58-573089A015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E30CB5-4B09-4E96-88B4-E76F7139D8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DC7C5A-E461-46ED-A6D0-C3C81E7BE9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4C518A-BD1C-4E9D-9E6E-94EF4BD9D8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E1FF22-153A-4C96-946D-E734871822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9B1195-D020-4815-8FAD-1BFCAF2F56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EC49BF-7FAA-42F6-94B2-81ED286C84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5AFB0B-96CA-46F1-8881-4F18B2CFD1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EBE417-46A2-4263-B95C-B176330497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BDD4B5-F76D-4AD1-ADA0-33BC929A02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5836EB-42DA-48F8-B6D3-4904BE02FD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E07F22-1E0E-4927-8B02-287703719E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4CF0EA-29EB-4F45-9BF9-8A308AC7B0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487AB9-3D5B-4142-9EE0-5DEC83EC7E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9D482D-8564-44AF-A3B3-2C0AEBDEC0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B353B5-7FC6-4DC7-98B6-69F3176CDE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17282C-FF7D-4E3A-9E2D-8D5915BE35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5D7B22-2E98-4172-93DC-08127CC30C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7CD3E4-3FF7-438A-8D46-24BCFE40BC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F75130-D814-4549-9AC1-0610F4E7F8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861634-2803-4EFE-9DB6-9914986B82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2A848C-9991-46EE-B443-1AC5D346BA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4BEF48-953A-4B42-B4C0-68A68E8C78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CEEEB0-7F84-4A18-BB8A-F75AD68B6B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812C42-08E9-4AF1-8BC8-3A320AD6BA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2A014A-357A-4C9B-AE66-249B6F048F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A968B0-C27C-4093-ABB3-5F4D021F04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393071-B17D-48F1-BD00-9AAEF8259E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28C590-A430-4440-82F7-36C1A08396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10BAC-A79C-40D6-A874-22BADABE06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C60FBC-B079-4D78-911D-05BF70B2CE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2B886A-7F46-469A-A892-DCE1A7D70F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D6773D-832A-4671-92E0-512F398A6F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1C092A-3D39-4E6E-8C3F-5C59C2032C6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B34E20-FA30-4460-ACFE-54182F1997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70026D-5978-4712-8C5D-490FDB340B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C63B83-A02B-445E-BEAB-22C6BBA2A5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BC4051-01D8-45DF-8A45-7D02F68400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5CA91F-BC0E-493E-A106-BE0E94B4F6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BD5DF1-8752-4813-9B2A-9B45C0D7C9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166710-A5DC-4F55-AF82-882489407C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56054B-355A-4B10-B39E-4565302032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B61FEC-9A5E-4938-AF5E-687BD8AA65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648168-3D5F-45A2-8BE5-25B2D2199C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DF59BC-A08D-4561-B393-29E3052933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51159A-791D-40BB-ABA0-B33CC8CBC5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FA482D-A2A5-4EE6-BAB0-D257F072C0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1E7390-5655-4B01-9583-00A15A7F0A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2B450B-8CC7-494E-9AC1-D266548DAD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27D3D3-32EA-4796-91B6-B7B19F2C18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FD44AF-AADA-40CD-978F-9D911801AC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9BBC62-A534-4A1D-9100-15ADC00ED2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38561C-A6D7-43E0-975A-C941903399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689700-4FB6-4868-B31F-C1D031E462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7B1679-7600-4AC7-93D3-3B45AD6E5F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CB2E6C-8ACF-4D38-A9F8-CA94E6AF79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20F76B-0C1E-4352-92C7-7E5132D573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893081-4EC7-4C3B-9435-FD5FCBA968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C334FD-8532-4279-A472-C58DD23AC2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746F37-000F-4A06-81E4-A3173065A9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A12B7E-67EF-4C07-BC0B-7117050CA8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56539A-5D76-426F-AE1F-618C9B6CE1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33FD53-3B6A-4401-A7BF-4F2D9FC9BC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87894D-68CA-4730-84E6-B9307812AF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1CDF72-9D48-41DE-A65C-FDED7C81C5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2936A5-9E71-4C88-92C6-5DDEA67372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70A309-3587-468B-995B-1A614F98F4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06CB97-9BFA-4CF8-8AC0-9D38E35B8D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8FDA25-9D12-4D00-A514-580D399CA1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4DF278-CABB-41ED-8A98-262880CB1F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CEFB10-AF36-45CF-9FD9-3EDCAADA95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31CDB1-8210-4598-B9C6-D79AD138C3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63B134-8703-4283-8B34-7A4EC298C6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245BBB-CF44-494A-A48B-710D6ED0F5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27D57C-B629-4C9C-947D-458306B41B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627951-1797-4E19-8416-4B491F4F75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94A39B-D262-492C-A869-E21B005050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60A560-286E-4C3F-A68F-1050329A10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A76DC8-EC5F-421A-BC75-C508CAC281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ED0C09-4DAC-483C-A327-929B68F6CB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DE8EB1-7668-40C8-BC06-9EF3AAEBC0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5A9AAC-6AA9-4C91-811D-FE279E038A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9EA2E1-4FD3-490C-8AEE-5BC02DC0F1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8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5D4247-A264-46BE-A6A2-EB712CAC47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78FC6E-AF71-484F-B573-A420147972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467FBD-B405-48B7-B3AB-1C948D8AA0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97570E-6B1C-43F1-B29A-66CEE38966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DB1059-F109-481C-9C9A-D2CF418F2D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6A4BF1-48E1-4CF7-B68B-B0BF27E50D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F9DCFE-2D4C-4561-9D63-4E7C6E9F23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B7E4E4-6518-46F4-BB04-7A16F0E55E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BEA22F-2201-444D-B5FA-A178BA2B07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86595B-7204-4EB1-BE5F-B3157E3E2B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D0AF12-0538-4BD5-B107-AAE4F04730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462B93-91FD-40F8-91A2-360CD052C8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D316A0-C648-49CA-A420-E9016170AC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16A97E-2F21-414C-99EA-BCA4F13C40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1B4385-C32F-4FDB-A463-105AFF051F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D91FB4-8049-4334-9B68-A0A736DAA2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D2B059-164B-45A0-9A38-EB389ECAE2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6A21B9-5E38-4719-9737-1EB2195A6E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7C34F7-7C60-4724-9973-9A00F5FA24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608002-2558-456C-A276-BE2527AF56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CD1363-9F47-4328-ABAB-48B24CAE9D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202998-5657-4725-96A5-B9E2FD3239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E5C941-CBE9-4D6A-8FE3-3DFD75ADB4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BFBA00-49BF-4A06-9367-33217F0E85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2D0131-F147-4DE1-A97E-496B899A50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27E4BB-0383-41C2-8D6D-0CC4E7D31F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532CCD-606B-404A-85FF-FD4E2E6252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6DDD59-6212-488C-A21E-BDAD1C645B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EF7A6F-70DD-49F4-B3EB-CC8761ECF1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D60FE8-4420-44F6-B6A8-5B51F838DA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D7F463-A022-43EE-B302-892F44D612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D4A02C-0559-415B-919C-AF4FF9AF1B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1FC584-D8CF-4737-BD3D-EBD2BFF2D7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8C264B-129B-4090-A5CD-34F1EBE1C1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02536E-BE38-41B8-B9C4-81F82DCC65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43ACCC-2749-4426-8F73-2C14C00C88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8B7740-42E8-4AD1-AE43-1186B96BB3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4E968D-88B1-4F2D-8873-23A7B31AAE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C9502D-2C36-4F33-B59A-92CF564636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C8866-3D8E-4477-B08E-041028ADD2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AB2FEF-DA73-410E-92A5-BFD119EA4C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83A584-7191-449C-BD77-61CEF39EB9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3C28CC-BEA2-41D9-A63E-E69CEB54B7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7A8139-51C5-47AA-BC72-93A0493376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7072FE-34A8-4B94-BF98-BC072A3BBA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02E6C0-7ADC-4578-A116-B8FEE746D0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AED871-2EF4-46B0-AB17-80925B07D0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DA53DB-0935-465C-ADCF-201496E245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8622B7-3E42-4883-8295-76FB0663C2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3D74D4-7C28-479A-8C7D-E910337431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926982-E8FB-43CE-A6E3-B77C28E817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9B159E-B356-430D-9B8F-36608D2BCF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AE3BF9-AE1C-4090-A708-1B1397260E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A2BB2C-A721-4FDB-9070-3E38252D58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9AB430-4F68-4403-B701-DF6F8E7292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50016A-47FC-403C-AF91-747DC2442D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DBA072-84BB-422A-8582-2F58FFEE56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D668C1-7628-49CE-8A20-9A8D19D1EF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9942D2-B727-428B-89E2-87A114B91B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E759C7-ACE5-4C8B-B206-F54FE3DBFC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93DF74-D318-4B62-AF06-BAF949B331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BDB333-4FBC-454E-A4E0-EBF41765C8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E0BAEB-973A-41F9-907A-1A17A8BFF8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DB0B94-D71F-47FE-8BEC-9AF525724D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D864AE-BEA3-4AE3-82C7-EEBCD9D2F0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4B244D-065B-45E1-A873-4587A03FD6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EAE713-CEEB-4F58-9AC2-9555FD9810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799526-A6A3-4A10-8B51-108A2D721D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FDD3FC-DA34-4468-8E29-DB387421EB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6F5CD6-786B-429E-9D41-660AEC72A1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889CF8-303A-40E5-8DEA-7B35E908F9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94DBE0-B388-430F-B3AB-AB2CED3846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5150EF-EBC4-403A-946C-7C6A040483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6C659C-3A60-4A59-8840-6614DDDAF3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B9C4A7-625B-462D-9E5D-16A130721A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501572-10C7-4DBA-BAB8-15B45D55FC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FDA092-4D52-4F70-9F72-66A44111F1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35002D-66C3-41D1-AFBD-ECBEE417E2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4520D3-5CEB-4467-BE89-DC159E898F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D0DC85-87F6-440B-9D48-E3CEA49201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C06057-34CF-4A08-B8F2-5CBF64EC6E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BAAD55-5243-4B7B-A2F1-00F8902F27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252BC1-F805-4DB2-81AC-32598B4620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576E74-9AE4-4160-A76C-3F22802A7F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E2BA99-BC6A-415B-B275-28CEDAB1E1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8980B0-0AB6-4444-99F7-5259D6E0B3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080E6E-AABE-46D6-AE3A-D78430E948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0B294E-1F8E-463D-966A-EF18E0CD23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393485-B13C-40CB-9DF9-A8BDE71648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530F4D-73FD-4E66-8864-30912A1745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A66073-CF71-4174-BF8E-32709EC332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A53D26-5049-41F2-B74D-8EC38E155B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08D756-B381-4DAA-BF1A-57AC89D139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3C5524-7788-42E0-8B93-9CE818CE04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970667-5AF3-4020-BAAA-60117C5C31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7D4539-2D0D-40AB-AF50-4B80A8A517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32BBFE-7E9A-4E19-A93F-B8088A2418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0382B2-6588-4B3E-88C2-422FC56DFC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EC140B-7BCD-491F-8600-091CEB9B1D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1EE248-5F0A-4CA4-9B28-D517182076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9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7AC67B-F775-4A67-9DDE-580B06738F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D9CFDC-0FE4-4FF7-B306-7340731F88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7CC00C-BBB5-4DF7-BDE8-668F4C2DB7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DF1D7D-13C0-4952-A3B7-A7E7A66B38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16E36D-1B84-404B-8A60-15F117FA0F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874F48-B2BE-4275-8928-0B5BD436CD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A3261B-461C-42CB-9C77-331CA4C0A1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A600BE-3A2C-4DD7-BDFD-71D2C16298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B179D8-587E-4690-837E-EDE8D4054F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6C8CEB-9AD6-4BBC-BEF2-0E79EA85C4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FDD57B-DEBF-4A59-9B4A-F62BF24D7F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3552FF-C996-4493-AC1C-8FA4D1C876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748111-4764-4401-B9EA-8EBD7656AA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D62281-E714-49A6-93C8-C7671CF119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AFCBE4-6658-4AC6-83BE-EAA93F8B45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0C8405-C769-4B8D-AC7A-87DC108B81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D1C199-C4D5-4A60-9595-33BABF1EAC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2D08B2-E48A-4B75-8247-16C984368E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7D73DC-8BD2-41BB-817B-B08EA21DC6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BD105F-30F7-40A0-9BBB-28BA48C5CE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EB3266-7135-4B4C-8160-FAD6F1D222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C216DC-8247-4CF9-A3A6-6EF725CE24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C11BDB-2DDB-4967-9101-5DBA1A4F7A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808E43-D3F7-43B4-9649-C9BC096533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71FA6B-0485-43D4-9DA4-7CFE7B59F2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0BA349-51AF-4141-BD8A-8274E0F759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362B7F-5951-41FB-8E51-D819AB82EC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E26D96-EE8A-4AD9-8B19-A5DC14F131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B39353-DC07-44CE-A5DB-159F1B2415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D51399-A9C1-4815-97A1-B67431125F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7393C8-A200-41F2-873B-4D90C329B8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765F00-3BF7-4C49-B5EF-5B9B3F97C9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C1644D-A0EB-4D8A-AF10-AA9B04AE2E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D3F351-9EF3-4553-931E-23B282A905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F0F473-EE82-4C7E-873E-97AC32BD87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27F312-5A19-4996-92E3-E3D099740E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8314F1-FA56-4C1D-BEC2-DA110F0D64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7CFE24-4992-4F8B-A0AA-8B68DC68E3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7FFCAB-CE8A-4967-8A55-9CA1F01BC5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A885F7-6B89-4A77-BB99-4DC9D5D3B9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D37441-5B51-4561-B916-19D4F9A5FD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160D98-42D3-4AFA-ABA8-418EB0509B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B7C8E3-16E4-49B8-B7C9-B04BA01B38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62BA69-1893-4533-B4E6-9D389DD158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7E420B-0C42-4865-8DB4-F0B177C390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D697ED-330B-4358-99A3-64D0331A6F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9F7785-1EB4-439B-89D8-5B3D0A66AB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F9532D-4832-4E07-91A6-CB8B4C089A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E11EBB-E8E0-4A69-A595-EB7173C9C2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549070-0AD7-4786-86DE-7AD45A937F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B86261-07C9-4338-B764-78EF3C5C33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176CE4-5D07-4A11-AB8C-BA0552BF93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C0ABCA-A32A-4FF1-816F-8E67BEC6C5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6A6E0E-2954-48D0-B93D-3862D61D79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E90433-0F81-4F77-8813-8EA363EAD5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0350EC-48F9-4B3B-A8DD-47657A0142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C7CCAC-4375-41BB-A6B7-3A2551EFD8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979060-CFF7-4F5A-93D3-2DC2FAF8F5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F4890B-2E20-4FFD-9358-35CF6D2DF2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F309F7-E34E-4D2D-BA9E-775457C2CE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526CBB-F545-4852-A105-127910CF37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CFD7C6-93A3-45AA-BB21-2C3829FAD1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37E0E6-0831-479F-A7EB-F2149239D6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0B64EA-5FB6-419E-8284-4E0BB0C0D9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EAE67A-CE6A-45D5-AB5F-26F02D37D2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A6B9E0-D38C-4093-8E73-96103E0464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8232D1-FE43-45D7-B1BE-54F6050CE6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DB3EF1-021C-4BF3-B55C-A154F00295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5580F8-63FE-4869-A11A-A538DD04FC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CEB6AA-5CC6-4E30-8883-96133750BA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4632F7-271F-4260-8472-1C38B88437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8E55C3-AE4F-4F2B-BF04-B4C4F28655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5AA2B5-DB52-4459-BE68-41B3316B49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999FA0-5A32-405C-B67B-B0B63AB927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57023A-FE92-4ED8-A61B-4F6C59F1AF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CA8C69-EA5C-40A9-A8B5-6390D8ED4C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CECB3A-7911-45A4-98DF-20EDB01823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E91378-51C3-49AE-84B2-D4D89D2E5A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48CF85-0443-4622-9A43-0375DF208D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D6737A-4094-4390-8F54-39E753F9D7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240470-D4C9-4E50-B927-21C60D3708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156B03-42C8-4B43-8C8C-3B8AFF3FDD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C12339-3C5A-42C7-881E-CD9D5C08BD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F7BE7D-DAFC-44AF-AA03-4C2864A41B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0976A5-C38E-4D76-97DF-1F99B8BF12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AF3A31-CBD5-440C-862D-2589A5CFBD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8E7A1A-1F09-423E-8217-63FA7020C2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84FF64-D4EE-4B99-B68B-31558F22E4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FB8E1F-218A-4504-B300-DCBD3D865C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55049A-5AEB-4827-AB7C-6A08160C07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E40154-9FE2-43D8-AB46-80771F3810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6DA4CF-656E-48F3-A29B-7D3268E09D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F1D91D-EE4D-4707-B339-AFFC84FCB4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622107-535B-48AE-856C-99C2F2AADB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42EF34-D829-441F-AA11-C9F74CCB82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3327C9-00AF-4967-9A8A-40FAC0010A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F1055A-B2D5-49D7-A97C-E042C89E16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4E6546-5980-42F4-A723-470CEB4E03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F2890C-748D-4ADB-A62B-4F6BBD43D1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589FAB-E58F-4041-BF58-CE7B4B28AD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0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450633-61BF-479E-935B-009CD4DA9B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2478C0-B190-4085-9CDB-CD4EF2FDA7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1EFFE4-10B5-4C91-BDDB-766D4AB1FD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ED69BC-2EE2-4445-8A3B-D6662A3156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CE7A59-D5C5-4DC1-AD73-69DD2BE172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C5861C-488D-4E4B-8F2A-EE84A94E45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249D05-49DF-472E-A711-1C6A01D72E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59B23D-057A-448A-8220-5EEE2AC409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24ACEB-E344-4449-88DF-9F054C5A72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343D2F-B21A-4EAF-8B3A-CCA704B425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61C2B5-B788-4EB0-998B-554889EB73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957505-C6C6-4A18-A275-75D763576E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485FF5-031A-411C-9BBB-01C5E94CAA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C25DE3-E384-4C20-BBB3-9C5C30D2AB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061B3D-6F09-4CEA-9188-93BCEA63EAC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6645D9-8418-4B52-9950-61504A10F8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76C0B8-1FD5-4AF2-B7E5-BA4F15A0E8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1A64CB-41D3-4288-A059-055F1DF77C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D6B710-EBEB-4137-B1B6-59881D43FD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41B45A-3620-45A3-9CA2-6A445AECA3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9798CF-3F33-4E6C-A391-038542C481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7874A9-A383-4E56-B293-1E94191865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9A9B49-1732-4BE6-88B8-72921A2F0C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567FE1-3A30-4A2B-875F-F9F9774B71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866078-37B6-46F2-937E-969ABBE2F6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A634F3-F31B-404B-A005-98C54224C2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CCD185-6E66-4C30-B458-AA67C613B0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EB07A2-C96B-4843-AB36-3C5BE0912A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D94E36-CBB2-46FB-9BD7-286AC95F03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9A7947-FA8A-4AEC-80DF-E8AA612FF6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1B77CB-959E-4057-8467-F929715031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68810B-16E6-46B4-9963-C1592840C0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0A63B4-0056-471A-B488-141AC06770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FA90F6-175B-458D-8E0B-95842646D2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8621E9-21E1-4007-9F04-8EB1E985EF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59017F-130D-4AB5-9C5A-7F4690B8C2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2F737F-78B4-48F0-A739-2A2F75BDA1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7C1F7C-774B-4697-A9CA-052DB76719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60075C-3F03-4D64-B6DD-57E93C64B0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3E9EAA-3EB6-45B1-A81B-8B52932EAD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3601B5-E6C4-4AF6-8DC8-5CA19BFB56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3141D4-0491-4FB3-94B6-7ABCD6EA55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DDEA1A-08D5-4787-8D90-52E7235116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9483DD-775E-407F-AC1F-DCDA935B60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16C802-5F5E-4AE3-BFD5-865509EF81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B004FA-3B5A-45E1-8375-BAB7731890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6800DE-731F-4802-B265-6623BE91CE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95337A-8B18-4293-B85B-9C23ADCBB8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191F44-B326-4FD5-AB61-ADC08446DC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01D959-2790-41FE-A8C3-36C0C7BDAF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ABFF72-9336-4853-83B6-D8D96CDC8C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70DCFD-D9F9-41B7-9532-9FA3BD21B6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668996-4ED3-42BA-BC81-D1EF5AB700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3A5A23-1595-4C20-A8D8-CC272DBED6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E22767-68A6-415B-8DFD-67C92796B5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97538D-8B0B-48F1-8F06-3D5F8BCA87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9D705B-9280-4391-A73E-E9F22DFD57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22DE77-01F0-4A51-B212-E43DF9AFDC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28950D-B56A-45D8-AABC-768B134CA9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5E2E26-C18A-4DB3-8A56-6B1E415CBF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5AB7B1-AACD-4DBA-9D3A-2437F3FC48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FBAAA3-7C03-4A5E-AB5D-9CCC10E66D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24E7DB-8E7C-4971-BF96-20B7DA3932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48B8CB-0DC9-47FB-AA95-C2F1D2BD2C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005669-FA95-4EA5-9A61-EAE88A814D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886A76-8529-4199-B4BD-B917418984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E10B5A-2990-4539-890E-1118D5ADC0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E4DE0A-978F-441E-B307-03797EE07B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8C7D4F-0150-44CA-A5DF-6BDE2010C4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797245-75C6-4CEC-B2D2-2C1DF83112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23E925-F73C-4222-82FE-D8E6D992BE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4EA2F9-AE3C-4351-B7C3-15E7D2EFE1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C8F54B-271A-435D-B000-117323C7E7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B49F13-A102-4CA4-AF09-52E01CE2D8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D9FD42-DF90-41C4-9414-E1CB083CDB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B162C8-BE60-45A5-BE60-7840041729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701E50-D602-48E1-A9E5-3C4A11907E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C95D91-4B1A-4C96-A042-0AA4A8EBD0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885F83-7354-4454-B287-D2668C8445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BB998E-9014-47C1-A8DF-656501EE6F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5210E6-EC5E-4888-B12A-994D2780C6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F0C452-DAAC-476F-9FDA-77959FF732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64F391-9EA9-411A-9A2A-175752DA29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34DB9F-6D41-44E3-9028-C67C82931B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D7E134-5D39-40DE-86DD-AE9F9F0122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B8C310-4013-40A7-BF0F-01C22B3870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0B1CEC-8997-4F02-9EFD-9A1812C2FB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08AABB-975E-4270-9C0B-4A645AF51E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EFD6B1-228E-4350-AB40-EC25380919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37692E-ABBD-4138-9FE0-376DA23896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A9A01F-6AE2-481F-A100-3D94899C3F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F8BA60-7EFB-4503-9432-6540526700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A30ACD-0786-4A46-8045-37BB54CD7E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903E77-D72C-4900-93A2-D4C26D0141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917D50-9ED9-4679-A80E-13F9E5C078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3A6693-2C9F-43DC-BBED-D27E032DD2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1EEE3D-60E7-484A-B78B-D7591D7019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005285-2FF1-4C5B-81CA-1D088C2984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7099FD-7A66-4C6A-AD41-A148DA1FB5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82E35C-64F9-4704-A7FE-BBB5962195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F9FBC1-9A76-4A41-838F-E093EEE045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BACD24-7F71-46B1-9CA3-2992162782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19686E-E5EF-4BED-B20F-AE98C38566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C2AF71-F2A9-44DF-9579-F20922B827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3B7E04-98A0-4494-ACEF-B8D5678D7F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ECF7F9-2264-4E84-A8BF-FF6D868F47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0807ED-85A9-4925-858F-45C463220A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D5E7DE-143E-4745-965D-175DDF27DA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11F880-3720-4C00-AE20-7B61ED7B50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35EF45-63CD-4844-8166-52D4F2B7F3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202809-8E90-4520-A8BF-2AF893BDE0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1F7D62-8BF3-4B72-8C7A-69BD99D95F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E39393-7D82-4546-90CD-58438AB1C9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601144-D89D-4248-AC9E-DFBE463090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2D03AA-C55C-4D5C-AA27-F2E1628356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0DB22B-36BA-44C9-9B0A-E9BD7D6C7C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164024-ADF5-4BC9-B506-40151508AE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24D4B7-C471-4DC3-AEE8-652A37A3FD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61F9CC-C4D0-4F82-BB25-4FC092DBB0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D76F21-380D-4741-B546-2D8E3CFDD5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39C5DF-8BA6-4D7D-B25F-E2F70A38E8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AEFACD-9956-4AC3-87DA-DAA7232186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36D5A0-C70B-4EC8-B39D-31AD1518F8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DC896B-30CB-491F-B791-FE83AEE8E0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7C46E5-D398-41C2-BBE8-61A26CE915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F14AD9-D1B8-41F9-A40D-D74B66099F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322CD2-63C1-42EC-A16C-8DDCD020ED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1C12A6-20DB-4305-9C1B-42101C7706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191A29-7599-4521-90D8-31BFF5474C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FD8F82-173B-45BB-8CDC-6034BBDEB1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7A4BAD-FCEB-4684-A184-1532D5B7AD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C4EB08-41C7-4174-AA8B-93F286680C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1F183C-4CE2-48C5-8A4E-3805216969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CD7E2B-FC96-43C7-AB86-8D18AA1572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629054-A06D-4314-9775-F28C7831F6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883018-C160-4F04-86E2-AB005FA2C7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0D4D53-0C0E-47B0-9547-A1B4B0093B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3B5772-02CC-4E6A-A4B1-DFF4D02459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D92C8F-838F-413D-894D-F71EF808A6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62F911-D46D-4281-BDA5-41D413A9AA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56EBB8-E61B-41B3-9C5A-FD7E47E540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032A0F-2D00-4759-A1EE-9CEB111189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F4BB4C-4C51-4E1E-92DD-0555F2F8DE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F36075-2E78-4CFC-98F1-11699E89E2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B9A56F-22B8-4AC7-8E62-C141A04735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76D73C-5081-4441-88F7-59D625C539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1C04FC-AAE5-493D-803F-98B3B2B6AF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DF657F-ED02-4CA1-837E-70CBF19EC2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383C0E-6EA1-4749-8F3E-B907BD2B07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BB8DAC-0F42-4FE5-9D79-C636951237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BCB374-268E-4E28-B349-EBCACA18D5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32EC7E-96A1-440E-B73F-84E9B51BBB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733977-ED49-4AB8-8B04-BB032B0DE5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096CA2-001E-469E-B1CD-AE658AA76D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235D38-182F-4FD6-8E04-77A7E07ABD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29EE50-7411-4CEB-BE58-D28B1515C4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72495D-330C-438B-9037-E6D6D887CB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A89E99-26EB-4D9C-8A24-0992C36D29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F4B5FB-9F06-4C66-A151-E8FD9C6A2D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9EAB34-A7F0-4EE3-90C6-D3168C71AF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20B2C4-4FD8-4750-B0BC-53372469E8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A386F7-F4E5-421C-90C2-5205247F0F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1A1134-149A-4D63-8023-0759BC97FA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7671F9-9F7D-4689-921A-B40F63C0A4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C795CF-4C5B-425F-AA14-0341F80E61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796314-B76C-4EC4-BE24-263D669F5C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22AA58-A371-4232-875D-680554CADD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D17DEE-9D10-4D3D-8D91-A14CBB13EF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945537-E0D7-4234-A2A4-54116A2B46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515696-B164-490A-B318-4598D9884E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59B681-637B-4F2B-B3DB-D7282ED3C0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6CD301-ABB3-465B-A9A6-AC5A092DEE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5E586A-DFB5-4E45-8636-8963A99885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188ED7-97C2-4686-BD7A-889BD92A20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D058CA-A7C5-4C24-B131-574B8FC502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9A6D8B-48D3-4511-BF2B-544258619A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E271CA-4058-4954-B152-5544903CA6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2B395E-E189-4F9B-9478-751154954B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16C8A1-349E-4F7D-A039-57F6BE7922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7D40FE-A45F-452E-B2F6-83A78BF512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61D278-6711-483B-9C86-01D5E7E5AB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2FC082-ED70-4F1B-BD00-52F1A35DF4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5F57DC-FDED-49DA-AEEE-B6BF652ABB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099884-2C6F-44BC-B728-2E2D7334F3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CD10F5-E263-4A0C-B980-F9E3E787A4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6334BE-6264-40CC-9A84-CC9A3A166C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3BA623-2872-48F4-A4CD-5209E21FBD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BD30D9-DC39-4656-9180-7800E036E8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BA9036-0552-4C85-B5A7-87A2CC8DB7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605A8B-31EC-448A-8F8C-C8F171C097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1EB757-2390-478A-B314-C5272A2E70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85145C-AAF2-48CA-B351-8DBD7C8BA5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49A6D3-A95B-4389-8A52-B470034BFB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9B4ECB-6F0A-4C48-89E0-93ACB88576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F09C90-7443-40D1-8402-505D39F241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0910B1-D117-4927-BEDA-BB00A60B09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65279D-CBA3-46B7-B7FF-3FE2592D69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7F2C91-FC89-4427-9F3B-99C9514001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D6FA95-B632-4EC1-A166-2F85B229F1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4D6554-78E4-47F7-881C-920A19C3F1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DEEA04-AFC0-4C59-8CC4-B3C0F12251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681CCA-80E3-4838-B5D8-7E4A76E902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AD5A7F-7BD8-447A-A9D8-353A7CA447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BA8BC1-6A92-4A64-930A-3876B93539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0BDF8F-73E8-4C07-AB75-00DE036757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0FA24D-BB70-4379-A1C8-D8049D9339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5F391D-73A0-4339-B546-DCFFC31301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620991-B3D9-4D71-B278-913E525C03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AA4D72-FA22-474F-A058-81A09ADEDA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62040B-9177-45F9-97AE-572BC56B81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BEAB23-2E33-484D-8CE0-CC4C49C70C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1849A8-462F-4F6D-8C2D-677A98E44F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F3F6D5-EE3A-4240-8016-738524D003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5426FE-1AEA-4076-A09B-B2F2651374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B9A64F-3E98-4C34-BF62-F8A0D0C876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9827B3-D9A6-43AD-8561-D8609AEE8F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3D5601-5A7C-4C84-8508-B062E2ACB8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A5B507-6983-4496-96FE-C1D0328F74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14368B-130C-4EFE-B5E6-B3507D1083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A9AD71-543F-45DE-B2ED-854B7BD8E0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2F6F61-4C1C-4F50-AA4B-72509E17D3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EB07D9-0789-462F-9212-6C68F7B6EB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2ED645-BFCC-44EE-AA1C-71F088B776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3C4556-2E4C-4E54-9E22-0961D48580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D9D5F0-87B0-4302-BAEC-32FF7A9D17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AD8463-0546-41D5-B299-BED43505E6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4DDE3E-C928-4E5C-96E1-F823CFCFE9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A71D08-B5AA-48FA-9B15-0CC3B3782F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65B719-5C70-4B11-87C7-B03F1552F3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E954B1-2B06-4618-BF29-8FF773D852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EB5690-6889-49A9-A3DF-5358E67DA9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BCAC6B-9DA2-4342-AB7F-09F23D2FA8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B1E591-A629-4609-82D6-2CA12E8158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59773F-ABC7-4A68-9AC9-B6150D0301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535534-10FD-4C98-9BEF-148B4E94CB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30ABF2-24C6-4DAD-808B-B5F7FC8345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FB98E5-4D3F-43B4-84EE-46909DDDFD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BA64F9-18D9-4271-8961-8C86FA6BB7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7D6FDB-B861-4D11-BEC0-268489E097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8C164A-2F95-4679-B94B-223165E793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0A0FD6-A6C4-4741-9DC1-E380C7D82F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206E34-4C4D-4557-B52C-26039E6FEB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27ABD6-AF89-4275-9BE4-C14370E5D1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9912F5-23FD-47B5-AB24-E9E31DDFE1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8F6E4D-1ED8-41BD-9BE8-9706538A95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B01FCC-430E-47CC-A909-D767813CA4A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8915D3-668A-4436-81E3-9AC48468CD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B5CADC-E476-447D-A8AC-EEC84D35FA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C17CC9-28F2-47E0-8596-1EF0DDA679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43D5C5-7C69-482D-A951-6BCB46927F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0FE8E0-9EDA-42FE-AFE7-EFCBCE79BC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7DCF6B-166C-4316-BFB8-A20CE533AD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2E98AA-39C0-4DDB-95A0-1DC7818011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A5D4AE-2782-4368-AEE6-867E9E2F52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ACB3CC-EF18-4E39-A440-67926FAA92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4359A2-9057-4FE3-B408-026B03220F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E7A0E0-B577-4C02-B1D7-05EC7223E9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8ECC87-BC5B-494E-84B7-1A95224ACA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88CB70-F9B7-447D-98D1-7689CE16F0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A71017-B5EF-4C19-9B48-BC57BACBD1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353F15-3B6E-4C34-BC2C-DB68B5CC85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B1863F-A9E3-43F4-8257-4060BFA762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4FEED5-DBF3-42FB-A5B3-9F9AB4D0E0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47A279-D3C6-44E0-9C51-454F974220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EAC29B-A433-446E-A750-C3913DD6DE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01D5CF-EB95-4C56-B4D5-5883ABF11F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82B73A-A946-4C3F-AB22-51437E217C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A9DFEB-6B17-4989-917C-A32E84D75A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84B1F7-D0B7-4752-A879-20C615371C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EBD5E3-064C-4515-B727-2E0775A114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9CBD2B-31E3-492A-9B43-AEB813A43B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CAB1B5-9447-491B-9BBC-0FEB9395F6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C1091F-0672-444A-B026-58522284D3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AFB3BB-58FB-4016-BA8A-CCF72CC163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235D8F-355C-4597-91FE-9FFD06CA76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EB1531-87F0-45C8-AA28-B2EC8F3773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2565B9-9B95-49B3-B4B7-6A6280D0F1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F59D0A-3FE8-45E2-9F79-4F1531BAC5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F270AB-E8AD-4F6D-AA97-77EB9842BC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BA4011-70B3-4F56-8FB8-E613922276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DC5EA9-3C32-438C-9C03-65C65F4CAE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FEBDF7-B943-4BC6-9689-97A747FA1E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18F166-21CC-4CEA-B3AD-5A75C76145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3E8A8B-19C4-4FD8-8F5A-7976281D42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0AE572-44C7-478B-B986-1810391C7F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DF5162-32F7-4FFC-A6DC-612FAA007F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7F3F15-AE0A-4B78-B68C-6CAADB3E55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C3E31F-18C5-4120-AC78-C025685268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69E213-ED27-40EA-8E9C-BBCAEFF310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087836-A623-4AA7-B0F7-824B9FBBF5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45BA43-52FE-4A6F-ACAC-45A6FEC4A4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B2567C-49B0-49D8-8F56-5A08ED4D84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75A663-B771-470B-B9F4-F8F7A73681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177667-FF87-4D8C-AF83-65CBE11516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28F8A-A53E-4983-8CE9-D853AD79F9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02ED86-8A2B-4CF3-B82D-01B4AE65B5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85AEFE-C04F-4007-9AA2-E741A42CDE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5FB7D6-96AF-471A-84F7-EC54A3D640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141B1A-52AD-486C-B8F9-D6709520CE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DE7B6D-8A93-48CC-BEFC-CC13E30136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3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B97384-2E24-425D-BA98-D0D0684BF7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4F7BF2-3FC1-47BC-BA1E-A230EC7A40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9450DF-8A9C-4DAE-BF1A-41B7CFCB8D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DB4C32-017E-49ED-B0D6-E0DF05BB91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9D40A3-0C22-418E-8F2E-17DDF34FE3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5A783B-0257-4AF1-9BA3-B334A1061F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B4F184-09FC-42AE-B4FA-EADFAF3020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8D8C39-FE34-485B-BA8E-77B002C7CC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650F6B-F85E-449C-99C5-24EEA1C79CA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A73B88-4CFE-4484-B88E-9C8D9892FB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4FA556-70CB-490F-BD99-F40408E799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495C30-6B92-4E9A-B968-00C4A152B2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486483-E804-47B8-8C55-83ED1CC031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9FBAD3-E019-431E-9B8C-47EB7947E3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9B20AE-34FA-4533-92C7-13A02A870F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F8F03B-146B-4C5A-AAD7-41F6EEACE0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48932D-4031-4836-A9F0-06DE6BE040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C94CEC-C6B0-40B7-96AC-23A5494AA0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BC3800-ACE1-48D8-9E16-B529762700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4893B1-2C01-47E9-9ED9-51BBB94AA1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020CE3-606A-4511-8404-B2DEC60A8E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58B0F5-3EAD-46B6-9816-0E2829416A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30D5D9-8DAD-4A33-A5FD-D0A8404E55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03E5D8-1119-46B3-A8DD-4C02C62A73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D0FBCF-E934-4CE7-A84B-6A417FFD85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0BA13A-E861-4307-B3AA-BCF2EC3708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B73A23-2B25-41D5-9DD2-20BA624FD1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A291DA-BB17-4385-B669-978FA7644A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FF3CA6-1278-4644-AD62-D77E503F42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6FA51A-7141-4E54-9120-29A4BCA475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02A794-8FD6-4C0A-A4B2-255740B9D7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8CB8BC-CE87-40F1-9E3B-8BD6B0A97A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221702-54C9-480B-8A78-BCF50AB4B3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736F32-8565-4A10-9C49-242F5861F5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11ECF1-F81F-4A2C-94DE-5A1B2D75A4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3963BB-A1F5-4991-972E-255E9420DD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38A5DB-EFA4-4AB8-9AC2-9227219B2C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0C43DA-21BD-4DB7-8D83-E22BDFCA44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BEB43B-DA62-47E4-8416-333F83BB29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01B264-7E92-48CC-8465-69D1A631D3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EA50BA-D5CA-4B78-A83D-CA79C0A950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011553-A77C-48F0-BFD6-26E11B8BA9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E30D74-9DA8-4896-AAB1-D0BE0ED1F7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898CD9-FC90-400F-AF42-1AB0829A70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AC151F-D564-44AC-AFE0-610C6879B9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2C29ED-8906-4FC7-86A6-C84DAA5CEE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6EC5DB-ABC0-4F39-9AC8-16A4C4B223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1D25B4-3ECF-40FB-9513-378D61A5E2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D2C3EC-758A-487A-AD8C-4ABC654A76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B40138-E9FC-4DDA-908D-05C4148A41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F36212-2AAC-4333-8014-A64C6EB239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C6FF3B-C606-463E-89B5-AF75C441E2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33B9BE-DE80-4734-80C7-8BF7023899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E5252F-4021-4561-A567-30D8F91736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5AE4E7-0107-4675-87BA-E0AC3FAF65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2934EF-0369-4150-B384-4BF1915145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591F5F-8F8E-4A27-A9D9-165036361B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508AD-476A-4C69-BFDB-D96EAD87BE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15058B-6C6F-4B64-BA7E-BD3C922C9E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381D45-8E75-4D0B-9279-046B7FC359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AB9FB3-93C6-47D3-A865-A33BE05491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D3026F-1C0E-4744-8A3E-11E9179ECC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96F5E6-845C-464B-A30E-1B35C57DF1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CF4BC1-A6DB-4433-9091-E876C0CD87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1AEBA1-9AE1-4390-8CAD-84BFDC2586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A72B5F-8AAB-42F6-897F-D181C451A3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CA4BB1-F597-4432-B9B4-B15A97F5D1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5897E8-1699-4023-B61A-AF874A0E6F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09C5FC-12B2-4BC3-90D2-A0B5FB7EBC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959DDF-050E-4570-A8D1-68CB3F5E72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049A0D-4FAE-4668-B7CD-7499DAC0A7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FEABF5-1799-49A9-8316-A26BBB2361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8320DD-1566-437C-A6C7-8BF32398E2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ED064F-7C21-40A7-953A-BEA9FBC9A6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0E193C-0E0B-4969-86F9-6909C5E5C2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C39CCE-317A-46FB-8925-91B1546968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15D3C7-9369-4C56-985B-79BCAB0FED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990566-AD5F-4B39-A7CA-49FE21FA8E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409043-7487-43C5-A754-67E6D7ADBC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9D3AFE-1677-4A6F-93FB-72EB778154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8A024A-1DC0-440B-A42C-8C45841A10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E0A360-8950-4BC3-9358-AC8A43C730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BD9C8B-4B47-4733-BAFA-11E8F327B8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BAC946-C87A-4413-A32F-C031F04B12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412CF3-1C7A-4A0E-AABD-7198D880A2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ECD261-690F-4F9F-853C-3D7493213E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3AE3AF-75BA-486B-B94D-2F17B62DA1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92157E-9A9B-40B5-8CF8-8991C2D525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23D2F5-8FE3-4C35-AC0B-A29AC6C6D0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D50423-AAF2-45ED-A4EC-CE040B483EC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92ADEB-D82B-48A3-92A7-9AFF822966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6888FD-95C8-4E54-97A0-4A18CA3C1A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8EEC3A-840C-4F88-AC42-14D5B5ADD8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8D9C6F-7585-443C-A30E-904ADE10CF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E6EC9C-9539-4994-BDFC-A003030E9B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EED7BA-2674-4F45-9535-C384DB88CA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F952F0-2E53-4938-867A-6D3D28075D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5E7A03-FFCE-4E48-B8C3-1BDE4E1985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C66BFF-A843-406A-B1C0-E4ABAFD386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B3BDFF-CBAE-4195-9804-0F7483211B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4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D6946F-58E0-442E-8063-5A4EEF3B22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D7AAA0-29EF-4A24-975B-5E3E728489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B8E130-6F75-43E1-AF2A-E743619EFC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2560F0-E2B0-4050-9A1D-00CE022DF8A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95B3F4-C178-4D22-8363-D1BD127A41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1E6392-9CF2-4DA2-9FD1-D991DF7F02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4999FD-446F-42BC-8794-7D7432EEEC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603237-3AAE-4135-8EA2-B91B778131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6AE8FF-87AD-429D-B6B0-7C93AE188B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13DE19-BFE5-482E-A723-F5523999E9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604352-22E0-4B0F-97B3-4103BCE50E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A4C2FA-F754-4559-B175-0E93323C98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BFEE92-2AB3-4CE4-BCDF-C43D3A2E33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914126-7C05-42CC-B9F1-5FE4A9B784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F1CB54-3992-4157-99AC-1FBBCFAD24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103503-0AED-48D7-A83D-23BE1B954A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5641E0-23AD-4C17-A69E-4081819A2E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61D417-69D3-42D2-8DF0-040BF68B7F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83CCAF-9A6F-45F5-AAB2-4F0FB921C4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3E771C-FABF-44A8-BBC8-EB2843A72E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BD45AD-0C57-4D4F-8D63-03BDD43BCA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7AAA63-037C-4BA9-A68E-2E8AAA5C73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2F4241-F7E4-4B3B-BDA9-DD5D78A942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0647A6-B576-495F-A07E-281DAA670E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773EA0-8BF3-422F-B473-089091285F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FDBDA6-2CAF-4AEF-A112-7107DBC03E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AE931B-E3DA-46B7-B400-8D05C80D65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98EB8C-34D6-4BF1-956D-56CC8BE574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A7AE81-B4C4-4F15-AABA-D3900683B9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A2D9CD-FBB8-4282-8E1E-5035F0C912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A3BAF3-B404-4EFA-A018-C44D954D55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00CA08-4EB5-4F32-B194-27BD1C8A03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21D81E-1FCF-4B16-A884-69494D8DDF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384C65-C0BB-40AF-9D2B-58666734D2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33D6E2-43E4-4E4B-A74F-A9B76F94A3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9462D6-D3D4-4B4C-8B19-C239440EEC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F0AA71-BEAA-4739-B5B8-D6774AF08A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2DD6C0-65BB-4255-882F-9D7BC1A5D6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AD5DB8-8608-4779-82FC-12B876A4BA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556240-41ED-40E0-8619-1C7142E1BE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7ADB0E-731F-4376-916E-558FD58462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2107F5-9909-4A00-BE4C-910022437A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B58D59-DBF3-4E8E-98CF-9CD23DC403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F7CB04-A47B-472B-B1B5-A3B763879C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CE0FDE-11A8-4468-B4B5-1E5DF619F8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8BB1E9-B986-463E-A2D7-1C5116F4A9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91EF70-BCEF-443B-B856-C67CAD1C0D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1BDE13-A6B0-4700-9EB2-58A3869F40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E89360-7BF5-46E9-96AF-87FAB94144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A8CB78-5F49-494F-9C22-0E232E9BEC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4D344C-CA72-4F74-A7ED-0C71B507AA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7775C5-0E04-45DA-950F-6E20C8D33E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E7F3C2-D7AE-4811-91FF-C52B0D5E59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E3AA2B-FF6E-48BA-B15E-BE01F83C54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EC0846-67FF-42B8-AB49-8692D081CE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9817B5-E52F-46D9-85B8-F357FB0B4E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190954-850A-4361-B191-1DFC03175F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9F0D8A-40EF-4CEC-9573-9258546EF7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1C1530-D3CC-4555-8BEE-1F3F935D78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AB3304-F322-4622-A9D7-49B0BC0B07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948FD3-9035-4022-B7CA-D492F68D56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6CA712-88FB-4F86-8AD1-F3F4BFBD9A6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204D05-1FBF-40F1-98F5-612080652E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219E70-3AB1-4B78-97F2-F8641BF505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56568E-9EAF-436E-8347-8630D17E4D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AC4148-7E2F-4C21-9C05-A27B23D3BE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44808E-162B-418E-AE4D-F0ED06B2D8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F55B4C-806C-40C4-92D6-B7A6F34C22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A2652E-00E9-448F-893B-41A349C2E4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5D829E-328E-4871-97F2-1F0E69F116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FF612A-848D-4274-A0AB-E811627900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FAD555-F162-4813-8699-689B21D923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ABEAB4-BC7F-486E-9FE0-9011CA2846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97BEEB-2A3F-4E25-B7FB-CB61B63654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83357E-03D9-4DBB-B19F-9782D9A840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DC59A6-67F5-4EB2-B8CC-92BDE5A44D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38F4B9-64A0-4E98-B5B3-A3B02FCAD6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2B1D1C-02C5-4D94-80A1-48858B34C7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01BE59-384E-4657-AAD3-3905A2DEC3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D1B2B6-65D6-4925-8236-C4BBE042CB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8D552F-FF61-4A4C-80A6-70A60A98AD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D60858-860D-4240-9A73-4BC352310E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E5C2AF-5FEC-4587-916A-68093AB097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935A91-5F4E-41F8-A2BB-50B52D5C55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505714-B766-447E-9D6D-F81E0D1859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C16CA6-B4E7-4AF6-8802-D26C314003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D3887F-F0C8-41F8-808D-F0AD1B4BE7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DDC4BB-30C9-4682-920A-2832502EC0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777A0C-F69E-4B86-AA40-E40EA026C6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865E47-0760-4E41-A5BE-2DBBB84171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995571-D2D7-44B1-B0A5-0357F8C67C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D1A185-0C59-4193-8AF1-6537641929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A8A0EA-270D-4B2E-ABB2-1FFDB7644B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32188E-8DB8-4A2E-9134-EE346B13CF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3AB4AB-82C7-4BF4-A77C-7B48ED9419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06E2BB-5069-4332-8742-B31CFA68B5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55F1AF-F370-46C3-90BC-5F681DC9E7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340275-6222-4B5F-9F92-341352B820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4E84C8-AF4D-4601-8AF6-1252D944A5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8564AA-67F9-47CA-A55E-F07C245B71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5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28BCE9-F134-4A0D-A0AA-CD877586E3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724F20-C24B-40DA-A4FF-C68C6EACE0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A0B63D-5D7E-4646-8E01-7C42C356BD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6A2274-E61D-41B6-9200-7E09EA60A1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9B51F8-5E7F-4B8B-9808-902B0C1C2E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22BC75-FD71-4D80-815D-70812D10B7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183672-20AA-482D-9567-C5C8F1742B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6200A4-2CCC-4D40-B4A5-4E2B346491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CDAF9C-50E6-4CE8-AE56-940A082B0D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02C049-F94E-49E9-B731-5CB9F71BBC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18E752-D8F9-40EE-92DE-BF6B87292C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2FF687-20FD-478A-A5DF-147F3EE256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2CFC90-D5FD-4849-AF7E-7C0E532D89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5F83C4-A230-4F7C-B5D1-7A2258C869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FC7B4D-0A2F-4A7A-86F9-C638484FC9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009A30-6B9C-44C7-AEE3-797A06854B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049B74-E6CC-495E-ABB9-244E062868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72EF3B-FB2B-4800-A81D-98DC642F9A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DFC125-D4FA-4137-9B6B-CC37589170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09CE37-F103-4399-89E1-F9D5F977CA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714D3A-3252-45E6-A495-48A55696C8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832AF7-EA72-4D71-99D9-110F1BC497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EE18A7-3167-400D-9045-AC9D8FA647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E1827F-45EB-4DA2-BDBA-C07C89C8F8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247723-2667-4CF1-8BC8-2A73DC2AE4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994CF4-F50D-4964-A24E-65C486CBBB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5642DE-DF38-4F1A-AC58-AC60EF4652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A08B0F-6D03-455C-8E77-CB2EE79897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9249F6-1A03-493F-8176-C4BA67B9CE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3C6C6F-EAB1-4C0E-B0F2-20029923A0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F92000-8F01-4AD3-833B-C2D2A72D4E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086C0F-ED38-48DF-BE99-87BFF44E47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964299-172F-4E68-AEDE-853BBF8E8C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15FC56-E862-4B2D-BC65-EA4C46C75F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B7667A-8120-4AF1-BF7B-C9B6432BF6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88E984-EE16-45BD-A5CF-6EB7664106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1A98DF-D84A-472B-90B4-0152FA759F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2C1580-ED4A-44E6-805A-388677FDE4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C21EC8-983A-4A37-A93F-E863B97321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1D896B-74DF-45CD-9981-6FD34D7F42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D9B45E-863E-4B60-B017-A45AA9C5AF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5C7DDC-4475-4B19-9B18-0E4E717E25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DCD031-D4F0-4D44-A555-AB59F70312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D1F151-790D-4ABA-8505-1375A181D4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4CECFC-0515-474C-85D1-AA6BC914AB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54BF44-971E-4FD8-9DC2-811EA2C23E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A20B6B-3561-4B22-9D38-CC3A8D3FC0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91ACA9-B74C-418C-9E9C-2DF704F950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663D8A-0B64-4751-9D60-AEB2C9AF29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B25AEE-8CB8-402E-8E0C-163A8E936C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87F3B2-EBE7-4C13-924E-D79240605E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C783D3-6E1F-467E-98FF-F38B3D24CF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A0FB9F-5F44-4712-B346-BD43142183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851246-9AC1-458F-B38E-AEB3EE3BD6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928F24-E0EF-4462-9E1A-68F9C966CE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97C96E-934B-4EE6-AF69-AC09AB9683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9945C4-92FA-4797-B1F7-6932790749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D369CA-4B78-4443-9DE2-04AC7CD795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E91755-2EE8-4715-B5DE-2A26A55596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52D781-A8B8-4C5C-8D02-B7018578D7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7660A6-B4BE-4B3F-95FA-5322E7EB19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0876FB-EE79-4EE6-B399-22E296051F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53B110-C85E-428B-B9EF-5BFB8D4FF6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11016F-79CB-43A1-BE6C-D5345BA80D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199D1B-C135-46C0-97AD-EFE9813557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E56228-73D1-4B07-8B8A-5B567FF5A4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4B94DC-5480-42FA-91FD-7E8257CDBA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7EA2EC-93CC-4D1C-8A27-646320FBA4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699151-4AC6-4EED-9170-D70E00BFCB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DBF2A6-1CB3-4638-86E9-1DB26F48DE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3ABC04-BE6E-474F-B480-76BF62A91E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C9005C-99E7-4A37-969B-BB3C8C5FA2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D97B3A-7E63-46F6-801E-22DCAEC12A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0EECDB-691B-4388-A288-BA8DD3B819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02845B-2FE2-42C9-B67E-C6CDF80095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099ADC-BD10-4446-AB2E-BB02C718F1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4EE9AD-3415-4491-9C79-8FF061BF29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676637-F21A-4464-8AE7-87E7D9B2BA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45F7A6-F6C2-423F-95D0-249F765339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F3859A-10B1-411C-9FA5-51BC91CB61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6FAF39-1315-4BA8-9CAE-FCE8ED83F4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E6EB7C-FE8B-4BEB-8B7D-E0CC48652C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D38F27-D70A-4283-9E00-8D87F69887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DB7E18-01F6-4E5F-B656-E00CAFDFD8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D56ED2-C5B4-4018-B9BB-9D8279FE23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5ED497-9AAA-48BE-9ABA-873B398587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6D67BD-D916-432D-BFDF-D0A63DD7C1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5792C5-3B2F-48F1-81EF-32BF3E2F83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84F1C0-0F83-44F1-AB53-46C509306A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BAB145-57AB-4757-B5F3-84F467D18A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354FB2-B88A-415E-9510-BC194CDA00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32FA69-205F-439F-8A74-5906B151B8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137363-0E75-46C9-BAC2-58E7813FC3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13B691-609E-4DF6-BE3A-CF0DB9AF50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47CEA5-83C3-4395-8128-1919E2B919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446FB4-F432-4AD9-8CC9-81924BBAEB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DCE27C-E9EA-436E-BE20-3B5504A23C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FCD66E-803C-4DC9-8FA3-EF5142D92E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1415C2-8B5B-41B1-B8BE-24888FEB4D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4D75A6-F78E-4896-AB29-A2D396AA70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6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601C0D-D991-477B-91DB-59760A2566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5BC621-3783-4869-833F-A3E3D24EFEC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B6F345-CF7C-4618-8275-DD97E26B98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98B357-DF6D-49CE-9062-9D01D3E71C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B21397-0FB1-4E8B-8E24-BB2A5674EB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246514-702A-43E0-8639-712E1AE3E0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B822C0-8A88-4069-B141-9BD6EE4208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1F13F2-E642-45C5-A9DD-6386614697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5A71FC-D6D8-4DA7-BD84-C9F0F26EFF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E55DE5-C8F6-4B7B-A31A-9443763614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536D8F-3716-47EE-9453-CD9ECA5D38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41DE95-B8E5-4AFA-96C6-18D700224C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8C00B3-8D91-4B29-A065-45E731E83F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D8DDD8-5521-47C0-A01B-4E378336CB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E06C19-195E-4A43-85B3-C12BE07C22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0CCF97-582E-46FB-B166-FC9146363C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425939-8AF4-4558-AED9-85AE5FC90D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9315E5-7AB0-4FBD-A106-8919D67A34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55518F-E7E5-494B-8EB3-DFF0E797A4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173DD2-716E-4B00-912C-43DE8C3C9D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DD6868-D24F-4A31-B5A9-B199F67CC7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6C5CE8-DAA9-49D6-A2DD-7A50395EF8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E8E4B8-9FE1-4488-B3B6-45EDA9AAC3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DB46DC-72A8-4B15-921B-F1DF594013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7BBC9F-99AE-4C3F-BDD3-943A486031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6E4B1E-4521-4B42-B5A4-F8FD5F36D3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047C27-F86E-4619-BCB2-CE3DC46366C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65F4C9-9A44-4F86-AE76-9FCAA67AEE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1B92CF-628A-448C-8836-CF89486878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D2A8EB-8702-4BF6-ADD1-E4FD4634CD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F5E551-60FE-45C8-8FC1-9122FFA078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7F4AB6-FE65-4E69-AF36-0C7F135984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3EC04E-CC2A-41E0-A186-FFCE36CAE9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5B3183-5A3F-466F-A6BA-065600E1C1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3DD0A8-8EEA-4434-9911-7CB8229399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7228B0-45F5-4F82-ACB2-2F89590C50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CB3C5D-7B38-4407-A003-948DCF7546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2A1A39-7278-4474-897A-E2F7AF9D10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510B88-8BE6-4244-BA1B-61BBA00847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20CD6E-872A-4F52-A95C-874D7FFCAE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A3812F-B908-4A87-8281-13270E5200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3CDAE0-E459-47FA-9722-49452CF645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8051CD-74A1-4C30-996D-21CAF80098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FF2F65-DEC3-4608-8DEA-DC79750E4B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5A8BD9-E254-4ED5-AAB7-BC8E4F7726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538375-D886-4B65-BDA5-3C9FF6B003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3584CF-CB2B-48E0-8AFE-19DA981794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A76923-8ED3-402C-A9D2-D9131A4BFF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27B811-28C8-4CBB-84C1-33BD917F68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06C143-6654-41AA-91E6-326BA374B1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E50371-15B3-41A3-9AF9-5C8667D4B4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800AF7-2657-48E0-AF6A-648590FC00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09E024-C752-4F57-93A3-4A9A52BA22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9339CA-F8B9-4623-BFE0-ADA59FD6DA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20349A-21E9-4327-A6E3-615C2CE667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3B8DED-743F-446C-A827-19B54068AB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A0ADB1-8EAE-438D-82BC-99207FEAC2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C9DF0F-6853-40CF-9B8A-000B790CB3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0F1AD7-845D-4453-8D27-09E7AC0D62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0BC324-A42A-4E5B-9552-4C440ABBF6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AF31DB-2B11-4712-8830-4717AB9D51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F6190E-3577-4FAC-9ADD-0D5E418683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F159D3-1460-476C-A0A9-51527FE11F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F97C15-6D97-4FCF-B7A7-272B075974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844363-B1D9-49F9-8203-90A9F67961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B7AD47-B3EA-47EB-8F14-EE32F86F22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7C557F-83EE-481F-824D-44AA4AB5EA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C2E218-BB27-4235-A031-C408F9134A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42C598-7A4A-492F-A5B9-97A8FC7850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6F02BB-E030-4B03-A86A-2993F6DC0A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6111D4-9650-4017-AF51-9778755A8B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C4AF4C-F5C5-447C-AA87-1437044CF0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0DC954-4C85-4F9F-9E71-46AD4C0EEA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BF483C-41C5-4B1E-B915-0632E0E833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4B2B5B-BE46-4EDC-AA33-663133A440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30E719-6788-4C03-831C-2234E021F1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612EBA-118C-4430-AB04-1C0226E20B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B0CFBF-24C0-45D2-B024-9BE202D4EB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448B0B-12FB-4D6E-8307-5D100CA48A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EB6130-F848-49A1-80AC-36533277CE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707268-F3C3-46DC-A372-E4E1B28339C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DA6B3E-012A-402E-A4DB-93ED1D157A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F7DC01-B871-49CA-B72D-95ABDEE33C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FD5045-9E8D-4286-80A5-724BB6B931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8F8FE3-978E-4FC4-AD1D-E6CEC0536C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EED14D-8877-4C2B-A351-4FB421F2B7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5099D1-9D67-4A3E-93B8-339E632659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7461A4-802D-4FB5-AC7F-AA5354948D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46A823-C106-42DB-89F6-353DD01094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44E81C-02ED-4587-9763-0A6E45AEE7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D163C3-68B8-4DB0-AA6C-8DA682D96C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762298-CE58-47A8-8504-57A7F1BD0D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3C4090-AB46-492B-9472-4872E332AC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5923C7-1434-49D3-BE2C-F7D9AE34B5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F72498-4971-4F48-8AB0-531C804A47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DD3BDA-7A9A-4C1C-AE73-9C896078A9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A0E7C8-B76A-4E85-A7DD-3F96EBA578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BEFC62-8A6A-4F45-910D-CCDEF09804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A2A4B6-4729-4560-94DC-16F44A258E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796643-AB57-4688-95B2-1F1709C46F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7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AF1DDC-7D20-4C0A-ACCA-C1E7E88561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B2E278-95A5-41CC-BB97-C6094E3D7F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E2AD11-8F9C-4AEC-B238-26F4C1BA50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AFB109-155E-43C5-935D-323C03E4B5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D10406-9536-408B-A576-95C7768492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58ECA9-C2E1-481F-8DDB-A813CB5A1D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733013-886A-45A8-B3D2-B17742FFFF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9D6A96-0482-4A3A-932A-021A5C9E87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2BA3FE-1815-4997-802A-DB5E6F266C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5AADC2-48AE-4A44-AE09-A1BAF55D58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2B6BD7-3C79-4E4C-96D1-E19E9A0590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989513-5BA7-4A6B-8711-9196E7FEF7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97A52D-08CF-4BFB-8A1F-7DFD06F8A4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5F451A-DB5B-453F-BDD1-AFE316BD33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584CCC-6A17-41FB-91FC-185319B549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511A45-9C1E-459D-B819-2C4161B535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5D9E8D-8782-4928-B3AC-AE086EACCF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DD5084-7820-4C3A-AB09-2D9BB59A97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A70EB4-D263-45C8-A3B0-D88291840E3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D70E3E-2901-4242-AE68-9D7564B031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EE482F-0CB2-490A-96A2-C38695A329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2012F1-9CE6-4684-AD91-25FDE4DECE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ED0A00-6F39-43ED-9BFD-B5C70C9E3C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7DC795-D164-4AE3-9A18-8F1F9EF720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31D005-33AA-425A-B2D1-BC4E0859E2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BFE936-EE04-42BA-940D-C87CBB2281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8D3942-2F93-4A0A-B3AE-B60C4FD306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29D792-8D5D-4B7B-99DE-7D73DDC5CD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89242F-C5E5-4E6E-AEDE-B5B5B28367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F2A1E3-67CC-4C5F-A306-FC88FAD92E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E878A6-77D0-4EA0-AF48-BA33C9502D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088CCF-63F8-4A43-891E-9F38E831E1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689566-6C4B-492E-B047-48887E70D9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106968-F25B-4C59-ACA3-115B94A3EE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0D3B93-A9FA-41C2-A01E-3CF4BE49DD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B4DC20-26DA-4A1F-8AE9-ECE1A2F5A3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9333EA-6249-481E-B83D-817CAD65B5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F13D32-72C3-4200-9E87-EC539656FB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3D0289-BE53-4605-8925-E1870635B7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B94D12-94B9-4658-94D5-5F9D819F35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0A22C1-7C60-412A-ADA9-1A570409D8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00B755-167E-4881-A139-80D60A7CDF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65CEFC-041F-480C-9C18-8742F4B850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3D8105-101B-4296-912D-634A515036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ABEE26-4AF9-4DC4-8D5D-5302CD8B27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121531-3D89-44A8-9DF7-C070373ACC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D46B07-9ABC-40FC-A91C-8625FB1828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31EBD7-4A5A-4C12-8F0B-05D7649FBF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B40361-E715-492C-BAB7-5B1B84E3E6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9A387C-F4AE-4CAC-BC0D-487EBC24AD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196A7E-5072-4475-94D1-D1F25AA812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B97E9A-8DA0-4252-9A77-6E425F3DC3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B0059A-6DE6-48EE-856F-0028489D07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AFD4C3-0FA9-4B3F-880A-FDF7D0D3CF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4EFB37-4BBC-45A9-9EB9-B9FDE5F2AF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6FDE85-E966-41C2-AA99-C5C4B1DF47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074ABE-0E21-4D91-ADA3-ED14ED88B7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3EF5F1-A95D-4E7D-8E9F-25267E1692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FC49C2-FA63-46F2-8EAF-5964DAC756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2E2CC1-FAC1-45B5-9997-F286217833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A51BF6-E537-413A-B7F5-C26C4587A0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A6A16C-85CE-4B60-8D74-BC218192830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E54CBE-07F4-48A5-99F6-789098DD87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F9F984-6087-4429-A76F-7BE36725E9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8337CA-2E1D-4FEE-B3B3-ED0F0773D6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CC2211-A0B0-4FDD-8F36-F8F8F4F917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B0FF4C-5738-4EE0-9F76-FD5CB9B7C2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B0E172-5581-4F8C-9153-9507E428B7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98ED8F-D817-47BB-88D9-694A27F958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9DCB01-D134-4B74-B1BD-0D67EC646A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41B55F-72D0-499B-B718-063A83DD97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87EB9C-B45F-47D3-A37F-6DF831D09E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6D0836-1399-455D-AD3D-8E5DC47A38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23EDAB-B49F-4B4B-8CF4-769DF54F9C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1E8D55-6DA1-4A68-8FAC-FC0E9FD549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205622-98F8-422E-B13C-F5E8BC9D50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0A1334-0ADE-42D7-B5A4-19C4A57515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7E3F22-315B-40F2-833D-30852ACFEE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C41081-27EC-43D9-B4A2-FA1C0511ED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C63BF5-9AD0-4106-B184-A7BE6F6E53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432D82-A04B-4834-9C72-18D6C279D6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7AAAE2-3F4D-402E-A3CD-5EDF4FBA15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283F69-BCE4-4E39-A329-230D4F789C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B63966-2E20-443D-BBB6-E19FD9494A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ABBFC1-97BF-437F-BEC7-67E92C561B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B4A1E2-498F-4D30-AEC1-9BFD50E83C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C6BA30-2946-40D9-B102-64750DDC51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B099C4-560B-443D-9EFD-1D15DD26D1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037BF5-F663-4C9C-A522-7677B95312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9787BF-92C4-4ED4-A5C7-6545145D51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A05A7E-F3A8-4047-8D3A-CC071B03E6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61A149-97BA-4FF3-B092-D1E7BE995F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E6E868-5A82-444F-B467-0DEFBC8335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574D9D-83B9-427A-BE71-A9D94B3D5E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229075-696F-4285-A28D-99EE75AAEE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D46A37-9941-4B3C-B15A-3F0F58775B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F45D99-C55C-4575-BEE7-6D875579BB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4247AB-B3D4-4830-8D63-7352F147EF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E4A479-AAC9-4008-A217-E5E0785E09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850C57-B9D0-4B70-8E87-4979B1117C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8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CB7194-98D2-4D87-9A34-DC985BECBB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6C30CE-1512-4E8F-A27E-37EE398F59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320EA4-AFEE-4847-ACCB-F26A0F99C1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97660E-C0EB-4C6A-8C69-22B99F1520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A1D407-A877-4BF1-8123-591211FD6E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BDE40B-0218-4470-BC01-07AB0BAF369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6DD349-F7F6-4F2E-A277-3BC7F2E281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24BAC5-3AA6-4BA9-9C8C-2B4E142827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065857-7640-4AFD-93FA-46DD50A4E6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702A21-8CC2-4384-A8B6-0B1383C364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F9D3B0-1D89-4C2D-9B87-A55FF06E16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0E983B-1E45-4D7B-8137-0C2C5DC1F0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A3B7A1-6E81-486B-AD91-1367C8DF35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D7F2E0-1CE1-4AB4-9EEF-83C3F48915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A39ADA-5753-479A-A770-DB245EA1B0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2DF06F-9A60-4C1C-9241-2D818AB822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655B43-2026-4C15-B689-EC3FBA7CA3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C0A0AF-FF21-4FDF-B65A-6EF85BC060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9C5B8D-1A3A-4C21-8F49-ACF407F0E3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7A25F2-78B6-432B-A872-4221277DD3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81AFF5-E64B-4F21-9800-0CCCBFB9C3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12DE7A-9E74-4689-8867-412330BE43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2C487B-96B9-44D2-90BF-B07919F6B82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BE9177-C082-4F45-AC6C-2A33E5DF5E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976851-8344-4AC7-93D4-B30EA59011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B986B0-3D52-4CD0-814C-7AE9E09E32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85C0DC-C681-4716-BCFC-C8B3E01DC8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BBB35E-D36C-42B5-AB60-B1ADB84DD7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DC7FEF-14B0-4D32-A02B-386F9E57B1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976525-02C2-40F0-A4E2-EDFC025DF6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A55C24-D221-49DF-B1A8-DB96D80D7A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6CAB01-F644-45D6-9070-06E2F62C5C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3D67FA-DF24-4576-9BE6-91485A28BE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6B4976-B86D-4B11-8C16-E0749E95CB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C3C8EE-6960-4BB5-BF90-1E36707161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D5751F-3D0A-4A76-A9C2-6859683EE1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C7A0CA-3665-47AA-AA9F-27B56319FC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6369ED-BED6-44D8-BCE6-EE4990459C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925DD7-A855-4FBC-879A-75FF1CBAB0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DD9D2A-8C4E-4BFF-BA1F-BC9270980F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25AD3E-180F-4A29-B7A7-6D53E676CD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60946A-DED1-4FA3-8663-31080E6ED7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3396D9-E7B1-4925-BF5C-11B424B0D1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2C3A79-A8C1-4355-960D-8ED5CDEFE8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A41786-93C8-4735-BC37-AF47AE6D07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AC8279-DBE6-4969-B736-981E4FB2B7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A7D841-002D-43B1-A3ED-D4DA62A467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14B098-428F-45A6-A2AC-4C65B46D81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BB6F1C-07EB-4DC5-A4D3-712B4FE99B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6ABC1A-DA0C-43AA-AC73-3ED03BFFBA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DE9D0B-C779-4F0A-864C-3A12E919DF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230C37-802E-442B-8AA0-B878C555F3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1D443A-D5A6-40F4-9472-30198BC50F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9F96A0-C4FD-48B1-85F1-2D1292AD05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25E1E5-EB95-4478-B0A8-50DE1DBF96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C2ED95-7B5D-45ED-85BA-8EA258A2F9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C7D9DA-8AAA-4A3B-8EF4-35355BBFC5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617D3C-7782-4D38-86C6-641D7B3E8B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4D76BB-0F1A-4EA1-9A5F-C506150D7E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0F315C-090B-4ABB-B4CB-A02A86B18A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B85496-48AB-4857-AA71-E541519FE0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1BBF8F-F6E1-4CBB-899C-1839F1DAE9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217415-B0ED-4EDB-A970-94126019D7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D32657-1F46-4749-AD85-E5CB594275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399719-C588-4586-A4BF-7F1B483498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138E7D-CD02-4DB8-AB87-9F421656FE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DE7E52-D967-434E-8D7A-5B0A54907D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6BE239-7E2B-4ABA-B165-36D66F720C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C3D4C3-D70F-4520-8DDE-517594BBC2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389A8F-5560-4984-8294-F349FB185B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74F388-9980-4A1B-ACBD-D0B746D660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CAA80F-A86C-44DB-A5DF-F241A82C45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22802D-6871-432C-9988-90DBA2F766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AD4676-F075-4514-99A3-8ECB63FE68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B57369-558D-4CE0-B5E3-8D20A964C3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676890-3AE2-4672-BEE2-56CDFAF0E7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790D80-A3BA-4D88-9E99-FA57CB96B0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E44FE7-EA83-4EB2-9152-C2B7EF1D05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93A9AC-A0D8-4A8C-A9B9-A27BFD13F9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A579E7-7B06-41F3-947E-670917A721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C8E746-7096-4CAD-96B9-C51FF99473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C4E7F4-3DC0-4C3F-A58D-8A6C7BEE83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B57DD9-9CBE-4569-AC24-DA9632EE76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E706BC-F28A-40FD-94F5-20B9169C8D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1D0C02-B82C-44B1-BEA3-7DD8BBEB4B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467631-901D-4D49-AD2E-E2CB1229CD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F51F99-630D-47D3-851E-B6F7008BDD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77C43B-B59F-49E6-87C4-3472046E90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C3C896-F652-4519-9E26-5B06916431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05080B-ADC2-49BF-AFD8-0A3A413086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35F5DE-572B-4064-94D4-EAFA08E6C0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0CC204-7863-4B12-BDED-F5F2D58949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089774-FB5A-4620-AA9C-FD8228AD96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CFB3B3-BD97-42AC-8D80-893571D462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3BC45B-632B-4DF2-8CDB-D9FC14E9AA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75B2ED-B344-436D-9D54-94AD11F36D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54B885-3594-4A2E-ACA0-39A8C434DA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759DB3-D252-4C4C-90CC-F74EB26C09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EEEB5C-5CED-401E-B53D-8CCF466E52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F5B08C-E21D-4480-AC14-A024ED69BF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19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E32E75-CC09-48CE-8ADA-01060C1F61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D96A29-FEBC-439D-B1B6-2A04230ABB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76F9E0-D03B-4C85-97DD-1529236BBC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27008C-B38B-4850-A3E1-8EF31DC5A4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29DC65-C92E-489B-8EC2-384E095F2E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072B1E-E25D-4BB0-9542-CD19CE6E98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2F8748-534F-4F4B-AA5C-53F229FFCF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AD7008-DD7C-4DCD-A202-9AD42C90B9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0DB0B3-4A47-4C7C-83E5-A2EE2E39AD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205ADE-0556-4673-A617-1D2771534E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53D7B4-79D0-4D9B-A1FC-97638F44AE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1849AF-56DB-4D39-9E30-964E7DB148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8D0459-942A-4438-951A-F24C8605F7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93C19F-7CA3-4564-B46A-994D922A0F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E1B675-E1E2-44B3-859E-A8C4C794DB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E707DA-8B07-470E-8C04-1D285F58B6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E0F087-A6F4-43C0-9435-A91B055886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EF87FD-5B0C-4D5F-A7BF-9B2F56599CC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3FDD24-32C5-4EF8-868C-B679BB4C62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DC5493-1865-401E-A481-8E3A2EFB22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DF2915-8824-4019-8FAB-1EDA3EB9AC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1F9E65-752A-49F5-AB2C-858F0AEF98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71668D-7C81-4CC5-9C27-30278B5B2F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8B2D7C-878A-460F-B7FE-668A2EE598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6D6823-C064-46DA-BED8-E166DB3DC8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35CB0A-F50F-4001-8C81-463401D84E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AA7B82-7518-48B4-963A-580E2EFBEF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D1E131-9D70-445D-9D3E-CD8751CC66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1AFB62-6D56-42C2-A061-939217045A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637258-306F-4DD1-A2C7-237754BE1F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19852D-9325-4A6E-B005-9E961C2097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A3B879-D5FC-4836-B162-745AB57916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FFACF5-BD71-484B-B981-604ABE2525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35B96D-A724-42C5-B327-AD6427D9BB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20E4A6-0ACE-4329-B6E0-A1B5D1E2B1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76D1E7-E284-4013-9A6A-B8C959BB77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2E774C-35C4-4C6E-A3BB-2E2A7A4005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5D1E80-2A8B-4310-93F1-64E3280D65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0CEDB3-94F4-4D80-B3B8-8F36E1990A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192255-E344-4A4F-A0E2-4C47B29367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E1DE19-C4ED-49EE-B551-7B15BC36D1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5671BF-8A02-41DD-A26B-547CAAECAA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A241ED-EBE7-451A-8FE7-B74285A875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6C89E4-DB26-4635-88EA-2D418F2643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2A5FB1-A262-4401-8404-B02EF7341D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1E4D67-11BF-48EF-8EBF-3EE343D71F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0EC89A-4FC8-4C66-9BF5-16CF78DBC8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7E13AB-5881-4E46-BBA7-3C4E527096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768D69-194B-44A1-AFFD-0A7B11771A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2F1630-06DB-436B-95FE-64F2FB6569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3E1EB4-9EB1-4B4E-B147-297B12B66C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67732A-6BEB-4DCD-84D7-89141B4939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461038-0651-4133-AB69-83FDED0C12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AF204C-C5B0-422C-B704-E6D8790EFB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966816-2AC9-47C8-A84A-78D2FFF52F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20C770-C0A2-4B1C-9D02-56094CAF3D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260C51-77FC-48D7-A729-D793B74658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00FBC5-46FE-47F5-BB1F-28BE2E218E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9438C4-2075-4849-B9CF-A3BBD8EB11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0385BF-B4E3-41B1-B806-E3B75A6B0D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B8CF80-0A86-47FB-A9B9-E3F91F1DF1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4464BB-B3A0-45D6-95DE-B2F7DC6B5E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7A40FF-0D51-4782-BDF4-E35A0B750E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54CFBB-A73D-460E-9098-9040D94791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F5B408-8427-48F5-910E-63983CB5D9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E26A46-9B2A-4C81-8BA5-63A6E0ADD2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03A72F-05FE-4B93-9097-AE4F7A3A9D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6E8EC8-898F-4C63-95F0-EE9C39285F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79237E-6DB0-474F-9D14-44B838EF10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E22E4C-058A-424B-940F-923878F60D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466298-3130-4A27-A615-96CE2C5B00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56B1A8-97B3-477A-B812-02870A5675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21F86D-FEE8-40A0-8962-EB65985A02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3B0937-3BFF-4749-B246-6DE1FA9736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6A03EE-8DF1-4F11-9228-B561698338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BD69EF-F0C0-4416-97E2-036A706D26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AB6B68-D4E8-4ACF-8E51-C763A9C9CE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D83EA2-4B4F-403B-A252-E1B799AD81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09AF60-05DF-4C73-8AC2-C1FECDABE3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E623E0-5765-417C-ADB6-BFABBB3475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7BAECB-AA73-42EE-B86E-ECBB0FAD5F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672514-8ABC-4CE3-9BDE-AEE1C2CD16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731DF4-21AC-40D6-A5ED-D623259861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62D923-1B12-4294-95E0-58B0E7D915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E40F13-B1C8-40E6-8318-F9D7564CC9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D6BA61-0C4C-402E-9A00-4D7587E731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2EE425-1ED9-44B3-9783-C62F57D2C3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746CC8-79E5-4E6E-AF1F-0338D1DDC3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AF06DF-D178-463C-8B7F-B2C00CB588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B87F34-58EE-4694-B00B-61FAC82ED1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AAA496-F8E4-4283-B8A5-6DEDEBF644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B2205C-0C3F-4248-8B8A-B62DA31DBF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4F4EA7-0C2E-4174-97E9-F89DEA38FD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8C4E32-A8B8-407B-BF1F-6DEF0519BD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252A2D-3DD5-4C97-B63D-983BDECA69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56D203-92D2-452D-9D62-779FB7FC2F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F6B325-52FF-4D85-BF20-76BC1D9518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7FD0A0-9F29-4E62-BECD-6A401D320A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1FCE0A-AC9B-4459-B0E1-75DA628FB3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41A6D4-921A-40E9-BA31-859DCFD08C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0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9B997F-72CA-4245-91F2-D413E385CB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1CE78A-C77E-4E66-87BC-70FDFA9C98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4865A2-4C6E-48C4-A26B-CC7071B2C2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D9792D-321E-4F92-869F-5F68050659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F82D59-5977-407F-A3D2-7A0C93E28C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5D4287-551B-4C3C-ABA8-23EAD71540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9BE450-5C37-4341-87FB-CD97F45ADE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BC429D-7E5D-4EB7-9D6D-F417B86711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300324-75D9-4F12-88F5-DBFA7F4FFD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BCA4A1-E41A-4E27-B049-56821D087D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E6038F-A171-4BFE-A236-4A23D7A26C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547585-4EF4-418B-B0AF-D74147534F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FFB21C-647F-47F4-A39F-F4FDDFB55A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B0CB64-C582-4539-A390-35A6B63D21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591B5F-D801-46D9-8DAA-F8450DD868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1D09FA-8B90-4061-8551-7253006F1F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7735FE-EF2A-4E67-A232-C3EF3924CC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BAA884-144A-41CA-A7BC-282334D29B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70C956-A381-4050-B939-89B64995DF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76700F-7982-44C8-ACDA-34650F04812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250C4C-577E-4C82-A8C7-B73292400C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EBC589-8AC7-42E5-94B0-9A8D9BD0D7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53A5D4-77A8-4F0B-9859-8C6F01E33F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342CC2-8F86-458C-A351-C2B5CDD256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3457FF-E3F8-4025-826F-0A74E573CD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3B6E43-C856-4CD9-8B98-D4067E882D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82C6E0-56D0-4D83-AD21-D190567DB7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789001-2F14-42D3-B0DD-08D43E226E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A0847F-EA42-459F-9A66-8C1655CEF9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E16CF5-D688-40A1-9A7E-0CAB83F7E7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BA7EA0-E846-4EA0-B112-6FEC09DDDB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EB34FA-4615-4B1F-94D3-35452FF918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D1E11E-7316-4F51-8928-EA8833A4C6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276C4F-097A-459C-8ABF-0B636015A0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CCA59A-8FEC-4299-8363-83AB033B0D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597D00-E42A-4BA1-8F4F-5597ABF2CC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1EBEDC-1C52-4D43-B6EC-ACE4FE5983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F15D3D-2013-43EC-AEAC-2B60344DC1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9D82B3-C70D-4C2A-BE5E-90B6E5B7B5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623FE4-783E-485D-A36A-996143F2F0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515C82-2067-493A-91C0-A1F86213E1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995D86-7C7C-4AFB-931E-4EABF0B529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0F6AB5-5EC2-4BB4-81E7-06F3F717E7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CB4583-0150-430F-B129-E5B0BB8044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C99A09-AB3B-4AFE-8BFA-833B79BEF5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5FA357-2970-449B-94CE-F92DBA9F60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4CFEC0-94B0-4004-B8CB-C4240985C0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AC899F-E0BF-4A3C-8E98-683986728E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F1C48F-CA01-423C-92BA-27B11E7AF0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B68967-9641-42AA-BC55-4F91749E5F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E75521-D9DE-4403-8A44-706DC23570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24F663-D267-4819-B3DE-442E3D5036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4D723B-0685-4D0D-8852-AA6216B991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31439B-1B5A-4852-A374-8A6F0A9268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AF3911-0837-457C-B231-B15732EA0D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D06504-D6D3-4739-9C3F-422D2CCF07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18EF49-6CB8-4604-97A8-DDC2B9C7A5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DF362F-0A76-4273-B360-A73B9F73E4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09A597-2A3B-4514-A830-BF770533DD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FE9B72-3E41-4730-9D7D-B47C993C0A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4DD7BD-A9FE-460C-8686-186466041C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1F46B3-3BDE-459F-9253-7648368C15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CF7286-F188-4381-8BF7-7DA0AEEC88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1CDD28-DFD7-417E-BDB9-CD92C88AD1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586F1A-0A3C-411D-AE0B-623B66C80B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78EB3C-AB36-4B7C-8E4C-8A8F8B20A2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35146F-E4DA-407E-95FA-288DED95DF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B1AEC2-6938-4900-90BC-EFE2A55938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75D69C-DE99-41E6-8B7A-F7167D5426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27D82C-26ED-4D1F-8752-42CD1C4710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D5FFCA-A002-4B9F-842E-45003CDCD2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0AAA92-4759-43BE-AE22-51BC7A9964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DC7B52-F34E-48B6-8634-7F7DE7D1FC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15945D-AAD4-421C-A77D-5E5BFD223A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73CC23-E995-4AD7-B072-B69B52C6A7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FB1919-1A44-4919-8AAA-4B80CDAEEA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0FA67F-7E71-49BB-AAE4-0C8DFFE95E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3DD777-6BA0-4090-B2D5-35138BD403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D11DA3-834C-4DF8-9AA3-91670173BC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B6D863-D722-438D-A624-AF203AB28A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FE9DC7-2CB0-473B-A320-022702AA3F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DB5113-7BE6-46DE-8895-67311D230D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1985BE-DD43-4E7B-B3CD-C97141D6DF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3D0F8D-C851-4B40-848F-8EB41A391D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C91EAB-5751-48DC-AF08-9CE817EA3FF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665744-47FC-4AF8-87C2-BF0B6DE5D5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2CF6D8-9CD3-48D5-B43F-B349E2DB81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3CACF6-6C13-4DBB-B38A-514797B87F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990F66-B34F-4325-9EFD-0DDFC66737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807EA0-ED36-4A0E-B119-4BDDD30DD7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B6DEC3-8A66-4677-A8F7-9566B5BFC2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0C23EC-79A8-4614-939E-51E45C8F43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43141C-4908-4AC9-AEB4-C54DF6EF94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0289BF-326E-4C09-B52D-B249CDAD50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503A9E-6390-47E7-83C7-E86AFCD455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5B9B6A-94BA-4997-8929-107DAD581B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46352D-1677-4CE4-951C-3ACBC29398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A4ADEB-3646-4A43-A464-0D84E7DA14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73C89D-F39E-44D5-98D4-275ACFE798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C92E1F-DCF4-49C7-9B54-C59DF5D2AB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9492A7-20F9-44E7-8E1A-030A1B0B11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0F103C-3CFC-47E3-BCD3-D6759B79DD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47E90F-77AA-4CDB-8234-FB954D558F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B745E1-E7C2-4D14-B6D1-C92FE9273E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F86295-A953-409A-9E8C-39152C25EE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12124B-CB42-4412-8E2B-F18143E878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BC5DC3-B26B-4E95-87D1-535E2EECFE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1F930B-31C0-4D7D-B1BA-A15D845D48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137CA7-32C3-4A57-B436-354C3EDAFA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4DAA00-5C52-453A-A4A0-75FAD51101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16F538-8544-4DF7-A3A6-2C85C49D1E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20888B-83F1-4440-A66D-87E56BDB4E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1BD7B5-1F93-4411-AFB6-8B4CAD5691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99F6AE-B9AC-4BD5-933D-479DFB5936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14E790-5DD2-4726-8408-59F055728C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B3CE90-AB72-4377-B145-7E05DBCE99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53BDD6-2AAA-482F-B332-B906E40D1A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AF5BBB-09C0-4E9D-A452-879614B6DE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5206B7-0B49-4BC3-8080-17EE4F28DA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3E0668-C78C-4514-B436-410BEA9A8A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52B3DD-0FC3-4A4D-903B-DB8794556C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7F0F17-071F-4E51-B978-351D34E015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B1F35C-5E3E-4E75-BA8C-F318EE8E2A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13F525-746B-4034-A78E-A7D30A4F49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2D4A18-C9F5-455A-BA67-0597586D1F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6BFC7B-CB19-4C71-B42D-D642A8B96B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7261B8-CF3A-411D-929A-BA4E0D01CF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2981FB-C1C1-410B-B8D3-4773ED4124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1F7A6C-A176-4BB4-A480-85FDFAE440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4172A9-4B1F-4105-B27A-C9C1A8DF9D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0CBA17-FB57-47D2-A5F9-E619104B7C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00933A-51ED-4C07-8B1B-87744D0F3CC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9AEB3A-4D3C-44DC-8402-AAC50BD981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673D9E-6ACB-4C37-9BF7-D25438BF12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8E7D98-2A34-48D3-912E-4FF08AFF00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AF26D2-987C-4F34-BD3B-331ED74267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B09A74-4B7F-437F-9BB2-6A7CA2930B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5A14E7-4343-47C2-BC37-623024F92E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BC561A-4B13-4A7B-84D6-FB854BD7ED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2399BE-5540-4F6B-9204-EAB29B0EAA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CDAEC0-504A-4207-8510-B03E2278172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B40843-481B-4D58-8D28-163C2760DE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082701-C3D5-4F31-AC78-A5F656269A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90478B-8612-4DB5-AB59-CC8A48342E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3499FE-8815-40F1-979D-E47CDBDCB0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7DDD72-D073-4373-988A-1ED6201587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FFCD7C-9FFE-4671-852A-B25A279BF3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B20FF0-68D5-49DC-AF9B-669606B1C9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F48735-8C85-4396-9E42-78D4C43998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13F781-CF7E-430F-AE7C-D3FBDA11E1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07B2E3-BCB5-40E1-B6B9-DC88259CD3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D21141-EF86-47C8-955F-C58386656F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5C794F-0840-46CA-AD6F-008B4D3BC5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127EDF-124A-4228-82B9-7AB90B509A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F80F73-4694-49F1-A86F-F89A583F02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7E8DFA-9F80-4174-98D7-15A0BEDBD8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884B10-0B81-439C-B6A6-F3532122B8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EFDFE3-0C02-40D2-B6A6-08DDD3D99D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B0BE29-D43B-47D4-A1F7-1971CC5F7C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B16F60-6D88-4538-B18D-5656355D2F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170425-7363-4F2A-BAB7-2773768737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891C78-F8FC-4240-BB4E-58922343CD6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356D77-9A66-4EE5-B0FA-AC40725C11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0301DC-B1D8-4054-ACD6-9B7337788D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D6F6D2-D68C-4E87-B5B1-4336FA7BF5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B08BF5-65B1-4482-9428-1EF5B6F8EB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3E592E-7031-45C0-9316-713946CC81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B2CE2C-B661-4A29-9FB0-AD5F289ACC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F283F6-8257-40F8-AF35-0ED95C1647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620662-C47A-4D89-A290-9278C64461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D7A968-EBBE-4054-AB4F-2EEEE7FA98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0A25F7-6937-4081-B513-8BC9975FA5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26E49F-6F6F-43FD-8FC9-347DC2CB6C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896994-C36F-4176-84C2-614A3B208E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D59A43-B19E-4570-A3AD-8061BB4600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F92EA3-8931-411A-A24E-A3688FC852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322912-7DD5-4BB5-8C35-B768D14DFD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49D408-E3ED-4CC0-9B37-6FD0CB6EA8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6B0F4C-8C23-405A-929B-FC736502C3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9C6F6C-814E-44A9-9318-2F02C54C76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780509-6792-4D03-AEF5-F8BC72DB3B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959469-F662-4C20-987D-215F532D5A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D154A7-4F9F-454B-8B19-3D1A84BB3A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4D2324-1DE5-4377-8AEA-1F9FB58B81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A67028-0294-40E6-8439-1F908516EC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14F6CD-3315-48C4-8750-F67A864439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831ADE-D7BB-4FC9-B59D-253B9A73C3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156302-5CA6-4603-A95B-1617FAC247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94A6D1-E55A-40FF-B10B-E062F9950B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17DD01-7540-40B5-A677-01D141A7B1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790548-4BF2-4858-B5AA-73A257FDEF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B98471-E672-4CCC-A786-1B25294458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755852-208B-4E7C-A0EF-1A80C3B715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9A3C6E-2EEF-48F5-9A64-A9E2C15342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F1A096-3BFB-4ACF-8146-EA2919F794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6C9C0B-22D4-48DA-B5DA-3500BA3622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A39B38-56B8-4A1D-B2BE-03A415E608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75CDF2-5602-455A-8637-90AB121E16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F61C16-A55A-4490-8AD7-7715A61BAB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744E0F-51C7-4E80-A2A9-44AE2867A2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6C3FAC-AD1C-40AC-94D1-E2F43BF5A3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EFF158-FFD4-408C-B70D-0622B2E0D4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50A64F-5903-4588-82FC-B0E94B2414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EEE0EB-78BA-444D-BE9D-2D030877EE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1D40E-8313-4234-BC70-61410255D1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89A012-7998-4EC8-AE44-38304D992C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3D5E07-0C61-4149-B984-75F83E1A90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BF140B-5EF9-4B80-BDD0-BB760EC6E9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B8540E-8733-440B-AB24-97D918717F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177D9E-C7F6-426D-B106-0F39C73947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B3F177-BA5D-4664-B27E-ECB770C334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FE7D91-94FA-42AD-B8DC-9812EDA80A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FC026C-9587-48D1-BA04-F7F18D581A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B6E3F0-1D99-4CB0-9601-B33A21F84F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A4588C-2754-442D-ADB2-249FB85297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5B6D86-CD79-4CC9-B622-C98D83CF31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9D7D77-4C40-4AE4-9BB7-40EA498741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94720C-6A92-4A87-A54F-A2AD5E98C5C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7CFACE-901B-41F9-B827-4084C419F9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51107E-BBAB-4CF6-8748-DC76EDD9AC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329D2D-5987-47C9-8CD5-92BB549482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2DA0E0-6942-4F75-A6F3-91D16A3D05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C33EFB-F1B1-4BE0-A07E-44921D6D70E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5CE9E5-4633-4C5C-A530-C45009B324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3B27FD-F8E3-4669-852C-193AAC127B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CC7A30-51D9-4C38-9B3E-0DE1589045A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6F761D-E771-4C2E-8175-AB2946E929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14EDBC-0D7B-4108-A9D0-AB290E2B96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8B062E-9C21-48ED-8D33-4B5140BC11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FD7CA4-A70B-4BA4-AEAA-6F6590D50F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064BA4-7443-4F96-B59E-7277AE1868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53AE4E-6D21-45EA-8C9D-F4297D4C25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259DD3-1CC0-49EF-8E4A-1214536BB6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D744E0-4400-45B3-AA5F-A4E7FDF2A7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803760-DA1E-40DE-B143-3578CEF66B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D4BCC0-89F1-4D66-82E2-3D6CCA0A87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E60963-FAB6-4E96-A758-0FE5947730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CF2CB3-7F3F-43CC-82C5-ADA7834714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52F8DC-DB29-4257-B05E-6950D4F765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DE23FC-12D5-478F-B547-A65AF8511E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B65AF5-C506-4A70-A1EC-465D223D6F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955BCD-3D45-4E8D-A854-A69F875737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6985F4-2E96-4E96-9B10-960E5073EB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DEDBEB-C34A-4FDF-ABDD-5F2A197550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3DEF67-C900-4241-8AD0-574A3015F1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565AD8-EDE9-474F-81B1-E4EF18EC74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8ED2CA-C2A5-4E64-A9BD-FE9E06A9FF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5205CF-9892-4A73-B7C9-77374EED6E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C16B9C-12E6-4D61-B046-89370802BC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E6A4FA-E3F0-467B-A441-16883152A3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9E8C04-CAB6-4AB3-9546-9BCC8C1368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2FC487-4068-4338-89E8-EAE755E389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DCE212-EADE-4495-915A-3AC6BBCFC60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6739E6-95DA-471F-ABFF-E99D64EF92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43511-105B-4665-A4A3-C70D255E19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583790-69DD-4542-8FF9-985B72486C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628195-71ED-47EA-9D55-E7D4322FB9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A76EAB-3B2C-48FA-8429-9E511352B8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BEC6D4-3D0C-485B-B4C6-630CE8D746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2609A7-1D7C-4892-AE63-6558EFC668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A0E6A2-864D-49E9-9B3E-531A512A8A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8CCFEA-EF3A-4657-9751-0230840E5D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A85BAD-C998-4C85-BBD7-1CD9F0F21A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3704DA-6565-454F-9906-09E4F83C03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D7F47D-F58E-4D22-BB56-BDD562360E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FDA6C0-45BC-4C31-A33A-225885CA2D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CC0AF8-FE2B-4E5A-96C1-30610D2E21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8EA3F5-E429-40A4-83C0-1A4C3167C7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58F443-B2DD-47D0-AF73-D1D716F5C4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531CB1-1C9F-4242-841D-E2025BCF19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3DC786-9DDA-4386-B5A5-D231C4DA88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2117ED-E5C2-4404-AC21-EB28EB2CE6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1CD729-AD0F-4A02-9035-5394704597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730366-29A3-4F84-A510-64C8E6B7FE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C951E4-D2DB-4839-8F79-B006A882A9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BB74E2-D1C6-44DB-96B4-14FF396430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6074D6-3BA7-462E-A45C-538769597B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E9A212-C338-4427-B2C3-AC9D4D7F94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5E4453-1779-4D87-92DA-6F8B388CCA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AFC1C1-1739-4680-9C4F-8CEB4B65E8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00B757-9898-4E8B-92CC-27099B1FCD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5E9427-EED7-4B15-BDCF-092D9DFD69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9E26B0-46CE-4B08-B70F-72A5C1208B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AAB713-B58E-4BAD-B18D-6F9A7686DC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64E082-ABF2-4282-8B34-6F8F8C8FC5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897481-B1FB-48CF-90CC-159DF21249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521DDB-AA6D-4F89-8FFF-E0AD979C7D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DB632A-6A37-42E5-A65B-9900CE8D80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8F9634-0255-4EE8-9CB4-956601E6D7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720FB7-A437-4B25-8354-F4B43B9A84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A71B86-37D5-4E02-9C83-F565179974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E6A5E1-A89B-47A7-8582-E3CF9F561C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C81F0C-98DB-4299-ABA2-E623E4EB7E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C71D1E-437D-45BD-AE30-DF2BD888AC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E9E64E-2DFD-4396-BAB3-B4B6558BB6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20DE6C-F985-434A-B11B-1BA6381FD6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C573C0-6707-4AA5-8073-BB23C75989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60D6E4-4634-4C99-B55B-3FB6DEBBA6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FA2166-50DA-462F-BF8B-F558DA0813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EF0E4D-16EC-4B0C-87BD-4BB75C8CE4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3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61920C-0304-449C-A1A0-5E3044C359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F0A8E3-FD4A-4E7F-9E70-522A445E2C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76B518-3B95-4055-AE75-D22438F7A6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36C53A-3881-406D-8B44-C672FC15CB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638406-1833-46F8-B467-2E0A7B47E0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9B7148-22F6-451E-93DD-B8E99F3F5F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3B33FB-0D03-44C6-9FD7-6E07C22A13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1D1E82-CB9E-4FE0-9EBF-85A8A86CC6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74898F-968A-4A38-ACFA-7DB7DD3D67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BBAB46-2FBA-4E87-95EB-94AD2D6ADA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EB5B2D-A755-438F-AE24-0432419E70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797269-05FC-498F-8E3B-CA7B9E3D30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607E44-B582-4813-8899-38D0ED06E1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31D6CC-AF1B-46B9-BA33-07956A127E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FF3767-2BC6-4F39-B128-D620E508CF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D3D317-7A25-49C9-8B9A-BFC9C2C80E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70B2D7-EB86-4A70-ADF3-BFCE4EB9F5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DD1CC5-1894-4132-B898-233457BBC6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EF49A4-15FE-4283-91B5-88199568A3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F3CBE2-34B4-4B5E-9961-867F20007E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18A95F-B58A-48CB-936A-25B470CD98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FE480E-6ED0-4F1D-B135-8C2DD9B18F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6287BD-745E-4756-A7BD-036C45138F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6281C3-942A-438F-A6CC-41248FF2E6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AEED3B-B2C7-4A79-A8E3-B9C645B66C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82554F-BB44-44E7-B4DF-316824C7D4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A9822F-A2CE-4D9C-8E13-B68DAD5012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85B4FA-6A14-4D3B-8459-F3DF839178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65FE9D-846F-4623-BCB0-2C0614450F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447D0D-F65B-4368-97CB-F4033522AD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CEB0E3-A170-4F67-A754-1BE939DEB2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C940BB-4EDB-4C64-9CD8-1BA6CBC5E8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55AB1A-7F90-4561-92AD-F045362897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84471F-4AC1-4D16-887A-BEA144784E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9F4926-99E9-44CF-8755-E8549ED559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8A0F4A-711A-4728-84F7-2C0C80A64E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342350-AC4F-45CE-835E-4E75BBE894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A33070-8212-46F1-8092-1050FFA62E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44A117-8AC6-46FD-A9D1-ABF4538C88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852057-51F1-4D89-BD80-66BA4C1CA6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692341-8906-48DF-970E-8BFD5A1DBB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2768F7-666D-457D-8B52-E6A7D3D557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A2B837-4165-44D2-BBD2-24552193B0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8BE5C9-8DFC-4F72-8559-3F5E8A8495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6D5796-9B8D-48F0-8CD3-6FD37C8D46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260EC2-14C8-4FAC-BFDC-41FDAD3015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1A5D59-C9F9-4E36-B61E-B30CA9B20C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CAA0F1-5158-4FCC-84E8-9A470852EE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9FE8A0-5701-4B9F-9B71-AE61F0E0F3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903C26-A532-4442-9B02-7A30ABBC56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A343B8-C158-4D3F-BBA2-971B5BFC5A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23D320-DDD4-4423-8088-908284E5DA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6C8600-DDCB-4905-A5A8-8831EF3820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185B1D-F1F4-43B4-AB6A-3D3D628665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0B0684-05CF-4FF3-BE38-02D5C05399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2D22B9-C928-456B-A6A4-2B4A5B7DDC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B3C3AC-60E1-4368-8432-A18347DBBF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23289B-E543-4F31-B5C1-11859D2000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ED3F81-247D-41E5-BAE6-BCFB4D0B99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68FE65-EFB6-41ED-A905-C04F6BF08D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5728E3-A446-40D5-97C6-982C8A143F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4C9814-24E3-49E1-80C3-0DCB6A0860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17F72E-6ED1-4790-9AEB-3A9DA68532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C8B980-4CCA-4287-BE21-46513EA75F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F81123-B138-428E-B1E7-6E40EB5AAD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C4C188-5254-4183-B324-4F8EBF7A35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B801AB-0166-4F10-95D6-FED459D725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DEEDF9-83B1-4040-AD9A-377574D755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BCFD6B-50F0-43F7-9041-911B34B682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A4F367-67CD-4BC0-B8BA-8B97CB8B37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A9B5ED-B6AB-4DC1-8397-76B5FBD1EA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EFDCB7-A266-4191-A494-608E0DB3FF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342FE2-042E-45E0-B7E8-CAD153C1A8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277883-D4B1-4739-B87C-9289F57279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DDE633-825B-4206-85A0-E7AC842233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3A1790-30E4-4679-A62D-C7632CAC11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38277C-264B-4356-BF99-46A71F51A0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B44871-C284-4337-B6F9-0BD1B10A26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1C5607-78AD-4721-86FD-28BC11155B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E596EC-D248-4808-BE46-6CABD518F7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24BC49-5E59-4730-B8B9-C8B7F9214B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DBCE46-3855-41FC-93DA-527FCDE0D0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76F386-801C-4203-9230-8EEAEDDAF4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E72490-A9BA-43F3-8057-666D403ED5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9CDFEF-3131-4E70-B074-2F06B3E540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F708B5-7029-4871-B505-04EABC53D0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564198-6CC6-4CBE-8EC4-7B49A76F95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480CFB-A282-4504-9C83-77202308F6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57B1D3-C499-45B5-BFBA-A01781E4CC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1E6154-DDEA-4ADA-9845-DB5BD3E29B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758C90-F6D6-4387-AB0F-0529A27937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1C574E-FE01-4FCE-9AB3-02BF7F577F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BACC71-9854-486B-B395-4A99541AE1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D53D90-6CAE-4D4A-AC81-47DAD8C744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35F421-16F0-48DA-BE77-079FEE3AB4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8E8651-0D63-48A6-95FD-2C9AAD2774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43D2D6-F2CD-414E-93EA-CB35CE5113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F7625D-2D93-4A73-AB34-BB56F189FD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B9A76E-8DA8-43BD-A18B-AC03547D44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EADF8E-E07D-48A6-A784-86CE53E914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4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EE4A9C-267E-4BF0-8FE2-3D321FB32A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A761F0-3519-454A-BE42-53E96E1F07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9A82D9-D474-4297-A99B-A0251F48B2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0BF2E3-C120-44FA-BA10-1A8F2418049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E704E7-A9F6-43E7-B221-452757F5D92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19317F-C415-45F9-8710-30E3B05765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067CA4-BCFC-4927-8380-7B3B98C65F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5DA55E-5AD7-4D2B-902B-316310E112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8A93DD-948D-46DA-B453-71A3DC1C0D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6D8274-2766-401D-AC64-27EEF9D73C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0306D8-469B-478C-9A34-BD55B5B756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E2FF9C-65D9-4612-95DC-E4FED7E772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C597D6-9E8D-4615-8171-F1C0DC8FA3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FD2807-8939-43E4-A2F9-59B0F1EFD4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B10B2F-08FE-4B9C-ACBC-FD3307B9B2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26851D-ADA7-48B2-BC40-D153CBA839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5F7FEE-1819-47AF-8D4E-3FD3BAFDEF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033F89-1458-4A26-A47A-C582B741EB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C02246-32F9-433A-AFF1-7A3ABE9E54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948CAA-D9BB-4DE8-9E07-47DED213BAA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42C8E0-2F8B-4D56-B861-2F2DB69BEE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A3F11D-AD72-442F-9C2C-DA721AE09A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69EECC-B8B4-4940-9C5D-055130938BF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7204B6-EF79-47F6-B191-3731C5E5F9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502385-3E10-4B20-A967-E610727609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79026A-214D-48B4-AF77-3BD548D918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35B074-38B5-4B9A-8204-11ACDABAC4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1E1C27-4022-470B-B378-92A67F9107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E0B1F3-FA57-48B8-9F4D-ECD312E573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A90FD9-8DCE-4831-9D0D-F8A8DA4C90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12A040-45D9-497D-BFFB-5E293C98EC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79246F-1D41-44F4-B07B-538C56BFDA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7DE8AE-A220-439B-8C3E-0FFFEF1D30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CB1B0A-E2C8-4317-B2CC-9B05570F50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929744-CF11-403D-8A4F-E349FA38C5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E3F8A6-6DE3-4DE7-B4AF-9AB5210D2BA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16868C-DCE3-4F6C-98A2-CE656D7799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20B7F2-713E-48D6-9CD4-923320F4CF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3E8195-DA26-4166-B47C-C8F7D72FA0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981F4E-6C42-4B90-91F5-60EC08745A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CCB8F8-6ECD-4652-8F2E-F002A1CE9D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F1C79A-F226-4D62-AA7B-32423423AD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9D1AE3-AF84-446A-A898-9E73BA7733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DFD750-EA30-4947-BCAB-E7EA45F81F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376B75-B4EE-4C99-BC83-74C0B96F85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DEC40B-575D-4D10-82B4-51D53B9C05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B9341E-A3BD-4824-9034-4748D67A3E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4A90D7-27E2-4A9A-B82C-6EC7DB17AEB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921B3-B2FF-4D8E-8644-C1F14E597C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815A65-E7A2-41A6-A2CD-9FAF5A83ED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C1E028-263C-4E9C-AB07-316794879D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0B6A22-F3C1-4636-84C8-047E6B3B17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332FAE-81AF-4AF2-BE52-4551D7E1C6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628E5A-C21D-472D-9B59-4341C93304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134F21-8489-443B-A746-5C4389E804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61E978-A92A-4EBA-923E-82E13B9CFF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F8A0C6-4FE2-4B01-B374-8C306E9354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082753-7495-4B08-A294-61B89F4B27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8E90FA-16AE-40F1-B582-4E1138E832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C93119-A550-4470-A9CC-70886100A3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8C5CDA-8F4B-456B-A5DC-DEEE81F5BB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8EBF34-6335-4ABA-925D-492A7604F4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601C17-EA09-491B-9594-FB4E5CFCD8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150132-5841-4EF1-9B43-084EE29337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9AC95F-00E0-431E-897B-0980FA1E6A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8866EE-FCCD-4B76-A2D4-F81F66CF3B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7A9D7D-81C1-4933-9EF9-D4B0A31349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50F6DD-0F73-4C4B-8798-995E713B15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CA0622-6AB2-421C-87A7-286A931ED9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09CC1C-D525-436A-9321-48EC5CB48B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39151C-2681-4784-9E99-FB2343C3F1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06D8AC-973E-49F0-8607-37A713100B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2D6F19-A6B1-480E-8D2D-C93D2C6661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59AD23-6DFC-4D8C-B41A-94ECB1ADC2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1EF687-C4B7-46E8-8D98-27B5BBD4EB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823F47-CA92-4DF6-9DB0-C832B3F264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D960E7-BBE1-4BF4-AA15-C4C5DCBD81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D1327B-BA92-4462-8ABF-BA9D38C796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1834B2-1C67-4FEC-8641-69758E486E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8832A1-D94B-4B3F-9E8F-07E073A5E3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7CD877-D488-4F18-AC3C-02FF0DC1C4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29BC5A-3847-4750-9BAF-F0B78A329D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330E8A-6AF0-4C14-871D-F8DCBB87DD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E25A99-6CA5-40F5-8836-272036868C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C21C7F-45C5-41B9-8304-B296637391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6E5B15-4537-41E3-B7A9-C319E41933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45F63E-3C5B-45A0-90E6-5D123D040F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9B79E3-CFE4-4551-8DC8-8D37C802E8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2A7268-6FF4-45D7-8A99-1F98386D84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39DBD0-849E-43C2-8703-187AB5342A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2ED521-7D9C-4DA1-9605-B4C1CC810D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1CD9B5-7B22-4BF9-8117-FFD801516E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138D1D-474F-422D-8E0A-1008F9BA56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984E91-E27C-4A63-B8E5-3430AFE5EB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437A5B-A6E9-4286-9136-2919D9BC03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5ED89C-AD77-4A46-8D58-92AF0CA59D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1DB403-02CD-4408-AA8A-067AA0C581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703D2F-5D3E-4AE6-B5B0-89C0AD27A9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571D51-540C-4B48-AB0F-CCC82BD14C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DC3CD1-B8C1-4CB4-8E44-A1A59B9F1E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5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E94E3C-C5F8-4EB0-9A94-E450F86E74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76E546-4935-4E2C-8720-52ABD80871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CFAB6C-8FBF-4956-AFD9-711C8A32E6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35BB4B-95FC-4D36-B2DF-6784CFD559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14021E-7F01-41A8-8772-42DAC18989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33FD45-AF5F-4A95-8F66-8AD6E4A439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11489E-40A2-4D47-979D-1AD567F582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7082AD-CFFF-4387-9066-860CC1DC54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5C25C8-D64A-498D-8252-DC4A207881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20DA89-8A3F-4C14-A5B2-F2322601B7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A59925-F84C-4272-90DC-634562CF03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741EC9-C613-4C1C-A101-9E136D6EED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8EED8F-1F42-44E2-B079-0D72CD6FEC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040A89-FBE9-4AAF-9904-D2F792A5A1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1CF62F-0458-405F-8D0F-340BD327B2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4FE4D2-6C5A-4993-BB7F-18690103C0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12B534-4B13-4508-A05C-4FD887F15F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1DD810-4643-40E5-9A10-194F73C0D1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5A6CDE-4B1C-4A43-9C86-FE918CB117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70DE76-5C24-472A-BBB9-9B3B37F864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38A368-A5C7-4681-AE3E-D0541D9189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639C4D-B138-4E12-ABBA-D151FFEA46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7BD3EB-5CCD-4C04-8386-F0B68C5796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7F6574-E2ED-42C5-AE26-81FF96BE9D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0EAE3E-1B15-47A7-8172-281AA84AD3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F65F27-CECB-48B4-8B92-B7B737204C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DEDE9D-7831-4996-BA98-354F59528F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98A873-7D86-4F40-813E-84ED8B5656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45C94B-ED0D-4AFF-A3F7-D4D6E29249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BDF5B6-A0BA-4266-B8FA-53895685B8A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E2BC47-9989-4676-9F5B-89559D722C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1928CF-FA25-489F-8BF8-C4A0544B21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9CBCBA-E356-42F6-B2D4-43F8807506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A6769D-6085-40B8-9725-CD392234BD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C8A379-FAE7-4662-964F-0A4820530F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01F4D4-4CEA-45AE-9446-276ED6C1DC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2802E1-529E-426A-905B-1E81C428DB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C84829-EEC1-433F-BF68-B41656ECC9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436B4-7730-4306-9CAA-FE7ECD5430F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EE1D54-9D32-465C-9274-4200C9BEA8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BE6A08-6595-4D2A-8965-4E8FD0E48B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88119F-C8D1-40DC-9303-42DC131151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255552-44EF-4241-93C0-F6DF8BBE4D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29E4D6-499E-432A-8D5C-FB3A38769A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C5DEB3-FA62-483E-8C80-070432A037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DE0F83-2303-4DCB-9DDE-0723BBDE5C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71E82F-B698-416A-BCF6-A74F85527D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9399F5-1A9B-41D3-A639-7E90E3690C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DB8F76-B587-4F7C-B164-6B55F275FB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5F0ABE-4457-4646-8364-3CDF7E2232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2A58BE-140D-4BC5-BCEE-220A93B76C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C56780-B756-4870-99E1-EFAB7E10D0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4513F7-AD23-4E18-BEFA-C3CB5772D8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4731A8-0A1C-4599-9A98-7D09797F15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C04B58-CAEA-4811-BBEF-73E46EDCBA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17B4FC-F3AB-4841-BD26-61E1EB326C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147FEA-FEEB-401F-86F4-9EA50491E9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C9459E-1C4E-41FB-B2AA-BFE7A29211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C3E19D-76F4-4548-8B8F-4DC1F573C2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2984F9-25DE-43C2-906C-75FD2EB0B8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31E668-4F8A-45E4-B5FD-C6728B50B4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DAE2B7-20AD-4323-A626-77844D05EE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8C435A-E0EA-4740-9EBA-C2BA0439630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610771-002B-4A4F-86F9-FE6BD64E4C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84BFB8-7F26-4555-9144-AFDEC4A36F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56ACD0-21FE-4C69-AD03-AC79446896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C88976-59C6-432B-983C-719F667C9B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2E17FA-8372-41C6-85EE-A10941013F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9CA5F6-81CD-486E-85D4-A1F084C936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31413F-AC22-4466-8088-B1992BCC63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BDDD36-FB93-4131-B7EA-1DA1C162A3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31824E-E70A-41B0-B51E-4B286159E5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FF800A-EE42-4A4B-96CD-EA955F731F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0E91EE-A8B8-4E2A-A9ED-ECA3584BCD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60399D-C517-47A1-81A8-F237F66B51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42B51B-BEBA-40ED-9D6A-924EA43CAD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6D020D-C470-404A-B095-82753F4E99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198591-FE20-4078-8C9A-97E29179CD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B3ADCC-33A5-49A3-A885-25C893DE47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D0E84C-C661-4E98-9DC9-C8AB73F4F8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11B47E-722F-49C0-840D-AEA6A203C0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2360F5-7CCF-4C15-A741-1EC2A8C44D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769492-F32F-463E-BB6B-5D17F0A5D2D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BCB23B-7ECA-4C28-808A-EBED236639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7AADC9-34BC-4BDF-9BFB-2914F8615C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32E064-4F24-49C7-A10B-FB7AAC83A1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F06D02-4F53-40A9-9D57-3D8C69CA84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C5AA4C-2BA5-4E84-9D1B-C6B92D5A6E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05C7B4-5CB4-4B7D-A27D-D9BD6816CA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DA3ED1-FD04-4B9F-AB8C-7E482ACFE5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374628-0882-4636-92B0-B47466E33B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70759C-22FF-42DA-B349-3B7DD351F6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25D2B8-9BB3-4071-8EB5-24E5418A82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5986EE-1FD6-4C03-899B-E1620EF5A2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6D3D6E-2BE3-4E48-849B-A622686043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BA4653-9373-4D60-B0A1-8D81F75AA1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D4D76A-9F60-452F-8D6B-E3EBE67BFE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8243A8-50C2-4D3F-9713-EFD48FDDDF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A3A5E3-ADC6-4137-8818-4CAFAB67AE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EFEC42-1A97-4071-BA5D-48E5CDB977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6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E57BBA-C2E3-420B-A369-88CE926AE17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D7CA10-EF55-4865-AE15-7F14879256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87B8A2-6C2F-4E59-9C18-87EA17B143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169653-FD56-43B0-BB85-99FF78F0E1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716887-133D-4752-B6B5-62E81316C7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7D2DCA-8D36-427C-B083-94C1D2CA36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4A5159-7145-4CB2-B5DF-804589C665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22ED1E-C717-4F1E-BFE5-1E917B5FF9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5F0F04-1F49-4595-BFC3-F5BBCAA8B91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4E2644-4538-40DE-A125-A5DC74218F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5DF99B-2A23-450B-9E41-8FDDBA16A2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E8663E-3AFF-4F29-8B7B-2EEC122FF7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F6FE3F-C0CF-4B86-9299-AFF5EE06C6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CB53B8-5100-4A9F-A9C3-D806BEBF5D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25C742-1A09-42A6-9C70-E5FE60DD10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93087A-7D63-4AEE-BF63-7A7BD5481F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645BD3-E068-4421-B902-808DA5AEF4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5147D8-1D70-4AF5-B613-15554AC5C6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502C30-E63B-46FF-903A-F7F901B312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BC9481-FDC7-4A73-8315-F134E06202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2B64EF-A287-4380-89FC-8312F1E598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3E89E8-DD60-4F2A-A12B-2E4EF6B916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BFF9BB-F4BF-4E29-978C-864CBD5D5D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009A61-95C9-4726-AD71-AE541A7E9C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B6604C-E49A-4E63-88C1-FE927F95F6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355377-10F1-4EC8-BAA4-21033B7986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361ECF-6829-43BB-B56C-A15807658E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379490-9FD7-418F-B767-20C9A09207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CCE193-872F-482F-9664-3AF2D00BA6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6D8F1A-DA5A-4CE7-8C25-5D5AD4FE94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FC346F-EA10-424D-BD14-8BE6BEEB3B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58BF2B-9DED-48B1-8803-D92CAA17F1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57E857-3160-49E8-9E79-5107AE28ED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17FE0D-526F-4B0D-A3C7-7711596C10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058BC7-64F6-4E38-9EB5-B15105507A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F66016-896F-47EC-A00E-4852495886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E10649-F720-4BF8-A18E-77BBCCF730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9D923F-186D-41F5-B04B-7E9ED5A556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48790D-2936-4F1D-A65B-6EF2D5ABA4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C7196C-E252-45F4-9B8B-3C7870DDE6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AAE491-BCF8-4D69-9D1C-67EAFCCB2D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C8D43E-48AD-4540-A6FA-CBA2859C73D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1F3FFD-6653-430B-A761-BEF9531EBB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B35D78-A015-43B0-82F7-930448D6D4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A5E820-7BA3-478F-B629-9432085714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8B9C2E-FB4A-42A7-A401-460B96EC78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219A86-04DD-4FAD-B352-35550A0E61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2B0F90-459B-4260-9E7D-93D9028E4D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50412E-E437-4F14-8D54-E9C0E1BA2A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8AE615-FCED-47C8-B525-BB8CC4C4DA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52CA6A-C79F-4142-B132-B22722436B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6688EB-3E09-4137-88F2-3A075784DB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EEBB59-2109-4899-A70A-4D6FD3E17D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2A0A9A-70E8-40DF-B25E-78F59C03E3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6AAB23-5FB6-4493-9B43-30B9ADA3D5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1C843E-5897-445C-A436-AAE429C405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25BCAB-8839-492B-98D1-35559BCD09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6270E1-ED93-4795-82BC-A4FE124763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6E2040-6F0E-48AF-8271-467FB4681F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64316C-6A59-4FAE-82B1-62347DCBE6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674CA0-9B87-4A4B-95BF-A755BF044B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7DF3F8-EC6B-440A-8899-EF32C27F07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002A41-9599-4604-8DE1-527AD3B0A9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C94C9A-7134-433E-977F-69D12E8556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2C752E-407C-46A7-BF85-6427FAD87D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66F6DE-3198-416D-9524-4C8141AFDF6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F20037-7BE3-4699-A3BB-BF2A3F540E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C8D8C9-9D04-41B0-972F-E05E983BB6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097B86-6170-4E9E-84FF-B7AE04161B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188229-1409-4211-AA7F-862EBF6C22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6F5090-3C5A-44FA-9814-561EAA9CFB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19979A-4AA3-45A4-90CE-51CAEB642E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E449C2-DD1E-439D-80D6-7AF8071425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22D738-4E4E-4E6F-AEF0-3B4188D028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F657B5-375E-484E-B954-F70DC1F9721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9B1F8D-2ECA-4C50-8694-F3724D49A5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1CFA78-5573-4BE4-B402-1CAD6C4194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1BAA2D-78F2-4033-942A-4BE9210439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B807A4-99C8-42B1-82AF-C7A71CEAD4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64A47F-01D4-4DC1-89F8-09DE8B5668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297265-C6BE-41F9-A614-91249D0B4D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540543-FF3E-40D7-ADD8-6D919A8B59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541C79-AA85-4422-885D-85E41A7873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45846A-5E1B-4A52-A594-011284EC495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E70E02-3B65-4C3D-B4FE-D4C95E2A38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E045B3-3B93-4DAB-AAC4-462CE141FC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77AC16-D2B1-428D-9F90-6E802EA6E6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578E17-0EED-4C2D-A535-F065868B072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C2DFED-AEA5-455C-90F3-3E331C3115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41ECF2-A07C-47AA-B5D7-6161B9A0B1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6CE2A0-41BB-4648-94E2-7AA585D5DA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DFCF97-D3D9-4739-89A9-885517F043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EA439E-3995-4DF7-9294-CD3CD95D6B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16050C-D598-4C07-BEAF-1517617833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3B611A-E34C-4F24-A98E-E1E5890186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46546D-D3FE-4A9C-B0B7-093E11AD33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72CBA6-315B-4611-8C9D-4702D595DB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D8E543-25AC-4E6B-8CA4-99FE1516A9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43194D-F9A9-4721-A256-2E8D80AF66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BA8190-E8D4-4D31-89AC-49B041A397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7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F1A5BE-D047-42FA-957D-A23C9BE0E1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09A9E0-6055-4048-B2ED-29F750FA65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557635-54F6-4FB9-A910-E255447B3F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C5D6EA-3B97-4269-AE65-6B8EB7D7B1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1074AB-2C70-4ADB-A847-62B82969607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6457E7-9E2F-4D3D-BB49-B39797890C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EE8BC9-75AD-4A5E-AF9E-B31DA69C9F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491E4D-5E51-4C4A-8037-7B711AEBC2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ECE48A-22AF-4F64-BA20-14FC582491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A72617-1CAD-4FFD-8194-B9AC1CF954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779D41-BD06-415E-8744-ECEA4D4430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09A2DC-D703-4CF2-8CEB-F149C7ABB80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6B78AF-D29F-4D4A-B4CC-F25578E1E7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6FE0A8-D46F-43FD-96D2-4EDB4E30CE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A7751A-25E3-4F30-A2A7-FEE1DEBD94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EB07A3-8AF0-4DCE-B545-81E4C152E0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C450E4-B7DA-43F2-B553-CB45B6E97E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627EFE-6FA5-439F-B4CD-80E6490CBD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4F0CAC-98FD-4D99-8882-D19CC02D58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827A22-C316-4C24-9F43-7012F36411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923983-8423-499D-A91E-8C6337BAAD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1ACB67-691E-40D1-A256-EFCBDA2F6C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38CC56-03A5-469E-8E66-255D12BBB7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E98507-B364-4630-AC8C-0B1539AD829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E6F6AD-286C-4813-9E0F-84E213F9DF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6456F5-AACE-45CD-804F-9033AB67459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1EE89A-A72D-40AA-8833-6C993D18344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DC7C9F-C9D2-4579-B4AE-4912D588D2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C21CD0-B3E9-4CCC-BCEC-0FA97B8ABB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5CBD78-E513-49E8-8219-4C475DD11E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546081-A2BF-4320-9641-F040DDEFBA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6DC8D5-1521-4F8E-B008-5E5332DA20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FF90F4-12A7-45A0-9EA5-4BEDC50422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5EA926-2DBF-40B6-8BB9-B3F08FD2D27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C5CC29-3368-4ED2-816D-71A430696F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6865C0-C94D-47C4-8A71-4B2B800719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3D17F6-B6F5-45FE-AE7B-034EB27E52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5B4E21-25B2-4AF7-9186-2E4F18EC00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3CFD85-479C-478F-B96E-255D4746EF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F41A26-DCEA-4CEB-BA8B-D3434C37A4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FAB8D3-230C-42D6-9770-AB749E1FAF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C50F96-B449-4D46-A51D-6E77B4D156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B4931F-0432-4EAB-B486-4835367EA2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DE8011-116E-4876-9791-56FCB444FB6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96EB5B-EC35-4F95-A253-211E0A7D86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7E6497-B16E-44C2-9655-D00352BA38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5421D9-C267-4AD5-BB05-E706FD6497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697D54-B4A0-45B4-86C4-718977AB67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2F5ED4-72D6-4CDD-92A0-959B2691C8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FEDBD8-426C-4373-9B9A-9CAB81E2265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798334-08B5-40A4-B681-7D5A9692A0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07BE96-52E6-4618-A93E-9BD2FEEE183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4C596F-F881-4EA6-A5B9-78F4E2DE1E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AC6E3C-5EF7-481D-986C-F5B49F017B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9AC107-AA30-46E8-97EB-D19EA3C05A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A867D7-8640-4F76-9280-AD41E823DF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593DC4-EA86-42F1-84F9-2D604993B4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A8A166-7245-4135-BE60-9C082178EA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5A4BE0-2ACF-4F4B-9EFF-C54658A014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821F73-F2DD-465B-9EF0-327903B39B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40D6DC-3DFD-4E86-8A1C-FC9A1598DB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4BB446-13CF-4672-AD74-5A3E1D269D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B0019E-D3BA-415B-B2F7-80581A0E4D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F46739-6355-4002-B543-6255CE9CE7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3F940A-16C5-4E22-B906-926AE77913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4D835B-EF43-4E67-8735-464B6D31342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E984DD-645E-4044-AEA0-C5556C76CF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7571DE-DC5A-4E4D-8C64-1DEF07BFC6C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3DF428-F8D5-467E-AFD6-6CD8EF01FA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10F838-02C1-42D6-B176-0B1E5899FF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815B49-4A43-415A-8A8D-A6E7DF600CE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4A0E72-85B1-438E-ACED-3B4A4663960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7F475B-A504-4C8C-B7A2-2C3F7A2BFCE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7186BF-CCEE-4D55-B362-D0CBCC91D0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7639E5-4D16-44F6-B5BA-6ECEFCC0F0C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CFE09C-017F-49E4-8294-3B9C7AAB51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EC08A9-6967-42D6-904B-6C601C031A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04560D-AA5E-4FC8-931C-D1C6A4260B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F7A7BC-68D2-4F1C-BA02-D4C4FFDE7D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7B4F4D-FA6F-40DA-AE8A-D5360ED1A1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1FFFD1-43FD-42E9-8A32-9C49C01D36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B66F5B-8BF8-417E-8D5F-06C50C85FC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1E1258-5060-40F7-B1CC-7459955B5B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838AAC-7547-44F6-ADD6-65281938A91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1AA22E-680B-405B-864F-14EA1877C4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078247-2919-4788-B777-A9799F1CED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3A5034-CC3B-4124-9D8E-9A5F4DF4CD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64BD5B-5B69-403C-9761-AA219C9303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6B6D5C-1E6F-4B9C-97FD-2D57D335F8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61C60E-365C-415C-83A8-266205AFA7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2FBA30-C458-46DE-ADBB-4EDF17C601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8B566C-9C24-46C7-B62F-147C1013E2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E82697-7D9B-4E99-A4F1-E5A2D73C518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20D9C7-536D-46B8-A12B-CC339B28DD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843A8E-B84E-47F8-80F1-1D55C72AEC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CE1CA0-EEF6-437A-A2CF-A3535DB299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84833C-45BE-4266-9624-11BD6D41F0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A39FAF-C6EA-4A16-8339-62EF89DD46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7E5CFA-EE0B-4A7E-8231-F71E600AB4E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7375D1-7F51-4142-BE95-37EF3DDDF9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8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A6E3AD-FC11-4CF6-8D65-7FB0182EB23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08F743-4DBD-4452-979C-F48AD4B0A9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37335E-5749-4217-8627-8CE76CE0F73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E28603-F413-41DF-8565-78A7C849DB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186CAA-4369-4B7D-8B0D-9920FE1942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0FD0D2-818D-48CF-966E-CC4AA123E3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48F7CD-0E3E-460F-A647-088503BA45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4EE205-DDC3-4682-9F5D-7D29D521A1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24D588-A74C-4F3D-A5BC-2E139B01007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8CB4B0-07D2-4D33-9DB9-0392784050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ED5C17-69FF-49F8-AF96-89F58330EC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70C894-24D6-459E-A5F9-A0D4FAD046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0B886A-FF08-4711-9030-3107FF5398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60B920-8D9F-4D53-990C-321D2FBD30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A54AFA-C9BA-4884-80A4-3C5D110EBD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7AF038-8141-4C86-85F5-DC18A724140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ADBB36-CBEC-4F49-8C8E-D3E3F20C7E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80D263-BB75-4671-B4F6-8D9D520A034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D5317E-8189-4E3F-B6AF-D7556DA4D4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5232DB-6D74-4005-A603-D2A29F3F1A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75EDB6-1A59-404C-90C5-9C4D8EEE05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BAC1C9-3613-4CB7-B2B9-4EA638FA97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D1C919-098C-4545-90F3-55ED363DFB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EC64EE-F73D-4565-9B28-7092CFFD43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FF016D-4562-453D-AD2E-9738FEC64B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E842EF-21DE-47A1-BD26-E99D9A8957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102DA2-2FA2-40A7-AA55-8410600823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E57DBF-88C4-4690-9A12-F87AD671AC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38A591-4184-444B-A549-A8189134EAF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CEE9B2-CB75-4293-8494-668427B74AF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4D2739-EF71-4C3B-8452-4F12354AB1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32DA7C-8F83-4343-BDAD-4685999CB9C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807495-C62A-4F4F-A56E-69E25BD921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B8A34B-05D4-4400-B6C5-3B1D3E3DED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D126F0-B7C6-486A-9B66-2C1224C232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8A3DD-70A0-4A94-A355-6FC2772267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2C9061-DDC8-4FC1-BB54-F8DCB13ADA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8DFAD7-5D46-47E2-A0E5-3695BF2F77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992D2E-B52E-464A-BFFB-4D6CA697E9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7C8B55-A1F4-4865-B7A1-10D91149C0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C839AF-9B39-470D-98CA-84217EA834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9A387F-AE02-4910-B885-F27230A217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98D4C9-6D4B-42EE-AA1E-75C4BB3022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6B982D-5988-48AC-83D8-7A69CC2E18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03C5E6-0F6C-4B93-820E-3385564DB66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A8DF29-CB0C-4730-9850-F14EB5CFFF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683714-244C-4891-A52D-D2116BB16A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F3A30C-83BB-4AB5-885C-31FCBCE0ED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E3A7F4-28B5-4FD0-A89D-1413149D1F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2B963B-3333-4EDD-A70D-EF8E7C4BAC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05CE4A-3AB8-4338-8567-3D078671200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518DF8-F48B-446D-9267-EC7E542B64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9DF661-07B7-426F-8411-5B6E617ADA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F6312C-7C12-4405-A1C3-F676DADE41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1C202F-98F8-42BC-AA82-6E6C666294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DB096F-66CB-44C5-8822-537153A4D34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BBF8E5-F455-4FE5-9B60-9F7BD10AC2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157A30-4F24-42E5-9F6F-46FCBBEEE3F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36452C-AB6D-49FF-9AD4-31CAEEBCF6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05FFB2-D292-4FE8-A05F-F889E65EB7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D9055F-2F4A-4C9C-87A5-E1BFE7D9F1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CE6E6C-8CB7-4D96-8E1A-8F9616FA87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88498B-0DBA-4B6D-A956-286730AB80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1B662C-964D-445C-8F56-2B2C47EA70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93CDC0-B9C5-455B-A78A-821D8900CE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AA399D-4441-467A-8991-23A94EC932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F76366-1298-4A47-9021-6A505C6CF3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7A4FC8-0F99-4516-8428-CED7C7CDC8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58EB9F-E196-48C9-9A65-8D9CFDB242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C8327D-3278-45C2-A0DE-BF2698290A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BD8469-BAD5-4628-ABD0-A8B68E2D9F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878FAB-9A8B-4645-A778-69B19DD552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D563A5-D097-44B7-B27A-CB8EBA21AF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22EC2F-8457-4B8E-A6D1-0345EEBC68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695F13-1DDB-4E1D-A56E-B178881413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2FFC7C-9505-411A-9A49-47108AC625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B85338-F8ED-4912-9C9B-66E07379226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185833-9F3B-4A6E-99D2-50A684B0E2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438415-C096-46DB-BFB5-1E2BD8E377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3E1426-EC0B-412C-8D56-1732D07E17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B16D0D-5E41-4E7A-8423-F9651BB793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EE2DFC-C4D0-4161-BF2A-E7204DCD2F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99251F-31B8-4EE8-AC41-F23512DE01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C68AAF-669C-409A-AC2F-D343D599B1E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4A2F37-A704-4F32-861F-F8E7CBD914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C1AB06-23D2-4B2F-A2BC-B7F763AFD8D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57C4E2-46DC-40A3-909D-A344E53505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0B5AC0-73E0-46F2-82AE-7A5A9352AB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93022C-9022-40AC-954E-DFD09CCA8BD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509840-B14F-4C4F-86F0-F0E16D0F1D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6BDD32-E1BF-42EE-9E9D-5958DF8E64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851B75-E2AD-434F-8AC4-049F0C0F6A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0DABB5-456F-47CC-A4A7-0B5E3E997E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67BFAB-F011-484D-B87D-6E27FD38F0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3E4B0E-FB53-42D4-8C39-9D243B508F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FA08A4-F964-42F6-AF0A-98E94D46E35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E6C0DF-7023-4633-8C10-96904672C5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BA14F1-2827-4864-9513-4EF7302F0F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5AD374-3EAD-422E-BB06-EBBDE191DE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728F62-1E90-4B02-BBAD-F7CAA78AAB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29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0CA42D-3EF7-4575-ABA5-ABA050F8835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64F168-1529-4FA1-8BAE-DB60A558E9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9D68C9-A6F1-4F55-8DD8-0BDF45F510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C4C8D7-12B0-494B-88D2-6741AF3AB89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7F4EC9-6B12-4995-A5A7-E776CA7318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324C1C-E118-49FA-8817-73BE7069E6D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01B654-7906-4C8E-87DE-B6989A57258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E42E68-44CD-403B-ADF3-9ACEB29128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F8D1C7-5436-4D38-8E2F-6EC4BC84CB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F9F894-19CE-48D1-AD23-7711E25578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43775E-193A-4D53-8C77-6DF192C6AD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A03D03-502B-4224-9ECB-55791FD764D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CCE5ED-C1F1-4AF0-AAE8-DC130F58E1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6F7B05-83CC-48C0-9786-E09EA8627D3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E5E7DE-C7F6-4007-9ABC-8A2C7A175AB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209ECF-46FE-4912-ADE9-CFB23684619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872518-4F95-4563-A758-590C41EE14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207370-F479-4061-836C-576F4479D2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55EF1C-E4D0-4B49-B32D-E7DAC58AB3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C2505D-5D67-4E3E-8409-AF60CFE2A7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D437A5-C4C9-4AE6-A40A-B3A2D62BE6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08D952-5130-4054-9443-9FB699855F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467DBE-4269-4DAE-8203-1A8167D2CE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350FB2-B045-43D0-BA62-8195FC461B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535378-1374-40E0-9E2F-BCB487189B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FA4046-6A6F-423C-88AA-377060690F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91C75A-9872-4D56-B303-283F73726C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2910B7-611C-43DB-8089-D263C6BBEA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0DB646-402E-4722-9ABA-50534DA0A7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3B789-CA8E-466C-8C8C-574BAA20534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EDEC01-DE30-41CF-B98A-A9A19DA59B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4AC2EF-ABD8-496F-B655-B5CCEC5B42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990326-4A5B-401C-B81B-6F9545C1738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0B762-8286-4FE0-8C28-2DD018FD7D6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57B7DD-640B-48F9-AB5C-D213B760B1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ED0F7F-27D3-464A-94D0-0467FD03106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60F5CC-844B-4798-BAD4-FE94FE0C3C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FB75D-4B35-454D-B196-4F1A3C5EBA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63F4E7-736B-4B94-91BF-8DB05165173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B1E6E9-A9E1-432A-87A1-5933B3E602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6D79CB-DE59-400F-984E-2074EF8520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9303ED-1A03-4857-A63A-D3F04B1AA7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090918-F462-4F49-82CE-9035DD8E2B8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7A94BA-46C2-4B13-8B93-76D2DE3018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F2C8E7-3B39-4E5A-B9E3-496E1A92E3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8A4EA7-21CB-41F3-BE08-014E801A62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8CD58E-C538-4E5D-901C-70DC091179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20E8C3-AB16-466B-ABCB-C85CE76D98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4DCC35-D326-4E3F-8ED2-2F908E0AA6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A26B7A-F198-47A7-9EEE-DD6026205ED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414AB0-3DA8-4136-A542-4707406E47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E6318C-6ABA-42AA-B76D-62B0958D10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ECB78A-7D41-447B-83DA-56FCD1221F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E45FF6-0208-45EB-8BF4-5AD9045B5C4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114CE3-6EC1-485F-902D-1B3E01C1DC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E37A94-6ED6-4469-B6B5-39D111A6FCD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3DE603-0ECF-42F9-8C52-FFCAEF7B7B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ACD640-D76E-4F87-9D74-5545C5044B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2AF11F-862C-44A9-B66B-26F82CD0631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655F9B-3D8A-45CE-9B9B-07B6018169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A3D481-DA24-43F2-BF3E-BC7F962483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46BDD9-834D-4891-AFA5-7E59347DB9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D9EB82-889C-4AE1-A561-6083DBEE71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D941BF-FA43-4394-BA9D-D95E1DD1FB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35B645-8592-4045-95A8-3F22B3B491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E7EC09-AE92-4C58-8A48-CE2B7A2CC3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EC96DA-B390-4B1E-96CF-699D52FFC56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500E7A-42E4-48D1-B11D-FF55FD957B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FE06B7-3994-44CE-B3A5-7B0A8CC522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7FC38E-61FA-48EC-94C3-7041191442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A93754-2925-477B-A7E5-1B6DD3EBF3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98A722-1AF5-4C13-AE36-16F912D4FAB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79832C-6BD9-4319-87C3-982B789A14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9401C5-C046-468E-B041-9129631416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348726-5962-4B26-8041-C6575ACF15B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170517-439F-490A-A900-D8C58001D3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18BC03-5BEC-4A1E-849C-BFCB760845D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08C10C-077A-4F0E-B796-535F08A594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7A4E6E-F685-41E6-9D06-0808258B4B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EE9075-AD88-42FB-BC5E-45CEF3F65BA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77DE61-7187-4DCF-93E8-32AB8FDEB44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EAC685-18D8-4130-9479-32E8DD84F2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2D8DF7-CF87-463F-A347-9CA6F47642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57660B-D604-4AA9-BAED-288B7EFE086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0B5E2D-83AB-4674-9F98-37D20E7514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D790DA-F1BF-4A5C-965B-DC53BF2241D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AB54D8-3124-4B58-A713-B464F239D73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978A6B-F1D4-48EC-94A3-21783674DE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C747D6-C801-45FC-87E2-0B8B315AB4D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5559A9-011D-483A-B9E0-62288DBEC4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D2B458-7F26-41C2-A094-F1B8B77901A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ED2CDA-8DC1-42BD-B086-62FAC4D5F0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B1091C-30B5-4E2E-9D5E-2ED82B9011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B3576F-36EC-4ABF-BDE7-82F992D15A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B80AEC-4BEA-4EAF-A7A9-191B1E45F6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44EACA-064C-4B93-BC4E-9D8D3ED204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35A777-3600-4534-9BFC-EB67F5E9B0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28E7A5-9EDC-4717-A67D-A8108353394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92C54E-A0F1-4E9F-BEAB-F9CC2DDB41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87FFAD-DAA9-483B-80B5-515FC2A715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0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7A969A-C4E4-428E-A1DE-20D1F872F2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D18FA6-3470-40C6-B0DF-BAB16F9F01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5D4847-FB84-417E-A15B-7ADCEE70F5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6938C7-C48A-41D2-9858-8D937251DB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EF834D-BC2E-49E4-9092-BB7E7DA927D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32DF99-26FF-443C-947C-EEF2CFDA27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E741CB-7D82-46A8-B5A8-98848EFB6E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0CEBDC-92E0-43CC-97A8-9D807CC1B04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E90F9A-1835-4BD2-8985-BF96F14A25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E0E280-B06E-4119-A61C-2062D31C2DA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D6CCE5-F038-42C0-AB04-055ACD29D59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F8A72C-C437-4BEF-90A6-422F52700EC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95F5F5-CA3E-4B20-B967-E36263550F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D3C690-B6FF-44C6-9F56-24A66C428B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55DB6B-BB62-4ED2-8014-278A4A931C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09A475-9DEA-4630-84CF-D0DB09F639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1D4A81-330D-4E33-A996-6E2CD6ADAA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6A11A0-2950-4BBD-92B9-EBA66139547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6511BF-D363-4E54-B2A8-DA2CDCF47FB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F00298-5E61-4BC7-AEF3-BB0A4F031C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DD68EA-206D-4D8B-8B40-1447C2FE33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F0BEBC-B63C-4F37-AAC9-BF80164CE8A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62DAD7-448A-45CF-94F5-07DEDAB3DF9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2A875E-C977-47BE-B8B0-8F8CDE6A3D0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6ADD99-238F-4856-BAAD-96C034C1A3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C678AA-59BA-459C-8312-E8E3FE01EC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7B813A-05E2-43AF-A4AE-6216E5D142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138878-93EB-4F3C-A604-074D665F2F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CC662D-F6ED-4864-91C9-492F0A7617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41691A-4A3F-4E09-9574-44F92FA9EDB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67F29D-D088-4971-AD9F-A1B89E74B9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49CBA9-C41F-44DD-A412-EE47D87FBBA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243A46-E3D1-4D97-94FC-83F9AAFF43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21C358-115B-4785-A7BB-63F8D3A26F9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A79A42-B24A-4F8F-8A0F-C4CB63BF24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4BE8AF-E998-420D-80B9-6C63177C3E9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F947D9-02E1-4585-9928-753E2C80F7E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F6F279-6444-498E-88A3-53C4BB2E089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C13D9D-5030-4ADC-B7CB-0BD704F98B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C98E0F-41D9-45A9-942A-B37EE406C8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BAAB31-3F05-473C-A656-60D7720DAE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103927-2613-4E1B-84CD-1FE0988F59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F51D91-BA85-4146-9B1F-300A095BF7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85A04D-64E7-4D5A-B95E-B216186055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192885-B33E-4833-B16E-7D0A55E0FD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FB0504-0756-4DFB-9D2B-3D5190BC9A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779DED-30A0-4200-8231-87E32D956CB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3F6659-C2E0-429C-8A93-DF8F7DAC0D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AE25D5-91A2-4244-BF29-808B7680380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A301C4-A0B2-4A3F-B4F7-9957DF3910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A88ADD-E4AE-43A9-95E6-1ECF7C2E677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3A5352-481E-499E-8AE4-809503513A1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CDE1BE-E3A0-4A93-BA22-CD49DAF343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233640-E25A-422C-A4BD-C455BFCE69D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409296-EF5C-47AA-B20A-60353C2332C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E6172B-DC93-4A01-94D4-EA43EB2EE5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B65212-CADB-4D79-8487-2DB2E01EF3A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6F9D50-0B65-46E1-9047-1FE51C93A5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DA8F5F-FAA0-481B-A0E0-9474D98950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F19ABD-766D-4F3B-9A28-0E3734C501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56542D-A4C1-4A55-AB9E-0EEB639496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6A48F3-04FA-434F-B8E8-6526AA4C9C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6545EF-33E8-43A8-BD2A-5132917F51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B14081-2E6C-441E-A6B5-F250C9D41F2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A1A883-C80B-4E68-AB7A-D205E23B26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DA19EE-53AA-49D6-98F4-AB4AEF42A0E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BF93CA-314E-4EAC-AE83-303A1601DAF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F05F42-936A-46A4-8EE3-811A58BF77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D159DA-4EA7-4D37-8388-E36A2BBCE4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19E3E0-B946-4476-9B89-7362D24C521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98A44D-0B99-468D-94DB-82A3B81BE8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88223E-A642-4AB2-88B1-DE0DB50138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13E024-6729-45DC-ABCE-DEC0F0D0CC0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519CA6-F39D-4CFA-B95E-43E7E443EB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1581C8-ADBA-47D4-92A1-7829B30E5DC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D03483-E299-4A5E-8C8D-FC96923F6E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6EAA19-0689-476E-9DB3-9A57A551470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3952FB-EDB3-487D-90F4-DB4F45C992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3E7775-213C-4D08-AEE9-20230083D41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D37816-A359-4DD3-936A-3C912F6E9C6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DA194B-A736-4730-BE38-9B965571F2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8888B2-5FE3-4A2C-81AD-B18F753673C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174053-3248-44E3-9888-2D944FAD979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E2BA93-EC59-4FFE-91A8-771462A8CE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41EFD6-79FB-488F-AAB3-C5597158627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B462C8-A271-47DC-9CCA-6E807259337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99764A-F549-44AF-86CC-B711B946A8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B64AB6-E539-4433-813D-CF32818FBC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3FD4BF-34BC-45E4-985B-293E9F57E56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36C04E-9E8F-4DD9-A7CE-2CFD8C39A02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2D9C33-7E50-4048-AD3F-0B36A9C45C2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B7AB15-D9D6-45A2-AA71-F2394C6D4FA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1AA22E-A0EA-4867-9E38-80E3599EBC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FE4E1F-A40A-4B81-8979-960A00EA000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930B38-C449-405E-97A2-285A84B9AD6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99584D-BEB2-4E76-B116-C0C8954C63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DDA6EB-D859-4778-AFDC-542F95FBD1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BB24BF-550E-4BB3-8724-F425F89C7D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1B84D8-8C5D-428C-AD36-46950EBC60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48C38B-93C9-48FD-B4C8-2DC11306A9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281FF9-401E-4E48-9101-85FEB1A72A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70B6FA-1072-4BC3-845F-50C31CF060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2CC2FD-CC68-4F43-ABCD-761011283D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50553B-3D00-42BD-AC19-49B8CCD39F2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D74DFC-3F4D-4569-A811-30EA8E1BADA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FA04C1-8430-4869-A260-615A784F3C8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F7FE75-FD63-4197-BC0B-F6DAC291F16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9CDC58-6488-4768-B336-F92E34829BD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AF312A-32FC-4193-A45E-A4F541A7138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F8A6E8-F2D9-4343-B337-A716558770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4E5202-9A5D-4615-8C5A-596CF4929B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A729A0-7506-43CF-A3FE-36F8E81F292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605D66-E062-4B42-A000-67BE871869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A94D8C-26BE-45A3-BE60-806624B514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BC90C6-9FF0-41B0-8EFF-87D8C4396C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A216F2-A219-4AC6-925B-E48EEE477A5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2DAB19-B5CF-4E7A-83F5-7EF1C7DEF08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42F1E9-E132-471B-9456-E6DD1614FCB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4745E0-662C-4E74-A2C4-4EA9FF3EC4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8FD644-423C-487C-9916-CF63A3D09A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7C41E1-B064-4E24-8133-6F0298717B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BA1D0D-1972-43CC-9EDB-6F6EECEF2E5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A0A290-B19F-485E-AEC3-E681BA16C00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7268D2-9C6C-4B26-9870-C7106AAFDE5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0293C2-1192-40DA-BAC8-CE4D394B96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C5C64C-FB93-4A25-B47D-51C021B7C4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3689F0-EE7B-473E-9133-D4C22C3CA8B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77B069-C756-44D5-A725-4D97F7DA7B8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E2CE8B-46D3-4D03-B271-0ECABDC403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0DAAC1-161E-4486-98C8-2ECAE4DF03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333839-615E-45B4-B3FC-70FB5267B8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CB1D89-6438-4CB5-A352-5E498AFF36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20BBB0-BE87-43ED-B645-72B0F5A4B6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DAA0E1-DE0A-428C-8657-EFCB7D8B463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041D89-58DA-4A2E-96B5-F614E93B25E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7DC429-0FCA-4F38-BD3F-41AF9E1148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C39F58-53FD-4F9F-89E9-2DE38A2EF1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19BF52-1607-4C05-A4C1-E15B6B38CE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C59161-C11B-46ED-8BFB-9289DD9669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C79443-DB84-4946-871F-E44514BE9E4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E72992-9385-4017-986D-4348A2BF4F0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453051-BC26-4A6D-A7BA-0AF96CEA41B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AB8E5E-ACC4-4F5A-A764-EF972A63D32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14F605-A59F-4F32-BAF0-DFA1EA4819F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942967-890D-4585-82F6-722CFF248C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159169-982D-4BA2-B380-8503C8B4A73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4C1292-43C4-4BDE-A8D9-25DC52185D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EFF6A4-441A-4F13-A067-4FFE071C7A5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3ED0B5-29A7-411D-813F-18681A285A5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0D2C3A-2746-414D-9A41-B81EC6138D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96D476-E95B-4E03-A018-C25A603406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DA4344-893C-465D-8AAA-18FB369F788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6A2042-D8E0-48C4-8759-05BED65AB8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277719-B4E1-4BF8-959B-7CBBDA0C97E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3F0CF4-316F-468E-AB62-9AC7650E18C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9D1514-8003-4F86-A870-2F68EE3BD0E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CD3152-F410-46BC-9E8B-08D83E927F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A62ED4-39B0-45F4-9AC1-864733EFDEB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4ADF54-8A09-432A-A6B2-9C63EE9B60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02ED00-6FE2-4D11-97FD-A4EE2C746D5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F0AFAF-72A8-4B33-86A6-33823AB8C9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07D6B9-A6CB-4526-B4DF-EF9127E1243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0416BE-AFEE-4B31-A516-4511D9E45C3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ECDF98-1FE9-47F0-AB16-EB5205F2871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824936-F164-45C5-BA92-019167D0973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06183C-61F1-4B4E-A09B-CABAAA1F9D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CDF877-CE42-4C33-AFEA-1ACE5F700E7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A37A95-1890-4DC9-A543-AA1305BA274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F5F11A-9418-41DA-86D5-76BBBD8E59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332568-0FD1-4741-9A9E-ADC7B70E05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B8F6E0-79EE-4EBB-9EF6-4AAE28DF2C7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2FE182-731F-467B-A7F4-5F3E299816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08CF04-DC11-4616-883F-505A3A4AD6F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C75BB1-0A4E-4F7E-B7CD-FE38AFC3038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098747-B203-42CC-A208-ACF59356C6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8F6918-271A-4C72-83A0-A1C73E3141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D34AA7-7134-47A9-BA4B-FDF62F378C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C27E56-2ACB-4D2D-B880-D5CAAAE775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A664CA-30C4-4172-B82B-A6149CD06A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984302-3DAB-4388-94A8-2CDEEC1B6A3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F82FA8-92F4-4F52-8C96-F0CD8BAF04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8ABE18-E41B-4279-B6C7-F13127CE913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986433-B58A-466D-B3BB-0FECA8CA96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E206CE-77ED-4D40-A3D1-AD5E97D03A6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6CF8F9-06E1-4EE0-8764-ED24963DA06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B9DFAC-05FE-4CAC-AAA2-F8597A78D4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366432-E0FF-4F7C-80E9-9C7DBA2D1FB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C2D975-F98A-4008-98B4-2C7B162029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5F07FA-4689-4E34-A46F-0826D856102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E738BB-7190-44C1-9818-FBD04DF1FCE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F78A42-93C5-447C-985E-DB358F91E7A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AB2C98-9A50-47B7-A006-1272D1D4069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84085F-4F31-4792-836F-2779AEE0824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CC4C6B-C30B-448E-ACFC-6B8E33FAE71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90A63A-7589-4EBE-BD7C-FBDFBB20DA1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D667EA-A6E5-40F7-9792-DF66D863885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D0D435-DEB0-4562-86F5-0B8DC72459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627FB6-D79A-4EA6-B01E-2035E283C52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76410D-BB57-4A06-8F7A-08666FD73CD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CF5D65-4C12-4330-8F63-7656005294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9D6143-FBA0-4EA8-B49A-CD7DCF782B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D4146C-10A6-4684-BFF7-8242137B79C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EEF51C-C466-4E88-9DF0-866BC04EC82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B02908-18B0-4728-9EFF-C0B596A4EBA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DBDDF2-9C73-4473-A7AA-1938D67F10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E769F3-95ED-4EC1-B48E-6D4934F3984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6A5C8C-37FB-435E-9069-F7ACCD4D74F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1349BF-5DC2-46C1-B9EB-9A80AAC6CC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07C7D4-0ECE-4CFC-A35D-2AC3EA37771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B920D8-D8B7-4DD7-8B1C-3D3D6A371CC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B54CCB-D2AF-4768-806F-14406B4430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EBDE0B-0834-4774-8AF5-190081FB31BD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AE1B2E-009B-4874-B583-6FF2A8F7264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A90B52-C192-4310-854D-D1DB72102FE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9B776D-6E06-4E4B-85FF-723DB28247C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9570EE-AE99-412C-82CC-94F95DCBFBF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A4DDC0-E538-4042-A6E1-8B49DFD895C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BB1D08-871A-4F55-B378-41FF614B31D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B3DF01-32A4-4C29-92C0-4CA2CECCEEC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5D5E2B-4BE6-4EFB-8D20-A33EABE5B6E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DA622D-1B6E-45D3-A1B0-788F5F72ABB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C3990A-C529-442B-ABB9-1AC7F9680F8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E169B9-66E3-43A5-A63B-7B40FE2DD26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B6557A-8F13-4C2A-B917-C52D411224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FB2123-24A4-44E5-871A-7FAA4C7B487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CA2BA0-8D06-4E5E-9385-A5D63BAE9A8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3A8EAD-B0DE-4BAE-A6EA-6DB630A4225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1E22B4-8803-45F7-89D9-1896F83834E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6B5800-F38F-44F8-AF50-8B7E50B51C1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E3C1D4-3D4D-4B84-AD6D-C765440B97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35D5B1-9D39-4D34-84A2-C22BC3C3745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F3E273-6390-4AC7-8328-4E6B677B10F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5C4313-F897-4A38-B3CD-2FDA8C632FF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0C621B-8891-4E52-B4D8-CB40CF7381A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EADE38-466D-403B-A4FA-CC91915EE0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ACCAC5-6BB2-4BCB-A2A4-40ED9A17BE8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D60D71-D3C5-4291-9BD8-AEC9205F8B4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E5CF38-5309-44F9-B71E-43C2E58040A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7A89B1-2F94-4679-9CAD-25AE75EAEE0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BF1FBD-1BEA-473F-9DC0-314996CB203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25BD4C-CC28-475B-B005-C5994134A51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C9D961-006D-49E6-BD9C-0BEAB6018D7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67DEEF-6F94-4EB8-9621-35DFDB02BC7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83E924-EC69-459D-9DA1-05E128D87D3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79DE00-88C0-4975-ACF2-A3BDB4011FF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A11F24-DE6F-46C9-B80C-034CB3DDC20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AAB7BC-4924-46FC-82BA-AE3AC769CF1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BD6C68-23D5-4F40-ABF9-D0FC8AE242CF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D3CE6E-AD19-467F-B3D2-1D41B7D0C3E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AF4DB3-669B-40EC-8C3E-0FBE88703E59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E4D2F1-2065-4028-8E81-58C363EC634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3E21ED-4236-4FE5-A51F-3909DC6370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16A1F5-7151-4C50-A3E3-55C71D851A81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E62F62-B63D-469D-AFAA-2EF772CB249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C94D2E-E051-4C54-82C6-B5CF3E6C949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8F32F9-8502-4A59-9E67-9CD1A765D5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AAC736-134D-463E-A57A-3EF6E8653D8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89C484-7893-42D1-B8E7-CD776A17F2F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BD834F-BDAE-4ACF-AEBE-0DCB5B8293C4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CB20CF-A1D7-474D-952C-96EAF243F81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93DD3A-6605-4900-B95A-FFDBFB29718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ADAC04-A3D9-4EF9-8538-E1F0F43D7E5E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995ED0-F494-46B7-B034-A67F802342BB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83B6B5-37C7-439A-972C-1B76FF4AD96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57BD88-57B3-4650-8102-80C17A5C6A2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3A192B-5808-4C5D-A522-441EC22B969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2143AD-8B43-4BA3-B8C2-F58F6701C54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C8E4CD-FA09-492F-8E79-D227B163AAE0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8256C3-3D58-48A0-B354-B08EAF2E7B6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AF6CB0-550D-422B-BF44-D37847B16CF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2CEFD0-B262-4EA6-840D-518EABC2745C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9DA384-37E0-4527-89D9-BCDF97B62272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01D426-FB47-485E-9C6D-30D3F9687E97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7D67B3-0FC9-4BB1-ABF9-8E5869B1C0A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CCFF33-D5D9-4ABE-AB85-C032FBC9B7B3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EB00E4-C689-40F7-8582-7ED5853A6F75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FDB28D-49E6-4EFA-ABAE-41A386C53B16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BDF35C-A1A4-4898-9293-C374AAD6B8AA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9525" cy="19050"/>
    <xdr:sp macro="" textlink="">
      <xdr:nvSpPr>
        <xdr:cNvPr id="3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D5B050-4BE3-47C8-B53B-E09A660E2278}"/>
            </a:ext>
          </a:extLst>
        </xdr:cNvPr>
        <xdr:cNvSpPr>
          <a:spLocks noChangeAspect="1" noChangeArrowheads="1"/>
        </xdr:cNvSpPr>
      </xdr:nvSpPr>
      <xdr:spPr>
        <a:xfrm>
          <a:off x="2152650" y="0"/>
          <a:ext cx="9525" cy="190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guowen" refreshedDate="46120.747866319442" createdVersion="7" refreshedVersion="7" minRefreshableVersion="3" recordCount="807" xr:uid="{4EA1D4D4-B057-450A-AFE1-B253829E10DE}">
  <cacheSource type="worksheet">
    <worksheetSource ref="A1:Y808" sheet="CRAN核查-47Cluster)_latest"/>
  </cacheSource>
  <cacheFields count="25">
    <cacheField name="Region" numFmtId="0">
      <sharedItems/>
    </cacheField>
    <cacheField name="PO" numFmtId="0">
      <sharedItems/>
    </cacheField>
    <cacheField name="New Province" numFmtId="0">
      <sharedItems/>
    </cacheField>
    <cacheField name="Old Province" numFmtId="0">
      <sharedItems/>
    </cacheField>
    <cacheField name="Physcial Site Name" numFmtId="0">
      <sharedItems/>
    </cacheField>
    <cacheField name="Main site Name" numFmtId="0">
      <sharedItems count="557">
        <s v="KGPQ01"/>
        <s v="KGPQ02"/>
        <s v="KGPQ03"/>
        <s v="KGPQ04"/>
        <s v="KGPQ05"/>
        <s v="KGPQ06"/>
        <s v="KGPQ07"/>
        <s v="KGPQ08"/>
        <s v="KGPQ09"/>
        <s v="KGPQ10"/>
        <s v="KGPQ11"/>
        <s v="KGPQ12"/>
        <s v="KGPQ13"/>
        <s v="KGPQ14"/>
        <s v="KGPQ15"/>
        <s v="KGPQ16"/>
        <s v="KGPQ17"/>
        <s v="KGPQ18"/>
        <s v="KGPQ19"/>
        <s v="KGPQ20"/>
        <s v="KGPQ21"/>
        <s v="KGPQ22"/>
        <s v="KGPQ23"/>
        <s v="KGPQ24"/>
        <s v="KGPQ25"/>
        <s v="KGPQ26"/>
        <s v="KGPQ27"/>
        <s v="KGPQ28"/>
        <s v="KGPQ29"/>
        <s v="KGPQ30"/>
        <s v="KGPQ31"/>
        <s v="KGPQ32"/>
        <s v="KGPQ33"/>
        <s v="KGPQ34"/>
        <s v="KGPQ36"/>
        <s v="KGPQ37"/>
        <s v="KGPQ38"/>
        <s v="KGPQ39"/>
        <s v="KGPQ40"/>
        <s v="KGPQ41"/>
        <s v="KGPQ43"/>
        <s v="KGPQ44"/>
        <s v="KGPQ45"/>
        <s v="KGPQ46"/>
        <s v="KGPQ47"/>
        <s v="KGPQ48"/>
        <s v="KGPQ49"/>
        <s v="KGPQ50"/>
        <s v="KGPQ51"/>
        <s v="KGPQ52"/>
        <s v="KGPQ53"/>
        <s v="KGPQ54"/>
        <s v="KGPQ55"/>
        <s v="KGPQ56"/>
        <s v="KGPQ58"/>
        <s v="KGPQ61"/>
        <s v="KGPQ62"/>
        <s v="KGPQ63"/>
        <s v="KGPQ73"/>
        <s v="KGPQ74"/>
        <s v="KGPQ75"/>
        <s v="KGPQ76"/>
        <s v="KGPQ77"/>
        <s v="KGPQ78"/>
        <s v="KGPQ80"/>
        <s v="KGPQ81"/>
        <s v="KGPQ84"/>
        <s v="KGPQ86"/>
        <s v="KGPQ88"/>
        <s v="KGPQ89"/>
        <s v="KGPQ93"/>
        <s v="KGPQ94"/>
        <s v="KGPQ95"/>
        <s v="KGPQ98"/>
        <s v="KGPQ99"/>
        <s v="KGPQA2"/>
        <s v="KGPQA3"/>
        <s v="KGPQA4"/>
        <s v="KGPQA5"/>
        <s v="KGPQA7"/>
        <s v="KGPQA9"/>
        <s v="KGPQB0"/>
        <s v="KGPQB1"/>
        <s v="KGPQB2"/>
        <s v="KGPQB4"/>
        <s v="KGPQB6"/>
        <s v="KGPQB9"/>
        <s v="KGPQC1"/>
        <s v="KGPQC4"/>
        <s v="KGPQC6"/>
        <s v="KGPQC8"/>
        <s v="KGPQD2"/>
        <s v="KGPQE1"/>
        <s v="KGPQE2"/>
        <s v="KGPQE3"/>
        <s v="KGPQE4"/>
        <s v="KGPQE5"/>
        <s v="KGPQE9"/>
        <s v="KGPQF0"/>
        <s v="KGPQF1"/>
        <s v="KGPQF2"/>
        <s v="KGPQF9"/>
        <s v="KGPQG0"/>
        <s v="KGPQG1"/>
        <s v="KGPQG2"/>
        <s v="KGPQG6"/>
        <s v="KGPQG7"/>
        <s v="KGPQG8"/>
        <s v="KGPQI5"/>
        <s v="KGPQJ0"/>
        <s v="KGPQJ1"/>
        <s v="KGPQJ2"/>
        <s v="KGPQJ3"/>
        <s v="KGPQL1"/>
        <s v="KGPQL6"/>
        <s v="KGPQX5"/>
        <s v="KGPQZ3"/>
        <s v="TGCB01"/>
        <s v="TGCB02"/>
        <s v="TGCB03"/>
        <s v="TGCB04"/>
        <s v="TGCB05"/>
        <s v="TGCB06"/>
        <s v="TGCB07"/>
        <s v="TGCB08"/>
        <s v="TGCB09"/>
        <s v="TGCB10"/>
        <s v="TGCB12"/>
        <s v="TGCB13"/>
        <s v="TGCB14"/>
        <s v="TGCB15"/>
        <s v="TGCB16"/>
        <s v="TGCB17"/>
        <s v="TGCB19"/>
        <s v="TGCB20"/>
        <s v="TGCB21"/>
        <s v="TGCB22"/>
        <s v="TGCB23"/>
        <s v="TGCB24"/>
        <s v="TGCB25"/>
        <s v="TGCB26"/>
        <s v="TGCB27"/>
        <s v="TGCB29"/>
        <s v="TGCB30"/>
        <s v="TGCB32"/>
        <s v="TGCB33"/>
        <s v="TGCB34"/>
        <s v="TGCB36"/>
        <s v="TGCB37"/>
        <s v="TGCB38"/>
        <s v="TGCB39"/>
        <s v="TGCB40"/>
        <s v="TGCB42"/>
        <s v="TGCB43"/>
        <s v="TGCB44"/>
        <s v="TGCB46"/>
        <s v="TGCB47"/>
        <s v="TGCB48"/>
        <s v="TGCB49"/>
        <s v="TGCB50"/>
        <s v="TGCB51"/>
        <s v="TGCB53"/>
        <s v="TGCB55"/>
        <s v="TGCB57"/>
        <s v="TGCB58"/>
        <s v="TGCB61"/>
        <s v="TGCB64"/>
        <s v="TGCB65"/>
        <s v="TGCB66"/>
        <s v="TGCB68"/>
        <s v="TGCB69"/>
        <s v="TGCB72"/>
        <s v="TGCB74"/>
        <s v="TGCB76"/>
        <s v="TGCB79"/>
        <s v="TGCB82"/>
        <s v="TGCB83"/>
        <s v="TGCB84"/>
        <s v="TGCB86"/>
        <s v="TGCB87"/>
        <s v="TGCB89"/>
        <s v="TGCB90"/>
        <s v="TGCB91"/>
        <s v="TGCG01"/>
        <s v="TGCG02"/>
        <s v="TGCG03"/>
        <s v="TGCG04"/>
        <s v="TGCG05"/>
        <s v="TGCG06"/>
        <s v="TGCG09"/>
        <s v="TGCG10"/>
        <s v="TGCG11"/>
        <s v="TGCG12"/>
        <s v="TGCG14"/>
        <s v="TGCG15"/>
        <s v="TGCG16"/>
        <s v="TGCG17"/>
        <s v="TGCG18"/>
        <s v="TGCG19"/>
        <s v="TGCG20"/>
        <s v="TGCG21"/>
        <s v="TGCG22"/>
        <s v="TGCG23"/>
        <s v="TGCG24"/>
        <s v="TGCG25"/>
        <s v="TGCG26"/>
        <s v="TGCG27"/>
        <s v="TGCG28"/>
        <s v="TGCG29"/>
        <s v="TGCG30"/>
        <s v="TGCG31"/>
        <s v="TGCG32"/>
        <s v="TGCG33"/>
        <s v="TGCG35"/>
        <s v="TGCG36"/>
        <s v="TGCG38"/>
        <s v="TGCG40"/>
        <s v="TGCG41"/>
        <s v="TGCG42"/>
        <s v="TGCG43"/>
        <s v="TGCG44"/>
        <s v="TGCG45"/>
        <s v="TGCG46"/>
        <s v="TGCG48"/>
        <s v="TGCG49"/>
        <s v="TGCG50"/>
        <s v="TGCG51"/>
        <s v="TGCG52"/>
        <s v="TGCG54"/>
        <s v="TGCG56"/>
        <s v="TGCG59"/>
        <s v="TGCG60"/>
        <s v="TGCG64"/>
        <s v="TGCL03"/>
        <s v="TGCL04"/>
        <s v="TGCL05"/>
        <s v="TGCL06"/>
        <s v="TGCL09"/>
        <s v="TGCL10"/>
        <s v="TGCL11"/>
        <s v="TGCL14"/>
        <s v="TGCL15"/>
        <s v="TGCL16"/>
        <s v="TGCL17"/>
        <s v="TGCL20"/>
        <s v="TGCL21"/>
        <s v="TGCL23"/>
        <s v="TGCL30"/>
        <s v="TGCL33"/>
        <s v="TGCL34"/>
        <s v="TGCL41"/>
        <s v="TGCL42"/>
        <s v="TGCL45"/>
        <s v="TGCL46"/>
        <s v="TGCL47"/>
        <s v="TGCL49"/>
        <s v="TGCL50"/>
        <s v="TGCL51"/>
        <s v="TGCL52"/>
        <s v="TGCL54"/>
        <s v="TGCL58"/>
        <s v="TGCL59"/>
        <s v="TGCL60"/>
        <s v="TGCL61"/>
        <s v="TGCL63"/>
        <s v="TGCL64"/>
        <s v="TGCL65"/>
        <s v="TGCL66"/>
        <s v="TGCL78"/>
        <s v="TGCL82"/>
        <s v="TGCL83"/>
        <s v="TGCL85"/>
        <s v="TGCL87"/>
        <s v="TGCL88"/>
        <s v="TGCL89"/>
        <s v="TGCT01"/>
        <s v="TGCT02"/>
        <s v="TGCT03"/>
        <s v="TGCT04"/>
        <s v="TGCT05"/>
        <s v="TGCT06"/>
        <s v="TGCT07"/>
        <s v="TGCT08"/>
        <s v="TGCT09"/>
        <s v="TGCT10"/>
        <s v="TGCT11"/>
        <s v="TGCT12"/>
        <s v="TGCT13"/>
        <s v="TGCT17"/>
        <s v="TGCT18"/>
        <s v="TGCT19"/>
        <s v="TGCT20"/>
        <s v="TGCT21"/>
        <s v="TGCT23"/>
        <s v="TGCT24"/>
        <s v="TGCT27"/>
        <s v="TGCT28"/>
        <s v="TGCT30"/>
        <s v="TGCT31"/>
        <s v="TGCT32"/>
        <s v="TGCT33"/>
        <s v="TGCT34"/>
        <s v="TGCT36"/>
        <s v="TGCT39"/>
        <s v="TGCT41"/>
        <s v="TGCT42"/>
        <s v="TGCT43"/>
        <s v="TGCT45"/>
        <s v="TGCT46"/>
        <s v="TGCT47"/>
        <s v="TGCT50"/>
        <s v="TGCT53"/>
        <s v="TGCT54"/>
        <s v="TGCT56"/>
        <s v="TGCT57"/>
        <s v="TGCT59"/>
        <s v="TGCT62"/>
        <s v="TGCT64"/>
        <s v="TGCT65"/>
        <s v="TGCT66"/>
        <s v="TGCT67"/>
        <s v="TGCT69"/>
        <s v="TGCT70"/>
        <s v="TGCT71"/>
        <s v="TGCT72"/>
        <s v="TGCT77"/>
        <s v="TGCT78"/>
        <s v="TGCT80"/>
        <s v="TGCY01"/>
        <s v="TGCY03"/>
        <s v="TGCY04"/>
        <s v="TGCY05"/>
        <s v="TGCY06"/>
        <s v="TGCY07"/>
        <s v="TGCY09"/>
        <s v="TGCY10"/>
        <s v="TGCY13"/>
        <s v="TGCY16"/>
        <s v="TGCY17"/>
        <s v="TGCY18"/>
        <s v="TGCY21"/>
        <s v="TGCY22"/>
        <s v="TGCY23"/>
        <s v="TGCY27"/>
        <s v="TGCY29"/>
        <s v="TGCY35"/>
        <s v="TGCY43"/>
        <s v="TGGC01"/>
        <s v="TGGC03"/>
        <s v="TGGC04"/>
        <s v="TGGC06"/>
        <s v="TGGC07"/>
        <s v="TGGC08"/>
        <s v="TGGC09"/>
        <s v="TGGC10"/>
        <s v="TGGC11"/>
        <s v="TGGC12"/>
        <s v="TGGC14"/>
        <s v="TGGC16"/>
        <s v="TGGC17"/>
        <s v="TGGC18"/>
        <s v="TGGC19"/>
        <s v="TGGC20"/>
        <s v="TGGC21"/>
        <s v="TGGC22"/>
        <s v="TGGC23"/>
        <s v="TGGC26"/>
        <s v="TGGC27"/>
        <s v="TGGC29"/>
        <s v="TGGC30"/>
        <s v="TGGC33"/>
        <s v="TGGC34"/>
        <s v="TGGC35"/>
        <s v="TGGD01"/>
        <s v="TGGD02"/>
        <s v="TGGD05"/>
        <s v="TGGD06"/>
        <s v="TGGD08"/>
        <s v="TGGD09"/>
        <s v="TGGD10"/>
        <s v="TGGD11"/>
        <s v="TGGD12"/>
        <s v="TGGD14"/>
        <s v="TGGD15"/>
        <s v="TGGD16"/>
        <s v="TGGD17"/>
        <s v="TGGD20"/>
        <s v="TGGD21"/>
        <s v="TGGD24"/>
        <s v="TGGD27"/>
        <s v="TGGD28"/>
        <s v="TGGD30"/>
        <s v="TGGD31"/>
        <s v="TGGD32"/>
        <s v="TGGD34"/>
        <s v="TGGD35"/>
        <s v="TGGD37"/>
        <s v="TGGD38"/>
        <s v="TGGD42"/>
        <s v="TGGD47"/>
        <s v="TGGD49"/>
        <s v="TGGD50"/>
        <s v="TGGD51"/>
        <s v="TGGD52"/>
        <s v="TGGD53"/>
        <s v="TGGT01"/>
        <s v="TGGT02"/>
        <s v="TGGT03"/>
        <s v="TGGT04"/>
        <s v="TGGT05"/>
        <s v="TGGT06"/>
        <s v="TGGT07"/>
        <s v="TGGT08"/>
        <s v="TGGT09"/>
        <s v="TGGT10"/>
        <s v="TGGT13"/>
        <s v="TGGT14"/>
        <s v="TGGT15"/>
        <s v="TGGT17"/>
        <s v="TGGT18"/>
        <s v="TGGT19"/>
        <s v="TGGT20"/>
        <s v="TGGT22"/>
        <s v="TGGT23"/>
        <s v="TGGT24"/>
        <s v="TGGT26"/>
        <s v="TGGT27"/>
        <s v="TGGT28"/>
        <s v="TGGT30"/>
        <s v="TGGT31"/>
        <s v="TGGT32"/>
        <s v="TGGT33"/>
        <s v="TGGT36"/>
        <s v="TGGT37"/>
        <s v="TGGT39"/>
        <s v="TGGT40"/>
        <s v="TGGT46"/>
        <s v="TGGT50"/>
        <s v="TGMT01"/>
        <s v="TGMT02"/>
        <s v="TGMT03"/>
        <s v="TGMT04"/>
        <s v="TGMT05"/>
        <s v="TGMT06"/>
        <s v="TGMT07"/>
        <s v="TGMT08"/>
        <s v="TGMT09"/>
        <s v="TGMT10"/>
        <s v="TGMT11"/>
        <s v="TGMT12"/>
        <s v="TGMT13"/>
        <s v="TGMT15"/>
        <s v="TGMT16"/>
        <s v="TGMT52"/>
        <s v="TGMT18"/>
        <s v="TGMT19"/>
        <s v="TGMT20"/>
        <s v="TGMT21"/>
        <s v="TGMT22"/>
        <s v="TGMT24"/>
        <s v="TGMT25"/>
        <s v="TGMT26"/>
        <s v="TGMT28"/>
        <s v="TGMT29"/>
        <s v="TGMT30"/>
        <s v="TGMT31"/>
        <s v="TGMT32"/>
        <s v="TGMT33"/>
        <s v="TGMT34"/>
        <s v="TGMT35"/>
        <s v="TGMT36"/>
        <s v="TGMT37"/>
        <s v="TGMT38"/>
        <s v="TGMT40"/>
        <s v="TGMT41"/>
        <s v="TGMT42"/>
        <s v="TGMT43"/>
        <s v="TGMT44"/>
        <s v="TGMT46"/>
        <s v="TGMT47"/>
        <s v="TGMT48"/>
        <s v="TGMT49"/>
        <s v="TGMT50"/>
        <s v="TGMT51"/>
        <s v="TGMT53"/>
        <s v="TGMT54"/>
        <s v="TGMT56"/>
        <s v="TGMT57"/>
        <s v="TGMT58"/>
        <s v="TGMT62"/>
        <s v="TGMT63"/>
        <s v="TGMT67"/>
        <s v="TGMT69"/>
        <s v="TGMT70"/>
        <s v="TGMT72"/>
        <s v="TGMT74"/>
        <s v="TGMT75"/>
        <s v="TGMT78"/>
        <s v="TGMT80"/>
        <s v="TGMT81"/>
        <s v="TGMT83"/>
        <s v="TGMT84"/>
        <s v="TGMTP2"/>
        <s v="TGTD01"/>
        <s v="TGTD02"/>
        <s v="TGTD03"/>
        <s v="TGTD04"/>
        <s v="TGTD05"/>
        <s v="TGTD06"/>
        <s v="TGTD07"/>
        <s v="TGTD08"/>
        <s v="TGTD09"/>
        <s v="TGTD11"/>
        <s v="TGTD12"/>
        <s v="TGTD13"/>
        <s v="TGTD17"/>
        <s v="TGTD19"/>
        <s v="TGTD24"/>
        <s v="TGTP01"/>
        <s v="TGTP02"/>
        <s v="TGTP03"/>
        <s v="TGTP04"/>
        <s v="TGTP05"/>
        <s v="TGTP06"/>
        <s v="TGTP08"/>
        <s v="TGTP09"/>
        <s v="TGTP10"/>
        <s v="TGTP11"/>
        <s v="TGTP12"/>
        <s v="TGTP13"/>
        <s v="TGTP15"/>
        <s v="TGTP16"/>
        <s v="TGTP17"/>
        <s v="TGTP18"/>
        <s v="TGTP19"/>
        <s v="TGTP20"/>
        <s v="TGTP21"/>
        <s v="TGTP22"/>
        <s v="TGTP23"/>
        <s v="TGTP24"/>
        <s v="TGTP27"/>
        <s v="TGTP28"/>
        <s v="TGTP29"/>
        <s v="TGTP30"/>
        <s v="TGTP33"/>
        <s v="TGTP34"/>
        <s v="TGTP35"/>
        <s v="TGTP36"/>
        <s v="TGTP37"/>
        <s v="TGTP38"/>
        <s v="TGTP39"/>
        <s v="TGTP40"/>
        <s v="TGTP41"/>
        <s v="TGTP42"/>
        <s v="TGTP43"/>
        <s v="TGTP47"/>
        <s v="TGTP48"/>
      </sharedItems>
    </cacheField>
    <cacheField name="4G Site Type" numFmtId="0">
      <sharedItems/>
    </cacheField>
    <cacheField name="4G Target Config from MBF (RRU Model)" numFmtId="0">
      <sharedItems/>
    </cacheField>
    <cacheField name="4G Target Config from MBF (Total Sector)" numFmtId="0">
      <sharedItems containsSemiMixedTypes="0" containsString="0" containsNumber="1" containsInteger="1" minValue="1" maxValue="4"/>
    </cacheField>
    <cacheField name="5G Site Type" numFmtId="0">
      <sharedItems containsBlank="1"/>
    </cacheField>
    <cacheField name="5G Zone" numFmtId="0">
      <sharedItems containsBlank="1"/>
    </cacheField>
    <cacheField name="Longitude" numFmtId="0">
      <sharedItems containsSemiMixedTypes="0" containsString="0" containsNumber="1" minValue="103.48147" maxValue="106.78039"/>
    </cacheField>
    <cacheField name="Latitude" numFmtId="0">
      <sharedItems containsSemiMixedTypes="0" containsString="0" containsNumber="1" minValue="9.3018230000000006" maxValue="10.58412"/>
    </cacheField>
    <cacheField name="District" numFmtId="177">
      <sharedItems/>
    </cacheField>
    <cacheField name="Deliver Month" numFmtId="0">
      <sharedItems containsMixedTypes="1" containsNumber="1" containsInteger="1" minValue="0" maxValue="0"/>
    </cacheField>
    <cacheField name="Target network" numFmtId="0">
      <sharedItems/>
    </cacheField>
    <cacheField name="isOutdoor" numFmtId="0">
      <sharedItems containsBlank="1"/>
    </cacheField>
    <cacheField name="New Remark" numFmtId="0">
      <sharedItems containsBlank="1"/>
    </cacheField>
    <cacheField name="TAC_EP" numFmtId="0">
      <sharedItems containsMixedTypes="1" containsNumber="1" containsInteger="1" minValue="47601" maxValue="48090"/>
    </cacheField>
    <cacheField name=" Cluster" numFmtId="0">
      <sharedItems count="47">
        <s v="S1_CL36"/>
        <s v="S1_CL38"/>
        <s v="S1_CL37"/>
        <s v="S1_CL45"/>
        <s v="S1_CL32"/>
        <s v="S1_CL30"/>
        <s v="S1_CL40"/>
        <s v="S1_CL46"/>
        <s v="S1_CL44"/>
        <s v="S1_CL33"/>
        <s v="S1_CL39"/>
        <s v="S1_CL35"/>
        <s v="S1_CL42"/>
        <s v="S1_CL34"/>
        <s v="S1_CL43"/>
        <s v="S1_CL31"/>
        <s v="S1_CL41"/>
        <s v="S1_CL26"/>
        <s v="S1_CL27"/>
        <s v="S1_CL28"/>
        <s v="S1_CL29"/>
        <s v="S1_CL07"/>
        <s v="S1_CL09"/>
        <s v="S1_CL08"/>
        <s v="S1_CL10"/>
        <s v="S1_CL24"/>
        <s v="S1_CL25"/>
        <s v="S1_CL22"/>
        <s v="S1_CL21"/>
        <s v="S1_CL20"/>
        <s v="S1_CL18"/>
        <s v="S1_CL19"/>
        <s v="S1_CL15"/>
        <s v="S1_CL16"/>
        <s v="S1_CL17"/>
        <s v="S1_CL23"/>
        <s v="S1_CL14"/>
        <s v="S1_CL03"/>
        <s v="S1_CL04"/>
        <s v="S1_Pilot"/>
        <s v="S1_CL02"/>
        <s v="S1_CL01"/>
        <s v="S1_CL06"/>
        <s v="S1_CL05"/>
        <s v="S1_CL11"/>
        <s v="S1_CL12"/>
        <s v="S1_CL13"/>
      </sharedItems>
    </cacheField>
    <cacheField name=" Cluster（Proposal-CRAN）" numFmtId="0">
      <sharedItems containsNonDate="0" containsString="0" containsBlank="1"/>
    </cacheField>
    <cacheField name="计划改cran" numFmtId="0">
      <sharedItems/>
    </cacheField>
    <cacheField name="PLAN_Site Type" numFmtId="0">
      <sharedItems/>
    </cacheField>
    <cacheField name="Master/Sub" numFmtId="0">
      <sharedItems containsBlank="1" count="3">
        <s v="Master"/>
        <s v="Sub"/>
        <m/>
      </sharedItems>
    </cacheField>
    <cacheField name="Amount site in Cluster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guowen" refreshedDate="46120.862154745373" createdVersion="7" refreshedVersion="7" minRefreshableVersion="3" recordCount="807" xr:uid="{F220AEF2-407B-44F1-B763-9F136179FDDD}">
  <cacheSource type="worksheet">
    <worksheetSource ref="D1:Y808" sheet="CRAN核查-47Cluster)_latest"/>
  </cacheSource>
  <cacheFields count="22">
    <cacheField name="Old Province" numFmtId="0">
      <sharedItems/>
    </cacheField>
    <cacheField name="Physcial Site Name" numFmtId="0">
      <sharedItems/>
    </cacheField>
    <cacheField name="Main site Name" numFmtId="0">
      <sharedItems/>
    </cacheField>
    <cacheField name="4G Site Type" numFmtId="0">
      <sharedItems/>
    </cacheField>
    <cacheField name="4G Target Config from MBF (RRU Model)" numFmtId="0">
      <sharedItems/>
    </cacheField>
    <cacheField name="4G Target Config from MBF (Total Sector)" numFmtId="0">
      <sharedItems containsSemiMixedTypes="0" containsString="0" containsNumber="1" containsInteger="1" minValue="1" maxValue="4"/>
    </cacheField>
    <cacheField name="5G Site Type" numFmtId="0">
      <sharedItems containsBlank="1"/>
    </cacheField>
    <cacheField name="5G Zone" numFmtId="0">
      <sharedItems containsBlank="1"/>
    </cacheField>
    <cacheField name="Longitude" numFmtId="0">
      <sharedItems containsSemiMixedTypes="0" containsString="0" containsNumber="1" minValue="103.48147" maxValue="106.78039"/>
    </cacheField>
    <cacheField name="Latitude" numFmtId="0">
      <sharedItems containsSemiMixedTypes="0" containsString="0" containsNumber="1" minValue="9.3018230000000006" maxValue="10.58412"/>
    </cacheField>
    <cacheField name="District" numFmtId="177">
      <sharedItems/>
    </cacheField>
    <cacheField name="Deliver Month" numFmtId="0">
      <sharedItems containsMixedTypes="1" containsNumber="1" containsInteger="1" minValue="0" maxValue="0"/>
    </cacheField>
    <cacheField name="Target network" numFmtId="0">
      <sharedItems/>
    </cacheField>
    <cacheField name="isOutdoor" numFmtId="0">
      <sharedItems containsBlank="1"/>
    </cacheField>
    <cacheField name="New Remark" numFmtId="0">
      <sharedItems containsBlank="1"/>
    </cacheField>
    <cacheField name="TAC_EP" numFmtId="0">
      <sharedItems containsMixedTypes="1" containsNumber="1" containsInteger="1" minValue="47601" maxValue="48090" count="13">
        <n v="47601"/>
        <e v="#N/A"/>
        <n v="48000"/>
        <n v="48020"/>
        <n v="48080"/>
        <n v="48090"/>
        <n v="48010"/>
        <n v="48070"/>
        <n v="48050"/>
        <n v="48030"/>
        <n v="48040"/>
        <n v="48041"/>
        <n v="48060"/>
      </sharedItems>
    </cacheField>
    <cacheField name=" Cluster" numFmtId="0">
      <sharedItems count="47">
        <s v="S1_CL36"/>
        <s v="S1_CL38"/>
        <s v="S1_CL37"/>
        <s v="S1_CL45"/>
        <s v="S1_CL32"/>
        <s v="S1_CL30"/>
        <s v="S1_CL40"/>
        <s v="S1_CL46"/>
        <s v="S1_CL44"/>
        <s v="S1_CL33"/>
        <s v="S1_CL39"/>
        <s v="S1_CL35"/>
        <s v="S1_CL42"/>
        <s v="S1_CL34"/>
        <s v="S1_CL43"/>
        <s v="S1_CL31"/>
        <s v="S1_CL41"/>
        <s v="S1_CL26"/>
        <s v="S1_CL27"/>
        <s v="S1_CL28"/>
        <s v="S1_CL29"/>
        <s v="S1_CL07"/>
        <s v="S1_CL09"/>
        <s v="S1_CL08"/>
        <s v="S1_CL10"/>
        <s v="S1_CL24"/>
        <s v="S1_CL25"/>
        <s v="S1_CL21"/>
        <s v="S1_CL22"/>
        <s v="S1_CL20"/>
        <s v="S1_CL18"/>
        <s v="S1_CL19"/>
        <s v="S1_CL15"/>
        <s v="S1_CL16"/>
        <s v="S1_CL17"/>
        <s v="S1_CL23"/>
        <s v="S1_CL14"/>
        <s v="S1_CL03"/>
        <s v="S1_CL04"/>
        <s v="S1_Pilot"/>
        <s v="S1_CL02"/>
        <s v="S1_CL01"/>
        <s v="S1_CL06"/>
        <s v="S1_CL05"/>
        <s v="S1_CL11"/>
        <s v="S1_CL12"/>
        <s v="S1_CL13"/>
      </sharedItems>
    </cacheField>
    <cacheField name=" Cluster（Proposal-CRAN）" numFmtId="0">
      <sharedItems containsNonDate="0" containsString="0" containsBlank="1"/>
    </cacheField>
    <cacheField name="计划改cran" numFmtId="0">
      <sharedItems/>
    </cacheField>
    <cacheField name="PLAN_Site Type" numFmtId="0">
      <sharedItems/>
    </cacheField>
    <cacheField name="Master/Sub" numFmtId="0">
      <sharedItems containsBlank="1"/>
    </cacheField>
    <cacheField name="Amount site in Cluster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xue" refreshedDate="46122.589691782407" createdVersion="8" refreshedVersion="8" minRefreshableVersion="3" recordCount="824" xr:uid="{4732CF92-663A-4893-885D-EB5A465A6A74}">
  <cacheSource type="worksheet">
    <worksheetSource ref="Z1:AA1048576" sheet="CRAN核查-47Cluster)_latest"/>
  </cacheSource>
  <cacheFields count="2">
    <cacheField name="Swap Week" numFmtId="0">
      <sharedItems containsBlank="1" count="18">
        <s v="W02"/>
        <s v="W03"/>
        <s v="W04"/>
        <s v="W05"/>
        <s v="W06"/>
        <s v="W07"/>
        <s v="W08"/>
        <s v="W09"/>
        <s v="W10"/>
        <s v="W11"/>
        <s v="W12"/>
        <s v="W13"/>
        <s v="W14"/>
        <s v="W15"/>
        <s v="W16"/>
        <s v="W17"/>
        <s v="W01"/>
        <m/>
      </sharedItems>
    </cacheField>
    <cacheField name="TRU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7">
  <r>
    <s v="South"/>
    <s v="PO2_South1"/>
    <s v="An Giang"/>
    <s v="Kiên Giang"/>
    <s v="KGPQ01"/>
    <x v="0"/>
    <s v="Swap"/>
    <s v="Dual-band"/>
    <n v="4"/>
    <s v="Swap"/>
    <s v="Swap (PS mới 5G A)"/>
    <n v="103.9598"/>
    <n v="10.215299999999999"/>
    <s v="Phu Quoc"/>
    <n v="0"/>
    <s v="Swap_L18 + L21 + NR 2.6 64T + NR 3.8"/>
    <s v="Outdoor"/>
    <s v="Swap_0"/>
    <n v="47601"/>
    <x v="0"/>
    <m/>
    <e v="#N/A"/>
    <s v="Macro"/>
    <x v="0"/>
    <n v="2"/>
  </r>
  <r>
    <s v="South"/>
    <s v="PO2_South1"/>
    <s v="An Giang"/>
    <s v="Kiên Giang"/>
    <s v="KGPQL0"/>
    <x v="0"/>
    <s v="Swap"/>
    <s v="Dual-band"/>
    <n v="3"/>
    <m/>
    <m/>
    <n v="103.958226"/>
    <n v="10.217047000000001"/>
    <s v="Phu Quoc"/>
    <n v="0"/>
    <s v="Swap_L18 + L21"/>
    <s v="Outdoor"/>
    <s v="Swap_0"/>
    <n v="47601"/>
    <x v="0"/>
    <m/>
    <e v="#N/A"/>
    <s v="CRAN"/>
    <x v="1"/>
    <n v="2"/>
  </r>
  <r>
    <s v="South"/>
    <s v="PO2_South1"/>
    <s v="An Giang"/>
    <s v="Kiên Giang"/>
    <s v="KGPQ02"/>
    <x v="1"/>
    <s v="Swap"/>
    <s v="Dual-band"/>
    <n v="3"/>
    <s v="New"/>
    <s v="PS mới 5G C"/>
    <n v="103.96289400000001"/>
    <n v="10.206023"/>
    <s v="Phu Quoc"/>
    <n v="0"/>
    <s v="Swap_L18 + L21 + NR 2.6 32T"/>
    <s v="Outdoor"/>
    <s v="Swap_0"/>
    <n v="47601"/>
    <x v="1"/>
    <m/>
    <e v="#N/A"/>
    <s v="Macro"/>
    <x v="0"/>
    <n v="3"/>
  </r>
  <r>
    <s v="South"/>
    <s v="PO2_South1"/>
    <s v="An Giang"/>
    <s v="Kiên Giang"/>
    <s v="KGPQA6"/>
    <x v="1"/>
    <s v="Swap"/>
    <s v="Dual-band"/>
    <n v="3"/>
    <s v="New"/>
    <s v="PS mới 5G C"/>
    <n v="103.964916"/>
    <n v="10.20051"/>
    <s v="Phu Quoc"/>
    <n v="0"/>
    <s v="Swap_L18 + L21 + NR 2.6 32T"/>
    <s v="Outdoor"/>
    <s v="Swap_0"/>
    <n v="47601"/>
    <x v="1"/>
    <m/>
    <e v="#N/A"/>
    <s v="CRAN"/>
    <x v="1"/>
    <n v="3"/>
  </r>
  <r>
    <s v="South"/>
    <s v="PO2_South1"/>
    <s v="An Giang"/>
    <s v="Kiên Giang"/>
    <s v="KGPQ65"/>
    <x v="1"/>
    <s v="Swap"/>
    <s v="Dual-band"/>
    <n v="3"/>
    <m/>
    <m/>
    <n v="103.962126"/>
    <n v="10.204143"/>
    <s v="Phu Quoc"/>
    <n v="0"/>
    <s v="Swap_L18 + L21 + NR 7 + L9"/>
    <s v="Outdoor"/>
    <s v="Swap_0"/>
    <n v="47601"/>
    <x v="1"/>
    <m/>
    <e v="#N/A"/>
    <s v="CRAN"/>
    <x v="1"/>
    <n v="3"/>
  </r>
  <r>
    <s v="South"/>
    <s v="PO2_South1"/>
    <s v="An Giang"/>
    <s v="Kiên Giang"/>
    <s v="KGPQ03"/>
    <x v="2"/>
    <s v="Swap"/>
    <s v="Dual-band"/>
    <n v="4"/>
    <s v="Swap"/>
    <s v="Swap (PS mới 5G C)"/>
    <n v="103.9759"/>
    <n v="10.2232"/>
    <s v="Phu Quoc"/>
    <n v="0"/>
    <s v="Swap_L18 + L21 + NR 2.6 64T + NR 3.8"/>
    <s v="Outdoor"/>
    <s v="Swap_0"/>
    <n v="47601"/>
    <x v="2"/>
    <m/>
    <e v="#N/A"/>
    <s v="Macro"/>
    <x v="2"/>
    <n v="1"/>
  </r>
  <r>
    <s v="South"/>
    <s v="PO2_South1"/>
    <s v="An Giang"/>
    <s v="Kiên Giang"/>
    <s v="KGPQ04"/>
    <x v="3"/>
    <s v="Swap"/>
    <s v="Dual-band"/>
    <n v="4"/>
    <s v="New"/>
    <s v="PS mới 5G C"/>
    <n v="104.0141"/>
    <n v="10.024699999999999"/>
    <s v="Phu Quoc"/>
    <n v="0"/>
    <s v="Swap_L18 + L21 + NR 2.6 32T"/>
    <s v="Outdoor"/>
    <s v="Swap_0"/>
    <n v="47601"/>
    <x v="3"/>
    <m/>
    <e v="#N/A"/>
    <s v="Macro"/>
    <x v="2"/>
    <n v="1"/>
  </r>
  <r>
    <s v="South"/>
    <s v="PO2_South1"/>
    <s v="An Giang"/>
    <s v="Kiên Giang"/>
    <s v="KGPQ05"/>
    <x v="4"/>
    <s v="Swap"/>
    <s v="Dual-band"/>
    <n v="4"/>
    <s v="New"/>
    <s v="PS mới 5G C"/>
    <n v="103.914485"/>
    <n v="10.293856"/>
    <s v="Phu Quoc"/>
    <n v="0"/>
    <s v="Swap_L18 + L21 + NR 2.6 32T"/>
    <s v="Outdoor"/>
    <s v="Swap_0"/>
    <n v="47601"/>
    <x v="4"/>
    <m/>
    <e v="#N/A"/>
    <s v="Macro"/>
    <x v="0"/>
    <n v="2"/>
  </r>
  <r>
    <s v="South"/>
    <s v="PO2_South1"/>
    <s v="An Giang"/>
    <s v="Kiên Giang"/>
    <s v="KGPQY5"/>
    <x v="4"/>
    <s v="Swap"/>
    <s v="Single-Band"/>
    <n v="3"/>
    <m/>
    <m/>
    <n v="103.90279"/>
    <n v="10.292389999999999"/>
    <s v="Phu Quoc"/>
    <n v="0"/>
    <s v="Swap_L18"/>
    <s v="Outdoor"/>
    <s v="Swap_0"/>
    <n v="47601"/>
    <x v="4"/>
    <m/>
    <e v="#N/A"/>
    <s v="CRAN"/>
    <x v="1"/>
    <n v="2"/>
  </r>
  <r>
    <s v="South"/>
    <s v="PO2_South1"/>
    <s v="An Giang"/>
    <s v="Kiên Giang"/>
    <s v="KGPQ06"/>
    <x v="5"/>
    <s v="Swap"/>
    <s v="Dual-band"/>
    <n v="4"/>
    <s v="New"/>
    <s v="PS mới 5G C"/>
    <n v="103.84375"/>
    <n v="10.373963"/>
    <s v="Phu Quoc"/>
    <n v="0"/>
    <s v="Swap_L18 + L21 + NR 2.6 32T"/>
    <s v="Outdoor"/>
    <s v="Swap_0"/>
    <n v="47601"/>
    <x v="5"/>
    <m/>
    <e v="#N/A"/>
    <s v="Macro"/>
    <x v="0"/>
    <n v="4"/>
  </r>
  <r>
    <s v="South"/>
    <s v="PO2_South1"/>
    <s v="An Giang"/>
    <s v="Kiên Giang"/>
    <s v="KGPQ60"/>
    <x v="5"/>
    <s v="Swap"/>
    <s v="Single-Band"/>
    <n v="3"/>
    <m/>
    <m/>
    <n v="103.83846200000001"/>
    <n v="10.372979000000001"/>
    <s v="Phu Quoc"/>
    <n v="0"/>
    <s v="Swap_L18"/>
    <s v="Outdoor"/>
    <s v="Swap_0"/>
    <n v="47601"/>
    <x v="5"/>
    <m/>
    <e v="#N/A"/>
    <s v="CRAN"/>
    <x v="1"/>
    <n v="4"/>
  </r>
  <r>
    <s v="South"/>
    <s v="PO2_South1"/>
    <s v="An Giang"/>
    <s v="Kiên Giang"/>
    <s v="KGPQ87"/>
    <x v="5"/>
    <s v="Swap"/>
    <s v="Single-Band"/>
    <n v="3"/>
    <m/>
    <m/>
    <n v="103.86107"/>
    <n v="10.37201"/>
    <s v="Phu Quoc"/>
    <n v="0"/>
    <s v="Swap_L18"/>
    <s v="Outdoor"/>
    <s v="Swap_0"/>
    <n v="47601"/>
    <x v="5"/>
    <m/>
    <e v="#N/A"/>
    <s v="CRAN"/>
    <x v="1"/>
    <n v="4"/>
  </r>
  <r>
    <s v="South"/>
    <s v="PO2_South1"/>
    <s v="An Giang"/>
    <s v="Kiên Giang"/>
    <s v="KGPQC3"/>
    <x v="5"/>
    <s v="Swap"/>
    <s v="Dual-band"/>
    <n v="3"/>
    <s v="New"/>
    <s v="PS mới 5G C"/>
    <n v="103.85299999999999"/>
    <n v="10.3758"/>
    <s v="Phu Quoc"/>
    <n v="0"/>
    <s v="Swap_L18 + L21 + NR 2.6 32T"/>
    <s v="Outdoor"/>
    <s v="Swap_0"/>
    <n v="47601"/>
    <x v="5"/>
    <m/>
    <e v="#N/A"/>
    <s v="CRAN"/>
    <x v="1"/>
    <n v="4"/>
  </r>
  <r>
    <s v="South"/>
    <s v="PO2_South1"/>
    <s v="An Giang"/>
    <s v="Kiên Giang"/>
    <s v="KGPQ07"/>
    <x v="6"/>
    <s v="Swap"/>
    <s v="Dual-band"/>
    <n v="4"/>
    <s v="New"/>
    <s v="PS mới 5G C"/>
    <n v="104.04640000000001"/>
    <n v="10.180300000000001"/>
    <s v="Phu Quoc"/>
    <n v="0"/>
    <s v="Swap_L18 + L21 + NR 2.6 32T"/>
    <s v="Outdoor"/>
    <s v="Swap_0"/>
    <n v="47601"/>
    <x v="6"/>
    <m/>
    <e v="#N/A"/>
    <s v="Macro"/>
    <x v="2"/>
    <n v="1"/>
  </r>
  <r>
    <s v="South"/>
    <s v="PO2_South1"/>
    <s v="An Giang"/>
    <s v="Kiên Giang"/>
    <s v="KGPQ08"/>
    <x v="7"/>
    <s v="Swap"/>
    <s v="Dual-band"/>
    <n v="4"/>
    <s v="New"/>
    <s v="PS mới 5G C"/>
    <n v="103.48147"/>
    <n v="9.3066600000000008"/>
    <s v="Phu Quoc"/>
    <n v="0"/>
    <s v="Swap_L18 + L21 + NR 2.6 32T"/>
    <s v="Outdoor"/>
    <s v="Swap_0"/>
    <n v="47601"/>
    <x v="7"/>
    <m/>
    <e v="#N/A"/>
    <s v="Macro"/>
    <x v="2"/>
    <n v="1"/>
  </r>
  <r>
    <s v="South"/>
    <s v="PO2_South1"/>
    <s v="An Giang"/>
    <s v="Kiên Giang"/>
    <s v="KGPQ09"/>
    <x v="8"/>
    <s v="Swap"/>
    <s v="Dual-band"/>
    <n v="4"/>
    <s v="New"/>
    <s v="PS mới 5G C"/>
    <n v="104.0184"/>
    <n v="10.0572"/>
    <s v="Phu Quoc"/>
    <n v="0"/>
    <s v="Swap_L18 + L21 + NR 2.6 32T"/>
    <s v="Outdoor"/>
    <s v="Swap_0"/>
    <n v="47601"/>
    <x v="8"/>
    <m/>
    <e v="#N/A"/>
    <s v="Macro"/>
    <x v="2"/>
    <n v="1"/>
  </r>
  <r>
    <s v="South"/>
    <s v="PO2_South1"/>
    <s v="An Giang"/>
    <s v="Kiên Giang"/>
    <s v="KGPQ10"/>
    <x v="9"/>
    <s v="Swap"/>
    <s v="Dual-band"/>
    <n v="3"/>
    <m/>
    <m/>
    <n v="104.0307"/>
    <n v="10.412100000000001"/>
    <s v="Phu Quoc"/>
    <n v="0"/>
    <s v="Swap_L18 + L21 + NR 7 + L9"/>
    <s v="Outdoor"/>
    <s v="Swap_0"/>
    <n v="47601"/>
    <x v="9"/>
    <m/>
    <e v="#N/A"/>
    <s v="Macro"/>
    <x v="2"/>
    <n v="1"/>
  </r>
  <r>
    <s v="South"/>
    <s v="PO2_South1"/>
    <s v="An Giang"/>
    <s v="Kiên Giang"/>
    <s v="KGPQ11"/>
    <x v="10"/>
    <s v="Swap"/>
    <s v="Dual-band"/>
    <n v="4"/>
    <s v="New"/>
    <s v="PS mới 5G C"/>
    <n v="103.988073"/>
    <n v="10.201688000000001"/>
    <s v="Phu Quoc"/>
    <n v="0"/>
    <s v="Swap_L18 + L21 + NR 2.6 32T"/>
    <s v="Outdoor"/>
    <s v="Swap_0"/>
    <n v="47601"/>
    <x v="10"/>
    <m/>
    <e v="#N/A"/>
    <s v="Macro"/>
    <x v="2"/>
    <n v="1"/>
  </r>
  <r>
    <s v="South"/>
    <s v="PO2_South1"/>
    <s v="An Giang"/>
    <s v="Kiên Giang"/>
    <s v="KGPQ12"/>
    <x v="11"/>
    <s v="Swap"/>
    <s v="Dual-band"/>
    <n v="3"/>
    <s v="New"/>
    <s v="PS mới 5G C"/>
    <n v="104.017082"/>
    <n v="9.9564579999999996"/>
    <s v="Phu Quoc"/>
    <n v="0"/>
    <s v="Swap_L18 + L21 + NR 2.6 32T"/>
    <s v="Outdoor"/>
    <s v="Swap_0"/>
    <n v="47601"/>
    <x v="7"/>
    <m/>
    <e v="#N/A"/>
    <s v="Macro"/>
    <x v="2"/>
    <n v="1"/>
  </r>
  <r>
    <s v="South"/>
    <s v="PO2_South1"/>
    <s v="An Giang"/>
    <s v="Kiên Giang"/>
    <s v="KGPQ13"/>
    <x v="12"/>
    <s v="Swap"/>
    <s v="Dual-band"/>
    <n v="4"/>
    <s v="New"/>
    <s v="PS mới 5G C"/>
    <n v="104.014967"/>
    <n v="10.176073000000001"/>
    <s v="Phu Quoc"/>
    <n v="0"/>
    <s v="Swap_L18 + L21 + NR 2.6 32T"/>
    <s v="Outdoor"/>
    <s v="Swap_0"/>
    <n v="47601"/>
    <x v="6"/>
    <m/>
    <e v="#N/A"/>
    <s v="Macro"/>
    <x v="2"/>
    <n v="1"/>
  </r>
  <r>
    <s v="South"/>
    <s v="PO2_South1"/>
    <s v="An Giang"/>
    <s v="Kiên Giang"/>
    <s v="KGPQ14"/>
    <x v="13"/>
    <s v="Swap"/>
    <s v="Dual-band"/>
    <n v="3"/>
    <m/>
    <m/>
    <n v="103.500423"/>
    <n v="9.3018230000000006"/>
    <s v="Phu Quoc"/>
    <n v="0"/>
    <s v="Swap_L18 + L21 + NR 7 + L9"/>
    <s v="Outdoor"/>
    <s v="Swap_0"/>
    <n v="47601"/>
    <x v="7"/>
    <m/>
    <e v="#N/A"/>
    <s v="Macro"/>
    <x v="2"/>
    <n v="1"/>
  </r>
  <r>
    <s v="South"/>
    <s v="PO2_South1"/>
    <s v="An Giang"/>
    <s v="Kiên Giang"/>
    <s v="KGPQ15"/>
    <x v="14"/>
    <s v="Swap"/>
    <s v="Dual-band"/>
    <n v="4"/>
    <s v="Swap"/>
    <s v="Swap (PS mới 5G A)"/>
    <n v="103.99039999999999"/>
    <n v="10.2461"/>
    <s v="Phu Quoc"/>
    <n v="0"/>
    <s v="Swap_L18 + L21 + NR 2.6 64T + NR 3.8"/>
    <s v="Outdoor"/>
    <s v="Swap_0"/>
    <n v="47601"/>
    <x v="11"/>
    <m/>
    <e v="#N/A"/>
    <s v="Macro"/>
    <x v="0"/>
    <n v="3"/>
  </r>
  <r>
    <s v="South"/>
    <s v="PO2_South1"/>
    <s v="An Giang"/>
    <s v="Kiên Giang"/>
    <s v="KGPQZ1"/>
    <x v="14"/>
    <s v="Swap"/>
    <s v="Dual-band"/>
    <n v="3"/>
    <m/>
    <m/>
    <n v="104.00071699999999"/>
    <n v="10.267728"/>
    <s v="Phu Quoc"/>
    <n v="0"/>
    <s v="Swap_L18 + L21 + NR 7 + L9"/>
    <s v="Outdoor"/>
    <s v="Swap_0"/>
    <n v="47601"/>
    <x v="11"/>
    <m/>
    <e v="#N/A"/>
    <s v="CRAN"/>
    <x v="1"/>
    <n v="3"/>
  </r>
  <r>
    <s v="South"/>
    <s v="PO2_South1"/>
    <s v="An Giang"/>
    <s v="Kiên Giang"/>
    <s v="KGPQE8"/>
    <x v="14"/>
    <s v="Swap"/>
    <s v="Dual-band"/>
    <n v="3"/>
    <s v="New"/>
    <s v="PS mới 5G C"/>
    <n v="103.998"/>
    <n v="10.246869999999999"/>
    <s v="Phu Quoc"/>
    <n v="0"/>
    <s v="Swap_L18 + L21 + NR 2.6 32T"/>
    <s v="Outdoor"/>
    <s v="Swap_0"/>
    <n v="47601"/>
    <x v="2"/>
    <m/>
    <e v="#N/A"/>
    <s v="CRAN"/>
    <x v="1"/>
    <n v="3"/>
  </r>
  <r>
    <s v="South"/>
    <s v="PO2_South1"/>
    <s v="An Giang"/>
    <s v="Kiên Giang"/>
    <s v="KGPQ16"/>
    <x v="15"/>
    <s v="Swap"/>
    <s v="Dual-band"/>
    <n v="4"/>
    <s v="Swap"/>
    <s v="Swap (PS mới 5G A)"/>
    <n v="104.01308"/>
    <n v="10.01694"/>
    <s v="Phu Quoc"/>
    <n v="0"/>
    <s v="Swap_L18 + L21 + NR 2.6 64T + NR 3.8"/>
    <s v="Outdoor"/>
    <s v="Swap_0"/>
    <n v="47601"/>
    <x v="3"/>
    <m/>
    <e v="#N/A"/>
    <s v="Macro"/>
    <x v="0"/>
    <n v="2"/>
  </r>
  <r>
    <s v="South"/>
    <s v="PO2_South1"/>
    <s v="An Giang"/>
    <s v="Kiên Giang"/>
    <s v="KGPQY0"/>
    <x v="15"/>
    <s v="Swap"/>
    <s v="Dual-band"/>
    <n v="3"/>
    <m/>
    <m/>
    <n v="104.01746"/>
    <n v="10.02181"/>
    <s v="Phu Quoc"/>
    <n v="0"/>
    <s v="Swap_L18 + L21"/>
    <s v="Outdoor"/>
    <s v="Swap_0"/>
    <n v="47601"/>
    <x v="3"/>
    <m/>
    <e v="#N/A"/>
    <s v="CRAN"/>
    <x v="1"/>
    <n v="2"/>
  </r>
  <r>
    <s v="South"/>
    <s v="PO2_South1"/>
    <s v="An Giang"/>
    <s v="Kiên Giang"/>
    <s v="KGPQ17"/>
    <x v="16"/>
    <s v="Swap"/>
    <s v="Dual-band"/>
    <n v="3"/>
    <s v="New"/>
    <s v="PS mới 5G C"/>
    <n v="103.95406"/>
    <n v="10.23607"/>
    <s v="Phu Quoc"/>
    <n v="0"/>
    <s v="Swap_L18 + L21 + NR 2.6 32T"/>
    <s v="Outdoor"/>
    <s v="Swap_0"/>
    <n v="47601"/>
    <x v="11"/>
    <m/>
    <e v="#N/A"/>
    <s v="Macro"/>
    <x v="0"/>
    <n v="2"/>
  </r>
  <r>
    <s v="South"/>
    <s v="PO2_South1"/>
    <s v="An Giang"/>
    <s v="Kiên Giang"/>
    <s v="KGPQ91"/>
    <x v="16"/>
    <s v="Swap"/>
    <s v="Dual-band"/>
    <n v="3"/>
    <m/>
    <m/>
    <n v="103.95023999999999"/>
    <n v="10.2409"/>
    <s v="Phu Quoc"/>
    <n v="0"/>
    <s v="Swap_L18 + L21 + NR 7 + L9"/>
    <s v="Outdoor"/>
    <s v="Swap_0"/>
    <n v="47601"/>
    <x v="11"/>
    <m/>
    <e v="#N/A"/>
    <s v="CRAN"/>
    <x v="1"/>
    <n v="2"/>
  </r>
  <r>
    <s v="South"/>
    <s v="PO2_South1"/>
    <s v="An Giang"/>
    <s v="Kiên Giang"/>
    <s v="KGPQ18"/>
    <x v="17"/>
    <s v="Swap"/>
    <s v="Dual-band"/>
    <n v="3"/>
    <s v="New"/>
    <s v="PS mới 5G C"/>
    <n v="103.99885"/>
    <n v="10.14822"/>
    <s v="Phu Quoc"/>
    <n v="0"/>
    <s v="Swap_L18 + L21 + NR 2.6 32T"/>
    <s v="Outdoor"/>
    <s v="Swap_0"/>
    <n v="47601"/>
    <x v="12"/>
    <m/>
    <e v="#N/A"/>
    <s v="Macro"/>
    <x v="2"/>
    <n v="1"/>
  </r>
  <r>
    <s v="South"/>
    <s v="PO2_South1"/>
    <s v="An Giang"/>
    <s v="Kiên Giang"/>
    <s v="KGPQ19"/>
    <x v="18"/>
    <s v="Swap"/>
    <s v="Dual-band"/>
    <n v="4"/>
    <s v="New"/>
    <s v="PS mới 5G C"/>
    <n v="104.03277300000001"/>
    <n v="10.151719"/>
    <s v="Phu Quoc"/>
    <n v="0"/>
    <s v="Swap_L18 + L21 + NR 2.6 32T"/>
    <s v="Outdoor"/>
    <s v="Swap_0"/>
    <n v="47601"/>
    <x v="12"/>
    <m/>
    <e v="#N/A"/>
    <s v="Macro"/>
    <x v="0"/>
    <n v="2"/>
  </r>
  <r>
    <s v="South"/>
    <s v="PO2_South1"/>
    <s v="An Giang"/>
    <s v="Kiên Giang"/>
    <s v="KGPQC2"/>
    <x v="18"/>
    <s v="Swap"/>
    <s v="Dual-band"/>
    <n v="3"/>
    <s v="New"/>
    <s v="PS mới 5G C"/>
    <n v="104.029511"/>
    <n v="10.138978"/>
    <s v="Phu Quoc"/>
    <n v="0"/>
    <s v="Swap_L18 + L21 + NR 2.6 32T"/>
    <s v="Outdoor"/>
    <s v="Swap_0"/>
    <n v="47601"/>
    <x v="12"/>
    <m/>
    <e v="#N/A"/>
    <s v="CRAN"/>
    <x v="1"/>
    <n v="2"/>
  </r>
  <r>
    <s v="South"/>
    <s v="PO2_South1"/>
    <s v="An Giang"/>
    <s v="Kiên Giang"/>
    <s v="KGPQ20"/>
    <x v="19"/>
    <s v="Swap"/>
    <s v="Dual-band"/>
    <n v="4"/>
    <s v="Swap"/>
    <s v="Swap (PS mới 5G A)"/>
    <n v="104.01703000000001"/>
    <n v="10.0444"/>
    <s v="Phu Quoc"/>
    <n v="0"/>
    <s v="Swap_L18 + L21 + NR 2.6 64T + NR 3.8"/>
    <s v="Outdoor"/>
    <s v="Swap_0"/>
    <n v="47601"/>
    <x v="8"/>
    <m/>
    <e v="#N/A"/>
    <s v="Macro"/>
    <x v="2"/>
    <n v="1"/>
  </r>
  <r>
    <s v="South"/>
    <s v="PO2_South1"/>
    <s v="An Giang"/>
    <s v="Kiên Giang"/>
    <s v="KGPQ21"/>
    <x v="20"/>
    <s v="Swap"/>
    <s v="Dual-band"/>
    <n v="3"/>
    <s v="New"/>
    <s v="PS mới 5G C"/>
    <n v="103.96498"/>
    <n v="10.22059"/>
    <s v="Phu Quoc"/>
    <n v="0"/>
    <s v="Swap_L18 + L21 + NR 2.6 32T"/>
    <s v="Outdoor"/>
    <s v="Swap_0"/>
    <n v="47601"/>
    <x v="0"/>
    <m/>
    <e v="#N/A"/>
    <s v="Macro"/>
    <x v="2"/>
    <n v="1"/>
  </r>
  <r>
    <s v="South"/>
    <s v="PO2_South1"/>
    <s v="An Giang"/>
    <s v="Kiên Giang"/>
    <s v="KGPQ22"/>
    <x v="21"/>
    <s v="Swap"/>
    <s v="Dual-band"/>
    <n v="3"/>
    <s v="New"/>
    <s v="PS mới 5G C"/>
    <n v="103.971"/>
    <n v="10.270200000000001"/>
    <s v="Phu Quoc"/>
    <n v="0"/>
    <s v="Swap_L18 + L21 + NR 2.6 32T"/>
    <s v="Outdoor"/>
    <s v="Swap_0"/>
    <n v="47601"/>
    <x v="11"/>
    <m/>
    <e v="#N/A"/>
    <s v="Macro"/>
    <x v="2"/>
    <n v="1"/>
  </r>
  <r>
    <s v="South"/>
    <s v="PO2_South1"/>
    <s v="An Giang"/>
    <s v="Kiên Giang"/>
    <s v="KGPQ23"/>
    <x v="22"/>
    <s v="Swap"/>
    <s v="Dual-band"/>
    <n v="3"/>
    <s v="New"/>
    <s v="PS mới 5G C"/>
    <n v="103.93674"/>
    <n v="10.31268"/>
    <s v="Phu Quoc"/>
    <n v="0"/>
    <s v="Swap_L18 + L21 + NR 2.6 32T"/>
    <s v="Outdoor"/>
    <s v="Swap_0"/>
    <n v="47601"/>
    <x v="4"/>
    <m/>
    <e v="#N/A"/>
    <s v="Macro"/>
    <x v="2"/>
    <n v="1"/>
  </r>
  <r>
    <s v="South"/>
    <s v="PO2_South1"/>
    <s v="An Giang"/>
    <s v="Kiên Giang"/>
    <s v="KGPQ24"/>
    <x v="23"/>
    <s v="Swap"/>
    <s v="Dual-band"/>
    <n v="4"/>
    <s v="New"/>
    <s v="PS mới 5G C"/>
    <n v="103.96583"/>
    <n v="10.328849999999999"/>
    <s v="Phu Quoc"/>
    <n v="0"/>
    <s v="Swap_L18 + L21 + NR 2.6 32T"/>
    <s v="Outdoor"/>
    <s v="Swap_0"/>
    <n v="47601"/>
    <x v="9"/>
    <m/>
    <e v="#N/A"/>
    <s v="Macro"/>
    <x v="0"/>
    <n v="2"/>
  </r>
  <r>
    <s v="South"/>
    <s v="PO2_South1"/>
    <s v="An Giang"/>
    <s v="Kiên Giang"/>
    <s v="KGPQY1"/>
    <x v="23"/>
    <s v="Swap"/>
    <s v="Single-Band"/>
    <n v="3"/>
    <m/>
    <m/>
    <n v="103.99120000000001"/>
    <n v="10.36393"/>
    <s v="Phu Quoc"/>
    <n v="0"/>
    <s v="Swap_L18"/>
    <s v="Outdoor"/>
    <s v="Swap_0"/>
    <n v="47601"/>
    <x v="9"/>
    <m/>
    <e v="#N/A"/>
    <s v="CRAN"/>
    <x v="1"/>
    <n v="2"/>
  </r>
  <r>
    <s v="South"/>
    <s v="PO2_South1"/>
    <s v="An Giang"/>
    <s v="Kiên Giang"/>
    <s v="KGPQ25"/>
    <x v="24"/>
    <s v="Swap"/>
    <s v="Dual-band"/>
    <n v="3"/>
    <s v="New"/>
    <s v="PS mới 5G C"/>
    <n v="103.95469"/>
    <n v="10.25562"/>
    <s v="Phu Quoc"/>
    <n v="0"/>
    <s v="Swap_L18 + L21 + NR 2.6 32T"/>
    <s v="Outdoor"/>
    <s v="Swap_0"/>
    <n v="47601"/>
    <x v="11"/>
    <m/>
    <e v="#N/A"/>
    <s v="Macro"/>
    <x v="0"/>
    <n v="2"/>
  </r>
  <r>
    <s v="South"/>
    <s v="PO2_South1"/>
    <s v="An Giang"/>
    <s v="Kiên Giang"/>
    <s v="KGPQZ5"/>
    <x v="24"/>
    <s v="Swap"/>
    <s v="Single-Band"/>
    <n v="3"/>
    <m/>
    <m/>
    <n v="103.951138"/>
    <n v="10.244529999999999"/>
    <s v="Phu Quoc"/>
    <n v="0"/>
    <s v="Swap_L18"/>
    <s v="Outdoor"/>
    <s v="Swap_0"/>
    <n v="47601"/>
    <x v="11"/>
    <m/>
    <e v="#N/A"/>
    <s v="CRAN"/>
    <x v="1"/>
    <n v="2"/>
  </r>
  <r>
    <s v="South"/>
    <s v="PO2_South1"/>
    <s v="An Giang"/>
    <s v="Kiên Giang"/>
    <s v="KGPQ26"/>
    <x v="25"/>
    <s v="Swap"/>
    <s v="Dual-band"/>
    <n v="3"/>
    <s v="New"/>
    <s v="PS mới 5G C"/>
    <n v="103.9691"/>
    <n v="10.1945"/>
    <s v="Phu Quoc"/>
    <n v="0"/>
    <s v="Swap_L18 + L21 + NR 2.6 32T"/>
    <s v="Outdoor"/>
    <s v="Swap_0"/>
    <n v="47601"/>
    <x v="10"/>
    <m/>
    <e v="#N/A"/>
    <s v="Macro"/>
    <x v="0"/>
    <n v="2"/>
  </r>
  <r>
    <s v="South"/>
    <s v="PO2_South1"/>
    <s v="An Giang"/>
    <s v="Kiên Giang"/>
    <s v="KGPQZ4"/>
    <x v="25"/>
    <s v="Swap"/>
    <s v="Dual-band"/>
    <n v="3"/>
    <m/>
    <m/>
    <n v="103.96469999999999"/>
    <n v="10.1953"/>
    <s v="Phu Quoc"/>
    <n v="0"/>
    <s v="Swap_L18 + L21"/>
    <s v="Outdoor"/>
    <s v="Swap_0"/>
    <n v="47601"/>
    <x v="10"/>
    <m/>
    <e v="#N/A"/>
    <s v="CRAN"/>
    <x v="1"/>
    <n v="2"/>
  </r>
  <r>
    <s v="South"/>
    <s v="PO2_South1"/>
    <s v="An Giang"/>
    <s v="Kiên Giang"/>
    <s v="KGPQ27"/>
    <x v="26"/>
    <s v="Swap"/>
    <s v="Dual-band"/>
    <n v="3"/>
    <s v="New"/>
    <s v="PS mới 5G C"/>
    <n v="103.97078"/>
    <n v="10.416869999999999"/>
    <s v="Phu Quoc"/>
    <n v="0"/>
    <s v="Swap_L18 + L21 + NR 2.6 32T"/>
    <s v="Outdoor"/>
    <s v="Swap_0"/>
    <n v="47601"/>
    <x v="9"/>
    <m/>
    <e v="#N/A"/>
    <s v="Macro"/>
    <x v="2"/>
    <n v="1"/>
  </r>
  <r>
    <s v="South"/>
    <s v="PO2_South1"/>
    <s v="An Giang"/>
    <s v="Kiên Giang"/>
    <s v="KGPQ28"/>
    <x v="27"/>
    <s v="Swap"/>
    <s v="Dual-band"/>
    <n v="3"/>
    <s v="New"/>
    <s v="PS mới 5G C"/>
    <n v="103.97874"/>
    <n v="10.294079999999999"/>
    <s v="Phu Quoc"/>
    <n v="0"/>
    <s v="Swap_L18 + L21 + NR 2.6 32T"/>
    <s v="Outdoor"/>
    <s v="Swap_0"/>
    <n v="47601"/>
    <x v="13"/>
    <m/>
    <e v="#N/A"/>
    <s v="Macro"/>
    <x v="2"/>
    <n v="1"/>
  </r>
  <r>
    <s v="South"/>
    <s v="PO2_South1"/>
    <s v="An Giang"/>
    <s v="Kiên Giang"/>
    <s v="KGPQF5"/>
    <x v="28"/>
    <s v="Swap"/>
    <s v="Dual-band"/>
    <n v="3"/>
    <s v="New"/>
    <s v="PS mới 5G C"/>
    <n v="104.000702"/>
    <n v="10.090389999999999"/>
    <s v="Phu Quoc"/>
    <n v="0"/>
    <s v="Swap_L18 + L21 + NR 2.6 32T"/>
    <s v="Outdoor"/>
    <s v="Swap_0"/>
    <n v="47601"/>
    <x v="14"/>
    <m/>
    <e v="#N/A"/>
    <s v="CRAN"/>
    <x v="1"/>
    <n v="3"/>
  </r>
  <r>
    <s v="South"/>
    <s v="PO2_South1"/>
    <s v="An Giang"/>
    <s v="Kiên Giang"/>
    <s v="KGPQY9"/>
    <x v="28"/>
    <s v="Swap"/>
    <s v="Dual-band"/>
    <n v="3"/>
    <s v="New"/>
    <s v="PS mới 5G C"/>
    <n v="104.01406"/>
    <n v="10.089600000000001"/>
    <s v="Phu Quoc"/>
    <n v="0"/>
    <s v="Swap_L18 + L21 + NR 2.6 32T"/>
    <s v="Outdoor"/>
    <s v="Swap_0"/>
    <n v="47601"/>
    <x v="14"/>
    <m/>
    <e v="#N/A"/>
    <s v="CRAN"/>
    <x v="1"/>
    <n v="3"/>
  </r>
  <r>
    <s v="South"/>
    <s v="PO2_South1"/>
    <s v="An Giang"/>
    <s v="Kiên Giang"/>
    <s v="KGPQ29"/>
    <x v="28"/>
    <s v="Swap"/>
    <s v="Dual-band"/>
    <n v="3"/>
    <m/>
    <m/>
    <n v="104.014"/>
    <n v="10.0969"/>
    <s v="Phu Quoc"/>
    <n v="0"/>
    <s v="Swap_L18 + L21 + NR 7 + L9"/>
    <s v="Outdoor"/>
    <s v="Swap_0"/>
    <n v="47601"/>
    <x v="14"/>
    <m/>
    <e v="#N/A"/>
    <s v="Macro"/>
    <x v="0"/>
    <n v="3"/>
  </r>
  <r>
    <s v="South"/>
    <s v="PO2_South1"/>
    <s v="An Giang"/>
    <s v="Kiên Giang"/>
    <s v="KGPQ30"/>
    <x v="29"/>
    <s v="Swap"/>
    <s v="Dual-band"/>
    <n v="3"/>
    <s v="New"/>
    <s v="PS mới 5G C"/>
    <n v="103.9789"/>
    <n v="10.217000000000001"/>
    <s v="Phu Quoc"/>
    <n v="0"/>
    <s v="Swap_L18 + L21 + NR 2.6 32T"/>
    <s v="Outdoor"/>
    <s v="Swap_0"/>
    <n v="47601"/>
    <x v="1"/>
    <m/>
    <e v="#N/A"/>
    <s v="Macro"/>
    <x v="0"/>
    <n v="3"/>
  </r>
  <r>
    <s v="South"/>
    <s v="PO2_South1"/>
    <s v="An Giang"/>
    <s v="Kiên Giang"/>
    <s v="KGPQ97"/>
    <x v="29"/>
    <s v="Swap"/>
    <s v="Dual-band"/>
    <n v="3"/>
    <s v="New"/>
    <s v="PS mới 5G C"/>
    <n v="103.9902556"/>
    <n v="10.2095564"/>
    <s v="Phu Quoc"/>
    <n v="0"/>
    <s v="Swap_L18 + L21 + NR 2.6 32T"/>
    <s v="Outdoor"/>
    <s v="Swap_0"/>
    <n v="47601"/>
    <x v="1"/>
    <m/>
    <e v="#N/A"/>
    <s v="CRAN"/>
    <x v="1"/>
    <n v="3"/>
  </r>
  <r>
    <s v="South"/>
    <s v="PO2_South1"/>
    <s v="An Giang"/>
    <s v="Kiên Giang"/>
    <s v="KGPQA1"/>
    <x v="29"/>
    <s v="Swap"/>
    <s v="Dual-band"/>
    <n v="3"/>
    <s v="New"/>
    <s v="PS mới 5G C"/>
    <n v="103.971495"/>
    <n v="10.219232999999999"/>
    <s v="Phu Quoc"/>
    <n v="0"/>
    <s v="Swap_L18 + L21 + NR 2.6 32T"/>
    <s v="Outdoor"/>
    <s v="Swap_0"/>
    <n v="47601"/>
    <x v="1"/>
    <m/>
    <e v="#N/A"/>
    <s v="CRAN"/>
    <x v="1"/>
    <n v="3"/>
  </r>
  <r>
    <s v="South"/>
    <s v="PO2_South1"/>
    <s v="An Giang"/>
    <s v="Kiên Giang"/>
    <s v="KGPQ31"/>
    <x v="30"/>
    <s v="Swap"/>
    <s v="Dual-band"/>
    <n v="4"/>
    <s v="New"/>
    <s v="PS mới 5G C"/>
    <n v="103.96589400000001"/>
    <n v="10.214093999999999"/>
    <s v="Phu Quoc"/>
    <n v="0"/>
    <s v="Swap_L18 + L21 + NR 2.6 32T"/>
    <s v="Outdoor"/>
    <s v="Swap_0"/>
    <n v="47601"/>
    <x v="1"/>
    <m/>
    <e v="#N/A"/>
    <s v="Macro"/>
    <x v="2"/>
    <n v="1"/>
  </r>
  <r>
    <s v="South"/>
    <s v="PO2_South1"/>
    <s v="An Giang"/>
    <s v="Kiên Giang"/>
    <s v="KGPQ32"/>
    <x v="31"/>
    <s v="Swap"/>
    <s v="Dual-band"/>
    <n v="3"/>
    <s v="New"/>
    <s v="PS mới 5G C"/>
    <n v="103.93758"/>
    <n v="10.27716"/>
    <s v="Phu Quoc"/>
    <n v="0"/>
    <s v="Swap_L18 + L21 + NR 2.6 32T"/>
    <s v="Outdoor"/>
    <s v="Swap_0"/>
    <n v="47601"/>
    <x v="13"/>
    <m/>
    <e v="#N/A"/>
    <s v="Macro"/>
    <x v="0"/>
    <n v="5"/>
  </r>
  <r>
    <s v="South"/>
    <s v="PO2_South1"/>
    <s v="An Giang"/>
    <s v="Kiên Giang"/>
    <s v="KGPQD0"/>
    <x v="31"/>
    <s v="Swap"/>
    <s v="Dual-band"/>
    <n v="3"/>
    <s v="New"/>
    <s v="PS mới 5G C"/>
    <n v="103.92467000000001"/>
    <n v="10.28477"/>
    <s v="Phu Quoc"/>
    <n v="0"/>
    <s v="Swap_L18 + L21 + NR 2.6 32T"/>
    <s v="Outdoor"/>
    <s v="Swap_0"/>
    <n v="47601"/>
    <x v="13"/>
    <m/>
    <e v="#N/A"/>
    <s v="CRAN"/>
    <x v="1"/>
    <n v="5"/>
  </r>
  <r>
    <s v="South"/>
    <s v="PO2_South1"/>
    <s v="An Giang"/>
    <s v="Kiên Giang"/>
    <s v="KGPQZ7"/>
    <x v="31"/>
    <s v="Swap"/>
    <s v="Single-Band"/>
    <n v="3"/>
    <m/>
    <m/>
    <n v="103.92288000000001"/>
    <n v="10.28177"/>
    <s v="Phu Quoc"/>
    <n v="0"/>
    <s v="Swap_L18"/>
    <s v="Outdoor"/>
    <s v="Swap_0"/>
    <n v="47601"/>
    <x v="13"/>
    <m/>
    <e v="#N/A"/>
    <s v="CRAN"/>
    <x v="1"/>
    <n v="5"/>
  </r>
  <r>
    <s v="South"/>
    <s v="PO2_South1"/>
    <s v="An Giang"/>
    <s v="Kiên Giang"/>
    <s v="KGPQ79"/>
    <x v="31"/>
    <s v="Swap"/>
    <s v="Dual-band"/>
    <n v="3"/>
    <m/>
    <m/>
    <n v="103.9532"/>
    <n v="10.289249999999999"/>
    <s v="Phu Quoc"/>
    <n v="0"/>
    <s v="Swap_L18 + L21 + NR 7 + L9"/>
    <s v="Outdoor"/>
    <s v="Swap_0"/>
    <n v="47601"/>
    <x v="13"/>
    <m/>
    <e v="#N/A"/>
    <s v="CRAN"/>
    <x v="1"/>
    <n v="5"/>
  </r>
  <r>
    <s v="South"/>
    <s v="PO2_South1"/>
    <s v="An Giang"/>
    <s v="Kiên Giang"/>
    <s v="KGPQY6"/>
    <x v="31"/>
    <s v="Swap"/>
    <s v="Dual-band"/>
    <n v="3"/>
    <m/>
    <m/>
    <n v="103.9284"/>
    <n v="10.28797"/>
    <s v="Phu Quoc"/>
    <n v="0"/>
    <s v="Swap_L18 + L21 + NR 7 + L9"/>
    <s v="Outdoor"/>
    <s v="Swap_0"/>
    <n v="47601"/>
    <x v="13"/>
    <m/>
    <e v="#N/A"/>
    <s v="CRAN"/>
    <x v="1"/>
    <n v="5"/>
  </r>
  <r>
    <s v="South"/>
    <s v="PO2_South1"/>
    <s v="An Giang"/>
    <s v="Kiên Giang"/>
    <s v="KGPQ33"/>
    <x v="32"/>
    <s v="Swap"/>
    <s v="Dual-band"/>
    <n v="4"/>
    <s v="Swap"/>
    <s v="Swap (PS mới 5G C)"/>
    <n v="103.95659999999999"/>
    <n v="10.221"/>
    <s v="Phu Quoc"/>
    <n v="0"/>
    <s v="Swap_L18 + L21 + NR 2.6 64T + NR 3.8"/>
    <s v="Outdoor"/>
    <s v="Swap_0"/>
    <n v="47601"/>
    <x v="0"/>
    <m/>
    <e v="#N/A"/>
    <s v="Macro"/>
    <x v="0"/>
    <n v="4"/>
  </r>
  <r>
    <s v="South"/>
    <s v="PO2_South1"/>
    <s v="An Giang"/>
    <s v="Kiên Giang"/>
    <s v="KGPQ64"/>
    <x v="32"/>
    <s v="Swap"/>
    <s v="Dual-band"/>
    <n v="3"/>
    <s v="New"/>
    <s v="PS mới 5G C"/>
    <n v="103.96924799999999"/>
    <n v="10.224919999999999"/>
    <s v="Phu Quoc"/>
    <n v="0"/>
    <s v="Swap_L18 + L21 + NR 2.6 32T"/>
    <s v="Outdoor"/>
    <s v="Swap_0"/>
    <n v="47601"/>
    <x v="0"/>
    <m/>
    <e v="#N/A"/>
    <s v="CRAN"/>
    <x v="1"/>
    <n v="4"/>
  </r>
  <r>
    <s v="South"/>
    <s v="PO2_South1"/>
    <s v="An Giang"/>
    <s v="Kiên Giang"/>
    <s v="KGPQI4"/>
    <x v="32"/>
    <s v="Swap"/>
    <s v="Dual-band"/>
    <n v="3"/>
    <s v="New"/>
    <s v="PS mới 5G C"/>
    <n v="103.96062000000001"/>
    <n v="10.220392"/>
    <s v="Phu Quoc"/>
    <n v="0"/>
    <s v="Swap_L18 + L21 + NR 2.6 32T"/>
    <s v="Outdoor"/>
    <s v="Swap_0"/>
    <n v="47601"/>
    <x v="0"/>
    <m/>
    <e v="#N/A"/>
    <s v="CRAN"/>
    <x v="1"/>
    <n v="4"/>
  </r>
  <r>
    <s v="South"/>
    <s v="PO2_South1"/>
    <s v="An Giang"/>
    <s v="Kiên Giang"/>
    <s v="KGPQX3"/>
    <x v="32"/>
    <s v="Swap"/>
    <s v="Dual-band"/>
    <n v="3"/>
    <s v="New"/>
    <s v="PS mới 5G C"/>
    <n v="103.96106"/>
    <n v="10.222899999999999"/>
    <s v="Phu Quoc"/>
    <n v="0"/>
    <s v="Swap_L18 + L21 + NR 2.6 32T"/>
    <s v="Outdoor"/>
    <s v="Swap_0"/>
    <n v="47601"/>
    <x v="0"/>
    <m/>
    <e v="#N/A"/>
    <s v="CRAN"/>
    <x v="1"/>
    <n v="4"/>
  </r>
  <r>
    <s v="South"/>
    <s v="PO2_South1"/>
    <s v="An Giang"/>
    <s v="Kiên Giang"/>
    <s v="KGPQ34"/>
    <x v="33"/>
    <s v="Swap"/>
    <s v="Dual-band"/>
    <n v="3"/>
    <s v="New"/>
    <s v="PS mới 5G C"/>
    <n v="103.96947400000001"/>
    <n v="10.183077000000001"/>
    <s v="Phu Quoc"/>
    <n v="0"/>
    <s v="Swap_L18 + L21 + NR 2.6 32T"/>
    <s v="Outdoor"/>
    <s v="Swap_0"/>
    <n v="47601"/>
    <x v="10"/>
    <m/>
    <e v="#N/A"/>
    <s v="Macro"/>
    <x v="0"/>
    <n v="5"/>
  </r>
  <r>
    <s v="South"/>
    <s v="PO2_South1"/>
    <s v="An Giang"/>
    <s v="Kiên Giang"/>
    <s v="KGPQA0"/>
    <x v="33"/>
    <s v="Swap"/>
    <s v="Dual-band"/>
    <n v="3"/>
    <s v="New"/>
    <s v="PS mới 5G C"/>
    <n v="103.97495600000001"/>
    <n v="10.188701"/>
    <s v="Phu Quoc"/>
    <n v="0"/>
    <s v="Swap_L18 + L21 + NR 2.6 32T"/>
    <s v="Outdoor"/>
    <s v="Swap_0"/>
    <n v="47601"/>
    <x v="10"/>
    <m/>
    <e v="#N/A"/>
    <s v="CRAN"/>
    <x v="1"/>
    <n v="5"/>
  </r>
  <r>
    <s v="South"/>
    <s v="PO2_South1"/>
    <s v="An Giang"/>
    <s v="Kiên Giang"/>
    <s v="KGPQB8"/>
    <x v="33"/>
    <s v="Swap"/>
    <s v="Dual-band"/>
    <n v="3"/>
    <s v="New"/>
    <s v="PS mới 5G C"/>
    <n v="103.98641000000001"/>
    <n v="10.179"/>
    <s v="Phu Quoc"/>
    <n v="0"/>
    <s v="Swap_L18 + L21 + NR 2.6 32T"/>
    <s v="Outdoor"/>
    <s v="Swap_0"/>
    <n v="47601"/>
    <x v="10"/>
    <m/>
    <e v="#N/A"/>
    <s v="CRAN"/>
    <x v="1"/>
    <n v="5"/>
  </r>
  <r>
    <s v="South"/>
    <s v="PO2_South1"/>
    <s v="An Giang"/>
    <s v="Kiên Giang"/>
    <s v="KGPQX1"/>
    <x v="33"/>
    <s v="Swap"/>
    <s v="Single-Band"/>
    <n v="3"/>
    <m/>
    <m/>
    <n v="103.967477"/>
    <n v="10.183394"/>
    <s v="Phu Quoc"/>
    <n v="0"/>
    <s v="Swap_L18"/>
    <s v="Outdoor"/>
    <s v="Swap_0"/>
    <n v="47601"/>
    <x v="10"/>
    <m/>
    <e v="#N/A"/>
    <s v="CRAN"/>
    <x v="1"/>
    <n v="5"/>
  </r>
  <r>
    <s v="South"/>
    <s v="PO2_South1"/>
    <s v="An Giang"/>
    <s v="Kiên Giang"/>
    <s v="KGPQB7"/>
    <x v="33"/>
    <s v="Swap"/>
    <s v="Dual-band"/>
    <n v="3"/>
    <m/>
    <m/>
    <n v="104.077856"/>
    <n v="10.356816999999999"/>
    <s v="Phu Quoc"/>
    <n v="0"/>
    <s v="Swap_L18 + L21 + NR 7 + L9"/>
    <s v="Outdoor"/>
    <s v="Swap_0"/>
    <n v="47601"/>
    <x v="6"/>
    <m/>
    <e v="#N/A"/>
    <s v="CRAN"/>
    <x v="1"/>
    <n v="5"/>
  </r>
  <r>
    <s v="South"/>
    <s v="PO2_South1"/>
    <s v="An Giang"/>
    <s v="Kiên Giang"/>
    <s v="KGPQ36"/>
    <x v="34"/>
    <s v="Swap"/>
    <s v="Dual-band"/>
    <n v="3"/>
    <s v="New"/>
    <s v="PS mới 5G C"/>
    <n v="103.935"/>
    <n v="10.3582"/>
    <s v="Phu Quoc"/>
    <n v="0"/>
    <s v="Swap_L18 + L21 + NR 2.6 32T"/>
    <s v="Outdoor"/>
    <s v="Swap_0"/>
    <n v="47601"/>
    <x v="9"/>
    <m/>
    <e v="#N/A"/>
    <s v="Macro"/>
    <x v="2"/>
    <n v="1"/>
  </r>
  <r>
    <s v="South"/>
    <s v="PO2_South1"/>
    <s v="An Giang"/>
    <s v="Kiên Giang"/>
    <s v="KGPQ37"/>
    <x v="35"/>
    <s v="Swap"/>
    <s v="Dual-band"/>
    <n v="3"/>
    <s v="New"/>
    <s v="PS mới 5G C"/>
    <n v="104.0784"/>
    <n v="10.309100000000001"/>
    <s v="Phu Quoc"/>
    <n v="0"/>
    <s v="Swap_L18 + L21 + NR 2.6 32T"/>
    <s v="Outdoor"/>
    <s v="Swap_0"/>
    <n v="47601"/>
    <x v="6"/>
    <m/>
    <e v="#N/A"/>
    <s v="Macro"/>
    <x v="2"/>
    <n v="1"/>
  </r>
  <r>
    <s v="South"/>
    <s v="PO2_South1"/>
    <s v="An Giang"/>
    <s v="Kiên Giang"/>
    <s v="KGPQ38"/>
    <x v="36"/>
    <s v="Swap"/>
    <s v="Dual-band"/>
    <n v="4"/>
    <s v="New"/>
    <s v="PS mới 5G C"/>
    <n v="103.9901"/>
    <n v="10.071199999999999"/>
    <s v="Phu Quoc"/>
    <n v="0"/>
    <s v="Swap_L18 + L21 + NR 2.6 32T"/>
    <s v="Outdoor"/>
    <s v="Swap_0"/>
    <n v="47601"/>
    <x v="14"/>
    <m/>
    <e v="#N/A"/>
    <s v="Macro"/>
    <x v="2"/>
    <n v="1"/>
  </r>
  <r>
    <s v="South"/>
    <s v="PO2_South1"/>
    <s v="An Giang"/>
    <s v="Kiên Giang"/>
    <s v="KGPQ39"/>
    <x v="37"/>
    <s v="Swap"/>
    <s v="Dual-band"/>
    <n v="3"/>
    <s v="New"/>
    <s v="PS mới 5G C"/>
    <n v="104.02970000000001"/>
    <n v="10.05739"/>
    <s v="Phu Quoc"/>
    <n v="0"/>
    <s v="Swap_L18 + L21 + NR 2.6 32T"/>
    <s v="Outdoor"/>
    <s v="Swap_0"/>
    <n v="47601"/>
    <x v="8"/>
    <m/>
    <e v="#N/A"/>
    <s v="Macro"/>
    <x v="0"/>
    <n v="3"/>
  </r>
  <r>
    <s v="South"/>
    <s v="PO2_South1"/>
    <s v="An Giang"/>
    <s v="Kiên Giang"/>
    <s v="KGPQD3"/>
    <x v="37"/>
    <s v="Swap"/>
    <s v="Dual-band"/>
    <n v="4"/>
    <s v="New"/>
    <s v="PS mới 5G C"/>
    <n v="104.02961000000001"/>
    <n v="10.068820000000001"/>
    <s v="Phu Quoc"/>
    <n v="0"/>
    <s v="Swap_L18 + L21 + NR 2.6 32T"/>
    <s v="Outdoor"/>
    <s v="Swap_0"/>
    <n v="47601"/>
    <x v="8"/>
    <m/>
    <e v="#N/A"/>
    <s v="CRAN"/>
    <x v="1"/>
    <n v="3"/>
  </r>
  <r>
    <s v="South"/>
    <s v="PO2_South1"/>
    <s v="An Giang"/>
    <s v="Kiên Giang"/>
    <s v="KGPQC9"/>
    <x v="37"/>
    <s v="Swap"/>
    <s v="Dual-band"/>
    <n v="3"/>
    <m/>
    <m/>
    <n v="104.034926"/>
    <n v="10.056708"/>
    <s v="PhúQuốc"/>
    <n v="0"/>
    <s v="Swap 4G Only"/>
    <m/>
    <m/>
    <n v="47601"/>
    <x v="8"/>
    <m/>
    <e v="#N/A"/>
    <s v="CRAN"/>
    <x v="1"/>
    <n v="3"/>
  </r>
  <r>
    <s v="South"/>
    <s v="PO2_South1"/>
    <s v="An Giang"/>
    <s v="Kiên Giang"/>
    <s v="KGPQ40"/>
    <x v="38"/>
    <s v="Swap"/>
    <s v="Dual-band"/>
    <n v="3"/>
    <s v="New"/>
    <s v="PS mới 5G C"/>
    <n v="104.0757"/>
    <n v="10.371600000000001"/>
    <s v="Phu Quoc"/>
    <n v="0"/>
    <s v="Swap_L18 + L21 + NR 2.6 32T"/>
    <s v="Outdoor"/>
    <s v="Swap_0"/>
    <n v="47601"/>
    <x v="9"/>
    <m/>
    <e v="#N/A"/>
    <s v="Macro"/>
    <x v="2"/>
    <n v="1"/>
  </r>
  <r>
    <s v="South"/>
    <s v="PO2_South1"/>
    <s v="An Giang"/>
    <s v="Kiên Giang"/>
    <s v="KGPQ41"/>
    <x v="39"/>
    <s v="Swap"/>
    <s v="Dual-band"/>
    <n v="3"/>
    <m/>
    <m/>
    <n v="104.07835"/>
    <n v="10.24705"/>
    <s v="Phu Quoc"/>
    <n v="0"/>
    <s v="Swap_L18 + L21"/>
    <s v="Outdoor"/>
    <s v="Swap_0"/>
    <n v="47601"/>
    <x v="6"/>
    <m/>
    <e v="#N/A"/>
    <s v="Macro"/>
    <x v="2"/>
    <n v="1"/>
  </r>
  <r>
    <s v="South"/>
    <s v="PO2_South1"/>
    <s v="An Giang"/>
    <s v="Kiên Giang"/>
    <s v="KGPQ43"/>
    <x v="40"/>
    <s v="Swap"/>
    <s v="Dual-band"/>
    <n v="3"/>
    <s v="New"/>
    <s v="PS mới 5G C"/>
    <n v="104.0258"/>
    <n v="10.244300000000001"/>
    <s v="Phu Quoc"/>
    <n v="0"/>
    <s v="Swap_L18 + L21 + NR 2.6 32T"/>
    <s v="Outdoor"/>
    <s v="Swap_0"/>
    <n v="47601"/>
    <x v="2"/>
    <m/>
    <e v="#N/A"/>
    <s v="Macro"/>
    <x v="2"/>
    <n v="1"/>
  </r>
  <r>
    <s v="South"/>
    <s v="PO2_South1"/>
    <s v="An Giang"/>
    <s v="Kiên Giang"/>
    <s v="KGPQ44"/>
    <x v="41"/>
    <s v="Swap"/>
    <s v="Dual-band"/>
    <n v="3"/>
    <s v="New"/>
    <s v="PS mới 5G C"/>
    <n v="103.998346"/>
    <n v="10.184316000000001"/>
    <s v="Phu Quoc"/>
    <n v="0"/>
    <s v="Swap_L18 + L21 + NR 2.6 32T"/>
    <s v="Outdoor"/>
    <s v="Swap_0"/>
    <n v="47601"/>
    <x v="10"/>
    <m/>
    <e v="#N/A"/>
    <s v="Macro"/>
    <x v="2"/>
    <n v="1"/>
  </r>
  <r>
    <s v="South"/>
    <s v="PO2_South1"/>
    <s v="An Giang"/>
    <s v="Kiên Giang"/>
    <s v="KGPQ45"/>
    <x v="42"/>
    <s v="Swap"/>
    <s v="Dual-band"/>
    <n v="4"/>
    <s v="New"/>
    <s v="PS mới 5G C"/>
    <n v="104.0072"/>
    <n v="10.03412"/>
    <s v="Phu Quoc"/>
    <n v="0"/>
    <s v="Swap_L18 + L21 + NR 2.6 32T"/>
    <s v="Outdoor"/>
    <s v="Swap_0"/>
    <n v="47601"/>
    <x v="8"/>
    <m/>
    <e v="#N/A"/>
    <s v="Macro"/>
    <x v="0"/>
    <n v="3"/>
  </r>
  <r>
    <s v="South"/>
    <s v="PO2_South1"/>
    <s v="An Giang"/>
    <s v="Kiên Giang"/>
    <s v="KGPQI6"/>
    <x v="42"/>
    <s v="Swap"/>
    <s v="Single-Band"/>
    <n v="3"/>
    <m/>
    <m/>
    <n v="104.006539"/>
    <n v="10.038486000000001"/>
    <s v="Phu Quoc"/>
    <n v="0"/>
    <s v="Swap_L18"/>
    <s v="Indoor"/>
    <s v="Swap_0"/>
    <n v="47601"/>
    <x v="8"/>
    <m/>
    <e v="#N/A"/>
    <s v="IBC"/>
    <x v="1"/>
    <n v="3"/>
  </r>
  <r>
    <s v="South"/>
    <s v="PO2_South1"/>
    <s v="An Giang"/>
    <s v="Kiên Giang"/>
    <s v="KGPQL3"/>
    <x v="42"/>
    <s v="Swap"/>
    <s v="Single-Band"/>
    <n v="3"/>
    <m/>
    <m/>
    <n v="104.002674"/>
    <n v="10.035204999999999"/>
    <s v="Phu Quoc"/>
    <n v="0"/>
    <s v="Swap_L18"/>
    <s v="Outdoor"/>
    <s v="Swap_0"/>
    <n v="47601"/>
    <x v="8"/>
    <m/>
    <e v="#N/A"/>
    <s v="CRAN"/>
    <x v="1"/>
    <n v="3"/>
  </r>
  <r>
    <s v="South"/>
    <s v="PO2_South1"/>
    <s v="An Giang"/>
    <s v="Kiên Giang"/>
    <s v="KGPQA8"/>
    <x v="43"/>
    <s v="Swap"/>
    <s v="Dual-band"/>
    <n v="3"/>
    <m/>
    <m/>
    <n v="104.0733"/>
    <n v="10.22725"/>
    <s v="Phu Quoc"/>
    <n v="0"/>
    <s v="Swap_L18 + L21"/>
    <s v="Outdoor"/>
    <s v="Swap_0"/>
    <n v="47601"/>
    <x v="6"/>
    <m/>
    <e v="#N/A"/>
    <s v="CRAN"/>
    <x v="1"/>
    <n v="3"/>
  </r>
  <r>
    <s v="South"/>
    <s v="PO2_South1"/>
    <s v="An Giang"/>
    <s v="Kiên Giang"/>
    <s v="KGPQG5"/>
    <x v="43"/>
    <s v="Swap"/>
    <s v="Dual-band"/>
    <n v="3"/>
    <m/>
    <m/>
    <n v="104.049638"/>
    <n v="10.191049"/>
    <s v="Phu Quoc"/>
    <n v="0"/>
    <s v="Swap_L18 + L21"/>
    <s v="Outdoor"/>
    <s v="Swap_0"/>
    <n v="47601"/>
    <x v="6"/>
    <m/>
    <e v="#N/A"/>
    <s v="CRAN"/>
    <x v="1"/>
    <n v="3"/>
  </r>
  <r>
    <s v="South"/>
    <s v="PO2_South1"/>
    <s v="An Giang"/>
    <s v="Kiên Giang"/>
    <s v="KGPQ46"/>
    <x v="43"/>
    <s v="Swap"/>
    <s v="Dual-band"/>
    <n v="4"/>
    <m/>
    <m/>
    <n v="104.05383"/>
    <n v="10.21035"/>
    <s v="Phu Quoc"/>
    <n v="0"/>
    <s v="Swap_L18 + L21 + NR 7 + L9"/>
    <s v="Outdoor"/>
    <s v="Swap_0"/>
    <n v="47601"/>
    <x v="6"/>
    <m/>
    <e v="#N/A"/>
    <s v="Macro"/>
    <x v="0"/>
    <n v="3"/>
  </r>
  <r>
    <s v="South"/>
    <s v="PO2_South1"/>
    <s v="An Giang"/>
    <s v="Kiên Giang"/>
    <s v="KGPQ47"/>
    <x v="44"/>
    <s v="Swap"/>
    <s v="Dual-band"/>
    <n v="4"/>
    <s v="New"/>
    <s v="PS mới 5G C"/>
    <n v="103.99084999999999"/>
    <n v="10.23368"/>
    <s v="Phu Quoc"/>
    <n v="0"/>
    <s v="Swap_L18 + L21 + NR 2.6 32T"/>
    <s v="Outdoor"/>
    <s v="Swap_0"/>
    <n v="47601"/>
    <x v="2"/>
    <m/>
    <e v="#N/A"/>
    <s v="Macro"/>
    <x v="0"/>
    <n v="3"/>
  </r>
  <r>
    <s v="South"/>
    <s v="PO2_South1"/>
    <s v="An Giang"/>
    <s v="Kiên Giang"/>
    <s v="KGPQ83"/>
    <x v="44"/>
    <s v="Swap"/>
    <s v="Dual-band"/>
    <n v="3"/>
    <s v="New"/>
    <s v="PS mới 5G C"/>
    <n v="103.98260000000001"/>
    <n v="10.231109999999999"/>
    <s v="Phu Quoc"/>
    <n v="0"/>
    <s v="Swap_L18 + L21 + NR 2.6 32T"/>
    <s v="Outdoor"/>
    <s v="Swap_0"/>
    <n v="47601"/>
    <x v="2"/>
    <m/>
    <e v="#N/A"/>
    <s v="CRAN"/>
    <x v="1"/>
    <n v="3"/>
  </r>
  <r>
    <s v="South"/>
    <s v="PO2_South1"/>
    <s v="An Giang"/>
    <s v="Kiên Giang"/>
    <s v="KGPQY4"/>
    <x v="44"/>
    <s v="Swap"/>
    <s v="Dual-band"/>
    <n v="3"/>
    <s v="New"/>
    <s v="PS mới 5G B"/>
    <n v="104.00125"/>
    <n v="10.23494"/>
    <s v="Phu Quoc"/>
    <n v="0"/>
    <s v="Swap_L18 + L21 + NR 2.6 32T"/>
    <s v="Outdoor"/>
    <s v="Swap_0"/>
    <n v="47601"/>
    <x v="2"/>
    <m/>
    <e v="#N/A"/>
    <s v="CRAN"/>
    <x v="1"/>
    <n v="3"/>
  </r>
  <r>
    <s v="South"/>
    <s v="PO2_South1"/>
    <s v="An Giang"/>
    <s v="Kiên Giang"/>
    <s v="KGPQ48"/>
    <x v="45"/>
    <s v="Swap"/>
    <s v="Dual-band"/>
    <n v="4"/>
    <s v="New"/>
    <s v="PS mới 5G C"/>
    <n v="103.96522"/>
    <n v="10.22944"/>
    <s v="Phu Quoc"/>
    <n v="0"/>
    <s v="Swap_L18 + L21 + NR 2.6 32T"/>
    <s v="Outdoor"/>
    <s v="Swap_0"/>
    <n v="47601"/>
    <x v="0"/>
    <m/>
    <e v="#N/A"/>
    <s v="Macro"/>
    <x v="0"/>
    <n v="4"/>
  </r>
  <r>
    <s v="South"/>
    <s v="PO2_South1"/>
    <s v="An Giang"/>
    <s v="Kiên Giang"/>
    <s v="KGPQ82"/>
    <x v="45"/>
    <s v="Swap"/>
    <s v="Dual-band"/>
    <n v="3"/>
    <s v="New"/>
    <s v="PS mới 5G C"/>
    <n v="103.96254"/>
    <n v="10.238723999999999"/>
    <s v="Phu Quoc"/>
    <n v="0"/>
    <s v="Swap_L18 + L21 + NR 2.6 32T"/>
    <s v="Outdoor"/>
    <s v="Swap_0"/>
    <n v="47601"/>
    <x v="0"/>
    <m/>
    <e v="#N/A"/>
    <s v="CRAN"/>
    <x v="1"/>
    <n v="4"/>
  </r>
  <r>
    <s v="South"/>
    <s v="PO2_South1"/>
    <s v="An Giang"/>
    <s v="Kiên Giang"/>
    <s v="KGPQ96"/>
    <x v="45"/>
    <s v="Swap"/>
    <s v="Dual-band"/>
    <n v="3"/>
    <s v="New"/>
    <s v="PS mới 5G C"/>
    <n v="103.95629"/>
    <n v="10.227679999999999"/>
    <s v="Phu Quoc"/>
    <n v="0"/>
    <s v="Swap_L18 + L21 + NR 2.6 32T"/>
    <s v="Outdoor"/>
    <s v="Swap_0"/>
    <n v="47601"/>
    <x v="0"/>
    <m/>
    <e v="#N/A"/>
    <s v="CRAN"/>
    <x v="1"/>
    <n v="4"/>
  </r>
  <r>
    <s v="South"/>
    <s v="PO2_South1"/>
    <s v="An Giang"/>
    <s v="Kiên Giang"/>
    <s v="KGPQB3"/>
    <x v="45"/>
    <s v="Swap"/>
    <s v="Dual-band"/>
    <n v="3"/>
    <s v="New"/>
    <s v="PS mới 5G C"/>
    <n v="103.969393"/>
    <n v="10.233188999999999"/>
    <s v="Phu Quoc"/>
    <n v="0"/>
    <s v="Swap_L18 + L21 + NR 2.6 32T"/>
    <s v="Outdoor"/>
    <s v="Swap_0"/>
    <n v="47601"/>
    <x v="0"/>
    <m/>
    <e v="#N/A"/>
    <s v="CRAN"/>
    <x v="1"/>
    <n v="4"/>
  </r>
  <r>
    <s v="South"/>
    <s v="PO2_South1"/>
    <s v="An Giang"/>
    <s v="Kiên Giang"/>
    <s v="KGPQ49"/>
    <x v="46"/>
    <s v="Swap"/>
    <s v="Dual-band"/>
    <n v="3"/>
    <m/>
    <m/>
    <n v="103.938"/>
    <n v="10.2599"/>
    <s v="Phu Quoc"/>
    <n v="0"/>
    <s v="Swap_L18 + L21"/>
    <s v="Outdoor"/>
    <s v="Swap_0"/>
    <n v="47601"/>
    <x v="13"/>
    <m/>
    <e v="#N/A"/>
    <s v="Macro"/>
    <x v="2"/>
    <n v="1"/>
  </r>
  <r>
    <s v="South"/>
    <s v="PO2_South1"/>
    <s v="An Giang"/>
    <s v="Kiên Giang"/>
    <s v="KGPQ50"/>
    <x v="47"/>
    <s v="Swap"/>
    <s v="Dual-band"/>
    <n v="4"/>
    <s v="New"/>
    <s v="PS mới 5G C"/>
    <n v="103.96258"/>
    <n v="10.218299999999999"/>
    <s v="Phu Quoc"/>
    <n v="0"/>
    <s v="Swap_L18 + L21 + NR 2.6 32T"/>
    <s v="Outdoor"/>
    <s v="Swap_0"/>
    <n v="47601"/>
    <x v="0"/>
    <m/>
    <e v="#N/A"/>
    <s v="Macro"/>
    <x v="2"/>
    <n v="1"/>
  </r>
  <r>
    <s v="South"/>
    <s v="PO2_South1"/>
    <s v="An Giang"/>
    <s v="Kiên Giang"/>
    <s v="KGPQ51"/>
    <x v="48"/>
    <s v="Swap"/>
    <s v="Dual-band"/>
    <n v="3"/>
    <s v="New"/>
    <s v="PS mới 5G C"/>
    <n v="104.02032"/>
    <n v="10.036519999999999"/>
    <s v="Phu Quoc"/>
    <n v="0"/>
    <s v="Swap_L18 + L21 + NR 2.6 32T"/>
    <s v="Outdoor"/>
    <s v="Swap_0"/>
    <n v="47601"/>
    <x v="8"/>
    <m/>
    <e v="#N/A"/>
    <s v="Macro"/>
    <x v="0"/>
    <n v="2"/>
  </r>
  <r>
    <s v="South"/>
    <s v="PO2_South1"/>
    <s v="An Giang"/>
    <s v="Kiên Giang"/>
    <s v="KGPQL4"/>
    <x v="48"/>
    <s v="Swap"/>
    <s v="Single-Band"/>
    <n v="4"/>
    <s v="New"/>
    <s v="PS mới 5G C"/>
    <n v="104.02969"/>
    <n v="10.038427"/>
    <s v="Phu Quoc"/>
    <n v="0"/>
    <s v="Swap_L18 + NR 7 + L9"/>
    <s v="Outdoor"/>
    <s v="Swap_0"/>
    <n v="47601"/>
    <x v="3"/>
    <m/>
    <e v="#N/A"/>
    <s v="CRAN"/>
    <x v="1"/>
    <n v="2"/>
  </r>
  <r>
    <s v="South"/>
    <s v="PO2_South1"/>
    <s v="An Giang"/>
    <s v="Kiên Giang"/>
    <s v="KGPQ52"/>
    <x v="49"/>
    <s v="Swap"/>
    <s v="Dual-band"/>
    <n v="4"/>
    <s v="New"/>
    <s v="PS mới 5G C"/>
    <n v="104.017718"/>
    <n v="10.074078999999999"/>
    <s v="Phu Quoc"/>
    <n v="0"/>
    <s v="Swap_L18 + L21 + NR 2.6 32T"/>
    <s v="Outdoor"/>
    <s v="Swap_0"/>
    <n v="47601"/>
    <x v="14"/>
    <m/>
    <e v="#N/A"/>
    <s v="Macro"/>
    <x v="2"/>
    <n v="1"/>
  </r>
  <r>
    <s v="South"/>
    <s v="PO2_South1"/>
    <s v="An Giang"/>
    <s v="Kiên Giang"/>
    <s v="KGPQ53"/>
    <x v="50"/>
    <s v="Swap"/>
    <s v="Dual-band"/>
    <n v="3"/>
    <s v="New"/>
    <s v="PS mới 5G C"/>
    <n v="104.00996000000001"/>
    <n v="10.02088"/>
    <s v="Phu Quoc"/>
    <n v="0"/>
    <s v="Swap_L18 + L21 + NR 2.6 32T"/>
    <s v="Outdoor"/>
    <s v="Swap_0"/>
    <n v="47601"/>
    <x v="3"/>
    <m/>
    <e v="#N/A"/>
    <s v="Macro"/>
    <x v="2"/>
    <n v="1"/>
  </r>
  <r>
    <s v="South"/>
    <s v="PO2_South1"/>
    <s v="An Giang"/>
    <s v="Kiên Giang"/>
    <s v="KGPQ54"/>
    <x v="51"/>
    <s v="Swap"/>
    <s v="Dual-band"/>
    <n v="3"/>
    <s v="New"/>
    <s v="PS mới 5G C"/>
    <n v="103.855265"/>
    <n v="10.330188"/>
    <s v="Phu Quoc"/>
    <n v="0"/>
    <s v="Swap_L18 + L21 + NR 2.6 32T"/>
    <s v="Outdoor"/>
    <s v="Swap_0"/>
    <n v="47601"/>
    <x v="15"/>
    <m/>
    <e v="#N/A"/>
    <s v="Macro"/>
    <x v="2"/>
    <n v="1"/>
  </r>
  <r>
    <s v="South"/>
    <s v="PO2_South1"/>
    <s v="An Giang"/>
    <s v="Kiên Giang"/>
    <s v="KGPQ55"/>
    <x v="52"/>
    <s v="Swap"/>
    <s v="Single-Band"/>
    <n v="3"/>
    <m/>
    <m/>
    <n v="103.85341"/>
    <n v="10.330857"/>
    <s v="Phu Quoc"/>
    <n v="0"/>
    <s v="Swap_L18"/>
    <s v="Indoor"/>
    <s v="Swap_0"/>
    <n v="47601"/>
    <x v="15"/>
    <m/>
    <e v="#N/A"/>
    <s v="IBC"/>
    <x v="2"/>
    <n v="1"/>
  </r>
  <r>
    <s v="South"/>
    <s v="PO2_South1"/>
    <s v="An Giang"/>
    <s v="Kiên Giang"/>
    <s v="KGPQ56"/>
    <x v="53"/>
    <s v="Swap"/>
    <s v="Single-Band"/>
    <n v="3"/>
    <m/>
    <m/>
    <n v="103.85192000000001"/>
    <n v="10.331199"/>
    <s v="Phu Quoc"/>
    <n v="0"/>
    <s v="Swap_L18"/>
    <s v="Outdoor"/>
    <s v="Swap_0"/>
    <n v="47601"/>
    <x v="15"/>
    <m/>
    <e v="#N/A"/>
    <s v="Macro"/>
    <x v="2"/>
    <n v="1"/>
  </r>
  <r>
    <s v="South"/>
    <s v="PO2_South1"/>
    <s v="An Giang"/>
    <s v="Kiên Giang"/>
    <s v="KGPQ58"/>
    <x v="54"/>
    <s v="Swap"/>
    <s v="Dual-band"/>
    <n v="3"/>
    <m/>
    <m/>
    <n v="103.9807"/>
    <n v="10.1288"/>
    <s v="Phu Quoc"/>
    <n v="0"/>
    <s v="Swap_L18 + L21"/>
    <s v="Outdoor"/>
    <s v="Swap_0"/>
    <n v="47601"/>
    <x v="16"/>
    <m/>
    <e v="#N/A"/>
    <s v="Macro + IBC"/>
    <x v="2"/>
    <n v="1"/>
  </r>
  <r>
    <s v="South"/>
    <s v="PO2_South1"/>
    <s v="An Giang"/>
    <s v="Kiên Giang"/>
    <s v="KGPQ61"/>
    <x v="55"/>
    <s v="Swap"/>
    <s v="Single-Band"/>
    <n v="3"/>
    <m/>
    <m/>
    <n v="103.868646"/>
    <n v="10.335936"/>
    <s v="Phu Quoc"/>
    <n v="0"/>
    <s v="Swap_L18"/>
    <s v="Outdoor"/>
    <s v="Swap_0"/>
    <n v="47601"/>
    <x v="4"/>
    <m/>
    <e v="#N/A"/>
    <s v="Macro"/>
    <x v="2"/>
    <n v="1"/>
  </r>
  <r>
    <s v="South"/>
    <s v="PO2_South1"/>
    <s v="An Giang"/>
    <s v="Kiên Giang"/>
    <s v="KGPQ62"/>
    <x v="56"/>
    <s v="Swap"/>
    <s v="Dual-band"/>
    <n v="4"/>
    <s v="New"/>
    <s v="PS mới 5G C"/>
    <n v="103.85"/>
    <n v="10.3375"/>
    <s v="Phu Quoc"/>
    <n v="0"/>
    <s v="Swap_L18 + L21 + NR 2.6 32T"/>
    <s v="Outdoor"/>
    <s v="Swap_0"/>
    <n v="47601"/>
    <x v="5"/>
    <m/>
    <e v="#N/A"/>
    <s v="Macro + IBC"/>
    <x v="2"/>
    <n v="1"/>
  </r>
  <r>
    <s v="South"/>
    <s v="PO2_South1"/>
    <s v="An Giang"/>
    <s v="Kiên Giang"/>
    <s v="KGPQ63"/>
    <x v="57"/>
    <s v="Swap"/>
    <s v="Dual-band"/>
    <n v="4"/>
    <s v="New"/>
    <s v="PS mới 5G C"/>
    <n v="104.029579"/>
    <n v="10.032678000000001"/>
    <s v="Phu Quoc"/>
    <n v="0"/>
    <s v="Swap_L18 + L21 + NR 2.6 32T"/>
    <s v="Outdoor"/>
    <s v="Swap_0"/>
    <n v="47601"/>
    <x v="3"/>
    <m/>
    <e v="#N/A"/>
    <s v="Macro + IBC"/>
    <x v="2"/>
    <n v="1"/>
  </r>
  <r>
    <s v="South"/>
    <s v="PO2_South1"/>
    <s v="An Giang"/>
    <s v="Kiên Giang"/>
    <s v="KGPQ35"/>
    <x v="58"/>
    <s v="Swap"/>
    <s v="Dual-band"/>
    <n v="3"/>
    <m/>
    <m/>
    <n v="103.86086"/>
    <n v="10.306710000000001"/>
    <s v="Phu Quoc"/>
    <n v="0"/>
    <s v="Swap_L18 + L21"/>
    <s v="Outdoor"/>
    <s v="Swap_0"/>
    <n v="47601"/>
    <x v="4"/>
    <m/>
    <e v="#N/A"/>
    <s v="CRAN"/>
    <x v="1"/>
    <n v="4"/>
  </r>
  <r>
    <s v="South"/>
    <s v="PO2_South1"/>
    <s v="An Giang"/>
    <s v="Kiên Giang"/>
    <s v="KGPQ59"/>
    <x v="58"/>
    <s v="Swap"/>
    <s v="Dual-band"/>
    <n v="3"/>
    <s v="New"/>
    <s v="PS mới 5G C"/>
    <n v="103.890852"/>
    <n v="10.337451"/>
    <s v="Phu Quoc"/>
    <n v="0"/>
    <s v="Swap_L18 + L21 + NR 2.6 32T"/>
    <s v="Outdoor"/>
    <s v="Swap_0"/>
    <n v="47601"/>
    <x v="4"/>
    <m/>
    <e v="#N/A"/>
    <s v="CRAN"/>
    <x v="1"/>
    <n v="4"/>
  </r>
  <r>
    <s v="South"/>
    <s v="PO2_South1"/>
    <s v="An Giang"/>
    <s v="Kiên Giang"/>
    <s v="KGPQ73"/>
    <x v="58"/>
    <s v="Swap"/>
    <s v="Dual-band"/>
    <n v="4"/>
    <s v="New"/>
    <s v="PS mới 5G C"/>
    <n v="103.88346"/>
    <n v="10.318630000000001"/>
    <s v="Phu Quoc"/>
    <n v="0"/>
    <s v="Swap_L18 + L21 + NR 2.6 32T"/>
    <s v="Outdoor"/>
    <s v="Swap_0"/>
    <n v="47601"/>
    <x v="4"/>
    <m/>
    <e v="#N/A"/>
    <s v="Macro"/>
    <x v="0"/>
    <n v="4"/>
  </r>
  <r>
    <s v="South"/>
    <s v="PO2_South1"/>
    <s v="An Giang"/>
    <s v="Kiên Giang"/>
    <s v="KGPQE6"/>
    <x v="58"/>
    <s v="Swap"/>
    <s v="Dual-band"/>
    <n v="3"/>
    <m/>
    <m/>
    <n v="103.90181"/>
    <n v="10.32156"/>
    <s v="Phu Quoc"/>
    <n v="0"/>
    <s v="Swap_L18 + L21"/>
    <s v="Outdoor"/>
    <s v="Swap_0"/>
    <n v="47601"/>
    <x v="4"/>
    <m/>
    <e v="#N/A"/>
    <s v="CRAN"/>
    <x v="1"/>
    <n v="4"/>
  </r>
  <r>
    <s v="South"/>
    <s v="PO2_South1"/>
    <s v="An Giang"/>
    <s v="Kiên Giang"/>
    <s v="KGPQB5"/>
    <x v="59"/>
    <s v="Swap"/>
    <s v="Dual-band"/>
    <n v="3"/>
    <s v="Swap"/>
    <s v="Swap (PS mới 5G A)"/>
    <n v="103.997913"/>
    <n v="10.157044000000001"/>
    <s v="Phu Quoc"/>
    <n v="0"/>
    <s v="Swap_L18 + L21 + NR 2.6 64T + NR 3.8"/>
    <s v="Outdoor"/>
    <s v="Swap_0"/>
    <n v="47601"/>
    <x v="12"/>
    <m/>
    <e v="#N/A"/>
    <s v="CRAN"/>
    <x v="1"/>
    <n v="3"/>
  </r>
  <r>
    <s v="South"/>
    <s v="PO2_South1"/>
    <s v="An Giang"/>
    <s v="Kiên Giang"/>
    <s v="KGPQ74"/>
    <x v="59"/>
    <s v="Swap"/>
    <s v="Dual-band"/>
    <n v="3"/>
    <s v="New"/>
    <s v="PS mới 5G C"/>
    <n v="104.009832"/>
    <n v="10.158704999999999"/>
    <s v="Phu Quoc"/>
    <n v="0"/>
    <s v="Swap_L18 + L21 + NR 2.6 32T"/>
    <s v="Outdoor"/>
    <s v="Swap_0"/>
    <n v="47601"/>
    <x v="12"/>
    <m/>
    <e v="#N/A"/>
    <s v="Macro"/>
    <x v="0"/>
    <n v="3"/>
  </r>
  <r>
    <s v="South"/>
    <s v="PO2_South1"/>
    <s v="An Giang"/>
    <s v="Kiên Giang"/>
    <s v="KGPQI2"/>
    <x v="59"/>
    <s v="Swap"/>
    <s v="Single-Band"/>
    <n v="3"/>
    <m/>
    <m/>
    <n v="104.021394"/>
    <n v="10.166320000000001"/>
    <s v="Phu Quoc"/>
    <n v="0"/>
    <s v="Swap_L18"/>
    <s v="Outdoor"/>
    <s v="Swap_0"/>
    <n v="47601"/>
    <x v="12"/>
    <m/>
    <e v="#N/A"/>
    <s v="CRAN"/>
    <x v="1"/>
    <n v="3"/>
  </r>
  <r>
    <s v="South"/>
    <s v="PO2_South1"/>
    <s v="An Giang"/>
    <s v="Kiên Giang"/>
    <s v="KGPQ75"/>
    <x v="60"/>
    <s v="Swap"/>
    <s v="Dual-band"/>
    <n v="4"/>
    <s v="New"/>
    <s v="PS mới 5G C"/>
    <n v="104.00170900000001"/>
    <n v="10.255160999999999"/>
    <s v="Phu Quoc"/>
    <n v="0"/>
    <s v="Swap_L18 + L21 + NR 2.6 32T"/>
    <s v="Outdoor"/>
    <s v="Swap_0"/>
    <n v="47601"/>
    <x v="2"/>
    <m/>
    <e v="#N/A"/>
    <s v="Macro"/>
    <x v="2"/>
    <n v="1"/>
  </r>
  <r>
    <s v="South"/>
    <s v="PO2_South1"/>
    <s v="An Giang"/>
    <s v="Kiên Giang"/>
    <s v="KGPQ76"/>
    <x v="61"/>
    <s v="Swap"/>
    <s v="Dual-band"/>
    <n v="4"/>
    <s v="New"/>
    <s v="PS mới 5G C"/>
    <n v="104.01295"/>
    <n v="10.237349"/>
    <s v="Phu Quoc"/>
    <n v="0"/>
    <s v="Swap_L18 + L21 + NR 2.6 32T"/>
    <s v="Outdoor"/>
    <s v="Swap_0"/>
    <n v="47601"/>
    <x v="2"/>
    <m/>
    <e v="#N/A"/>
    <s v="Macro"/>
    <x v="2"/>
    <n v="1"/>
  </r>
  <r>
    <s v="South"/>
    <s v="PO2_South1"/>
    <s v="An Giang"/>
    <s v="Kiên Giang"/>
    <s v="KGPQ77"/>
    <x v="62"/>
    <s v="Swap"/>
    <s v="Dual-band"/>
    <n v="3"/>
    <s v="New"/>
    <s v="PS mới 5G C"/>
    <n v="104.008781"/>
    <n v="10.119643999999999"/>
    <s v="Phu Quoc"/>
    <n v="0"/>
    <s v="Swap_L18 + L21 + NR 2.6 32T"/>
    <s v="Outdoor"/>
    <s v="Swap_0"/>
    <n v="47601"/>
    <x v="12"/>
    <m/>
    <e v="#N/A"/>
    <s v="Macro"/>
    <x v="0"/>
    <n v="3"/>
  </r>
  <r>
    <s v="South"/>
    <s v="PO2_South1"/>
    <s v="An Giang"/>
    <s v="Kiên Giang"/>
    <s v="KGPQ92"/>
    <x v="62"/>
    <s v="Swap"/>
    <s v="Dual-band"/>
    <n v="3"/>
    <s v="New"/>
    <s v="PS mới 5G C"/>
    <n v="103.99773"/>
    <n v="10.107419999999999"/>
    <s v="Phu Quoc"/>
    <n v="0"/>
    <s v="Swap_L18 + L21 + NR 2.6 32T"/>
    <s v="Outdoor"/>
    <s v="Swap_0"/>
    <n v="47601"/>
    <x v="12"/>
    <m/>
    <e v="#N/A"/>
    <s v="CRAN"/>
    <x v="1"/>
    <n v="3"/>
  </r>
  <r>
    <s v="South"/>
    <s v="PO2_South1"/>
    <s v="An Giang"/>
    <s v="Kiên Giang"/>
    <s v="KGPQF7"/>
    <x v="62"/>
    <s v="Swap"/>
    <s v="Dual-band"/>
    <n v="3"/>
    <s v="New"/>
    <s v="PS mới 5G C"/>
    <n v="104.01552599999999"/>
    <n v="10.110225"/>
    <s v="Phu Quoc"/>
    <n v="0"/>
    <s v="Swap_L18 + L21 + NR 2.6 32T"/>
    <s v="Outdoor"/>
    <s v="Swap_0"/>
    <n v="47601"/>
    <x v="12"/>
    <m/>
    <e v="#N/A"/>
    <s v="CRAN"/>
    <x v="1"/>
    <n v="3"/>
  </r>
  <r>
    <s v="South"/>
    <s v="PO2_South1"/>
    <s v="An Giang"/>
    <s v="Kiên Giang"/>
    <s v="KGPQ78"/>
    <x v="63"/>
    <s v="Swap"/>
    <s v="Dual-band"/>
    <n v="4"/>
    <s v="New"/>
    <s v="PS mới 5G C"/>
    <n v="103.92245"/>
    <n v="10.303748000000001"/>
    <s v="Phu Quoc"/>
    <n v="0"/>
    <s v="Swap_L18 + L21 + NR 2.6 32T"/>
    <s v="Outdoor"/>
    <s v="Swap_0"/>
    <n v="47601"/>
    <x v="4"/>
    <m/>
    <e v="#N/A"/>
    <s v="Macro"/>
    <x v="2"/>
    <n v="1"/>
  </r>
  <r>
    <s v="South"/>
    <s v="PO2_South1"/>
    <s v="An Giang"/>
    <s v="Kiên Giang"/>
    <s v="KGPQ80"/>
    <x v="64"/>
    <s v="Swap"/>
    <s v="Dual-band"/>
    <n v="3"/>
    <m/>
    <m/>
    <n v="103.94356999999999"/>
    <n v="10.253911"/>
    <s v="Phu Quoc"/>
    <n v="0"/>
    <s v="Swap_L18 + L21"/>
    <s v="Outdoor"/>
    <s v="Swap_0"/>
    <n v="47601"/>
    <x v="13"/>
    <m/>
    <e v="#N/A"/>
    <s v="Macro"/>
    <x v="2"/>
    <n v="1"/>
  </r>
  <r>
    <s v="South"/>
    <s v="PO2_South1"/>
    <s v="An Giang"/>
    <s v="Kiên Giang"/>
    <s v="KGPQ81"/>
    <x v="65"/>
    <s v="Swap"/>
    <s v="Dual-band"/>
    <n v="3"/>
    <s v="New"/>
    <s v="PS mới 5G C"/>
    <n v="103.97953"/>
    <n v="10.25689"/>
    <s v="Phu Quoc"/>
    <n v="0"/>
    <s v="Swap_L18 + L21 + NR 2.6 32T"/>
    <s v="Outdoor"/>
    <s v="Swap_0"/>
    <n v="47601"/>
    <x v="11"/>
    <m/>
    <e v="#N/A"/>
    <s v="Macro"/>
    <x v="2"/>
    <n v="1"/>
  </r>
  <r>
    <s v="South"/>
    <s v="PO2_South1"/>
    <s v="An Giang"/>
    <s v="Kiên Giang"/>
    <s v="KGPQ84"/>
    <x v="66"/>
    <s v="Swap"/>
    <s v="Dual-band"/>
    <n v="3"/>
    <s v="New"/>
    <s v="PS mới 5G C"/>
    <n v="103.9448"/>
    <n v="10.265029999999999"/>
    <s v="Phu Quoc"/>
    <n v="0"/>
    <s v="Swap_L18 + L21 + NR 2.6 32T"/>
    <s v="Outdoor"/>
    <s v="Swap_0"/>
    <n v="47601"/>
    <x v="13"/>
    <m/>
    <e v="#N/A"/>
    <s v="Macro"/>
    <x v="2"/>
    <n v="1"/>
  </r>
  <r>
    <s v="South"/>
    <s v="PO2_South1"/>
    <s v="An Giang"/>
    <s v="Kiên Giang"/>
    <s v="KGPQ86"/>
    <x v="67"/>
    <s v="Swap"/>
    <s v="Dual-band"/>
    <n v="3"/>
    <s v="Swap"/>
    <s v="Swap (PS mới 5G A)"/>
    <n v="103.84699999999999"/>
    <n v="10.36073"/>
    <s v="Phu Quoc"/>
    <n v="0"/>
    <s v="Swap_L18 + L21 + NR 2.6 64T + NR 3.8"/>
    <s v="Outdoor"/>
    <s v="Swap_0"/>
    <n v="47601"/>
    <x v="5"/>
    <m/>
    <e v="#N/A"/>
    <s v="Macro"/>
    <x v="0"/>
    <n v="3"/>
  </r>
  <r>
    <s v="South"/>
    <s v="PO2_South1"/>
    <s v="An Giang"/>
    <s v="Kiên Giang"/>
    <s v="KGPQ85"/>
    <x v="67"/>
    <s v="Swap"/>
    <s v="Dual-band"/>
    <n v="3"/>
    <s v="New"/>
    <s v="PS mới 5G C"/>
    <n v="103.848125"/>
    <n v="10.344148000000001"/>
    <s v="Phu Quoc"/>
    <n v="0"/>
    <s v="Swap_L18 + L21 + NR 2.6 32T"/>
    <s v="Outdoor"/>
    <s v="Swap_0"/>
    <n v="47601"/>
    <x v="5"/>
    <m/>
    <e v="#N/A"/>
    <s v="CRAN"/>
    <x v="1"/>
    <n v="3"/>
  </r>
  <r>
    <s v="South"/>
    <s v="PO2_South1"/>
    <s v="An Giang"/>
    <s v="Kiên Giang"/>
    <s v="KGPQX6"/>
    <x v="67"/>
    <s v="Swap"/>
    <s v="Dual-band"/>
    <n v="3"/>
    <s v="New"/>
    <s v="PS mới 5G C"/>
    <n v="103.8429"/>
    <n v="10.3591"/>
    <s v="Phu Quoc"/>
    <n v="0"/>
    <s v="Swap_L18 + L21 + NR 2.6 32T"/>
    <s v="Outdoor"/>
    <s v="Swap_0"/>
    <n v="47601"/>
    <x v="5"/>
    <m/>
    <e v="#N/A"/>
    <s v="CRAN"/>
    <x v="1"/>
    <n v="3"/>
  </r>
  <r>
    <s v="South"/>
    <s v="PO2_South1"/>
    <s v="An Giang"/>
    <s v="Kiên Giang"/>
    <s v="KGPQ88"/>
    <x v="68"/>
    <s v="Swap"/>
    <s v="Dual-band"/>
    <n v="3"/>
    <s v="New"/>
    <s v="PS mới 5G C"/>
    <n v="103.97172999999999"/>
    <n v="10.31132"/>
    <s v="Phu Quoc"/>
    <n v="0"/>
    <s v="Swap_L18 + L21 + NR 2.6 32T"/>
    <s v="Outdoor"/>
    <s v="Swap_0"/>
    <n v="47601"/>
    <x v="9"/>
    <m/>
    <e v="#N/A"/>
    <s v="Macro"/>
    <x v="2"/>
    <n v="1"/>
  </r>
  <r>
    <s v="South"/>
    <s v="PO2_South1"/>
    <s v="An Giang"/>
    <s v="Kiên Giang"/>
    <s v="KGPQ89"/>
    <x v="69"/>
    <s v="Swap"/>
    <s v="Dual-band"/>
    <n v="3"/>
    <s v="New"/>
    <s v="PS mới 5G C"/>
    <n v="104.01652"/>
    <n v="10.03299"/>
    <s v="Phu Quoc"/>
    <n v="0"/>
    <s v="Swap_L18 + L21 + NR 2.6 32T"/>
    <s v="Outdoor"/>
    <s v="Swap_0"/>
    <n v="47601"/>
    <x v="8"/>
    <m/>
    <e v="#N/A"/>
    <s v="Macro"/>
    <x v="0"/>
    <n v="2"/>
  </r>
  <r>
    <s v="South"/>
    <s v="PO2_South1"/>
    <s v="An Giang"/>
    <s v="Kiên Giang"/>
    <s v="KGPQC7"/>
    <x v="69"/>
    <s v="Swap"/>
    <s v="Dual-band"/>
    <n v="3"/>
    <s v="New"/>
    <s v="PS mới 5G C"/>
    <n v="104.04947300000001"/>
    <n v="10.007562999999999"/>
    <s v="Phu Quoc"/>
    <n v="0"/>
    <s v="Swap_L18 + L21 + NR 2.6 32T"/>
    <s v="Outdoor"/>
    <s v="Swap_0"/>
    <n v="47601"/>
    <x v="3"/>
    <m/>
    <e v="#N/A"/>
    <s v="CRAN"/>
    <x v="1"/>
    <n v="2"/>
  </r>
  <r>
    <s v="South"/>
    <s v="PO2_South1"/>
    <s v="An Giang"/>
    <s v="Kiên Giang"/>
    <s v="KGPQ93"/>
    <x v="70"/>
    <s v="Swap"/>
    <s v="Dual-band"/>
    <n v="3"/>
    <s v="New"/>
    <s v="PS mới 5G C"/>
    <n v="104.03279000000001"/>
    <n v="10.17563"/>
    <s v="Phu Quoc"/>
    <n v="0"/>
    <s v="Swap_L18 + L21 + NR 2.6 32T"/>
    <s v="Outdoor"/>
    <s v="Swap_0"/>
    <n v="47601"/>
    <x v="6"/>
    <m/>
    <e v="#N/A"/>
    <s v="Macro"/>
    <x v="2"/>
    <n v="1"/>
  </r>
  <r>
    <s v="South"/>
    <s v="PO2_South1"/>
    <s v="An Giang"/>
    <s v="Kiên Giang"/>
    <s v="KGPQ94"/>
    <x v="71"/>
    <s v="Swap"/>
    <s v="Dual-band"/>
    <n v="4"/>
    <s v="New"/>
    <s v="PS mới 5G C"/>
    <n v="104.00391999999999"/>
    <n v="10.056699999999999"/>
    <s v="Phu Quoc"/>
    <n v="0"/>
    <s v="Swap_L18 + L21 + NR 2.6 32T"/>
    <s v="Outdoor"/>
    <s v="Swap_0"/>
    <n v="47601"/>
    <x v="14"/>
    <m/>
    <e v="#N/A"/>
    <s v="Macro"/>
    <x v="0"/>
    <n v="3"/>
  </r>
  <r>
    <s v="South"/>
    <s v="PO2_South1"/>
    <s v="An Giang"/>
    <s v="Kiên Giang"/>
    <s v="KGPQG4"/>
    <x v="71"/>
    <s v="Swap"/>
    <s v="Dual-band"/>
    <n v="3"/>
    <m/>
    <m/>
    <n v="104.009539"/>
    <n v="10.065816"/>
    <s v="Phu Quoc"/>
    <n v="0"/>
    <s v="Swap_L18 + L21"/>
    <s v="Outdoor"/>
    <s v="Swap_0"/>
    <n v="47601"/>
    <x v="14"/>
    <m/>
    <e v="#N/A"/>
    <s v="CRAN"/>
    <x v="1"/>
    <n v="3"/>
  </r>
  <r>
    <s v="South"/>
    <s v="PO2_South1"/>
    <s v="An Giang"/>
    <s v="Kiên Giang"/>
    <s v="KGPQY2"/>
    <x v="71"/>
    <s v="Swap"/>
    <s v="Dual-band"/>
    <n v="3"/>
    <s v="New"/>
    <s v="PS mới 5G C"/>
    <n v="104.00096000000001"/>
    <n v="10.044964999999999"/>
    <s v="Phu Quoc"/>
    <n v="0"/>
    <s v="Swap_L18 + L21 + NR 2.6 32T"/>
    <s v="Outdoor"/>
    <s v="Swap_0"/>
    <n v="47601"/>
    <x v="14"/>
    <m/>
    <e v="#N/A"/>
    <s v="CRAN"/>
    <x v="1"/>
    <n v="3"/>
  </r>
  <r>
    <s v="South"/>
    <s v="PO2_South1"/>
    <s v="An Giang"/>
    <s v="Kiên Giang"/>
    <s v="KGPQ95"/>
    <x v="72"/>
    <s v="Swap"/>
    <s v="Dual-band"/>
    <n v="3"/>
    <s v="New"/>
    <s v="PS mới 5G C"/>
    <n v="103.90572"/>
    <n v="10.307840000000001"/>
    <s v="Phu Quoc"/>
    <n v="0"/>
    <s v="Swap_L18 + L21 + NR 2.6 32T"/>
    <s v="Outdoor"/>
    <s v="Swap_0"/>
    <n v="47601"/>
    <x v="4"/>
    <m/>
    <e v="#N/A"/>
    <s v="Macro"/>
    <x v="2"/>
    <n v="1"/>
  </r>
  <r>
    <s v="South"/>
    <s v="PO2_South1"/>
    <s v="An Giang"/>
    <s v="Kiên Giang"/>
    <s v="KGPQ90"/>
    <x v="73"/>
    <s v="Swap"/>
    <s v="Dual-band"/>
    <n v="3"/>
    <s v="New"/>
    <s v="PS mới 5G C"/>
    <n v="104.02238"/>
    <n v="10.210850000000001"/>
    <s v="Phu Quoc"/>
    <n v="0"/>
    <s v="Swap_L18 + L21 + NR 2.6 32T"/>
    <s v="Outdoor"/>
    <s v="Swap_0"/>
    <n v="47601"/>
    <x v="1"/>
    <m/>
    <e v="#N/A"/>
    <s v="CRAN"/>
    <x v="1"/>
    <n v="2"/>
  </r>
  <r>
    <s v="South"/>
    <s v="PO2_South1"/>
    <s v="An Giang"/>
    <s v="Kiên Giang"/>
    <s v="KGPQ98"/>
    <x v="73"/>
    <s v="Swap"/>
    <s v="Dual-band"/>
    <n v="3"/>
    <s v="New"/>
    <s v="PS mới 5G C"/>
    <n v="103.999363"/>
    <n v="10.210253"/>
    <s v="Phu Quoc"/>
    <n v="0"/>
    <s v="Swap_L18 + L21 + NR 2.6 32T"/>
    <s v="Outdoor"/>
    <s v="Swap_0"/>
    <n v="47601"/>
    <x v="1"/>
    <m/>
    <e v="#N/A"/>
    <s v="Macro"/>
    <x v="0"/>
    <n v="2"/>
  </r>
  <r>
    <s v="South"/>
    <s v="PO2_South1"/>
    <s v="An Giang"/>
    <s v="Kiên Giang"/>
    <s v="KGPQ42"/>
    <x v="74"/>
    <s v="Swap"/>
    <s v="Dual-band"/>
    <n v="3"/>
    <s v="New"/>
    <s v="PS mới 5G C"/>
    <n v="103.976911"/>
    <n v="10.146084999999999"/>
    <s v="Phu Quoc"/>
    <n v="0"/>
    <s v="Swap_L18 + L21 + NR 2.6 32T"/>
    <s v="Outdoor"/>
    <s v="Swap_0"/>
    <n v="47601"/>
    <x v="16"/>
    <m/>
    <e v="#N/A"/>
    <s v="CRAN"/>
    <x v="1"/>
    <n v="3"/>
  </r>
  <r>
    <s v="South"/>
    <s v="PO2_South1"/>
    <s v="An Giang"/>
    <s v="Kiên Giang"/>
    <s v="KGPQ99"/>
    <x v="74"/>
    <s v="Swap"/>
    <s v="Dual-band"/>
    <n v="3"/>
    <s v="New"/>
    <s v="PS mới 5G C"/>
    <n v="103.98845"/>
    <n v="10.137214"/>
    <s v="Phu Quoc"/>
    <n v="0"/>
    <s v="Swap_L18 + L21 + NR 2.6 32T"/>
    <s v="Outdoor"/>
    <s v="Swap_0"/>
    <n v="47601"/>
    <x v="16"/>
    <m/>
    <e v="#N/A"/>
    <s v="Macro"/>
    <x v="0"/>
    <n v="3"/>
  </r>
  <r>
    <s v="South"/>
    <s v="PO2_South1"/>
    <s v="An Giang"/>
    <s v="Kiên Giang"/>
    <s v="KGPQI3"/>
    <x v="74"/>
    <s v="Swap"/>
    <s v="Dual-band"/>
    <n v="3"/>
    <s v="New"/>
    <s v="PS mới 5G C"/>
    <n v="103.97978999999999"/>
    <n v="10.13456"/>
    <s v="Phu Quoc"/>
    <n v="0"/>
    <s v="Swap_L18 + L21 + NR 2.6 32T"/>
    <s v="Outdoor"/>
    <s v="Swap_0"/>
    <n v="47601"/>
    <x v="16"/>
    <m/>
    <e v="#N/A"/>
    <s v="CRAN"/>
    <x v="1"/>
    <n v="3"/>
  </r>
  <r>
    <s v="South"/>
    <s v="PO2_South1"/>
    <s v="An Giang"/>
    <s v="Kiên Giang"/>
    <s v="KGPQA2"/>
    <x v="75"/>
    <s v="Swap"/>
    <s v="Dual-band"/>
    <n v="3"/>
    <s v="New"/>
    <s v="PS mới 5G C"/>
    <n v="103.977126"/>
    <n v="10.162352"/>
    <s v="Phu Quoc"/>
    <n v="0"/>
    <s v="Swap_L18 + L21 + NR 2.6 32T"/>
    <s v="Outdoor"/>
    <s v="Swap_0"/>
    <n v="47601"/>
    <x v="16"/>
    <m/>
    <e v="#N/A"/>
    <s v="Macro"/>
    <x v="0"/>
    <n v="2"/>
  </r>
  <r>
    <s v="South"/>
    <s v="PO2_South1"/>
    <s v="An Giang"/>
    <s v="Kiên Giang"/>
    <s v="KGPQF6"/>
    <x v="75"/>
    <s v="Swap"/>
    <s v="Dual-band"/>
    <n v="3"/>
    <s v="New"/>
    <s v="PS mới 5G C"/>
    <n v="103.981151"/>
    <n v="10.154328"/>
    <s v="Phu Quoc"/>
    <n v="0"/>
    <s v="Swap_L18 + L21 + NR 2.6 32T"/>
    <s v="Outdoor"/>
    <s v="Swap_0"/>
    <n v="47601"/>
    <x v="16"/>
    <m/>
    <e v="#N/A"/>
    <s v="CRAN"/>
    <x v="1"/>
    <n v="2"/>
  </r>
  <r>
    <s v="South"/>
    <s v="PO2_South1"/>
    <s v="An Giang"/>
    <s v="Kiên Giang"/>
    <s v="KGPQA3"/>
    <x v="76"/>
    <s v="Swap"/>
    <s v="Dual-band"/>
    <n v="3"/>
    <s v="New"/>
    <s v="PS mới 5G C"/>
    <n v="103.973491"/>
    <n v="10.176738"/>
    <s v="Phu Quoc"/>
    <n v="0"/>
    <s v="Swap_L18 + L21 + NR 2.6 32T"/>
    <s v="Outdoor"/>
    <s v="Swap_0"/>
    <n v="47601"/>
    <x v="10"/>
    <m/>
    <e v="#N/A"/>
    <s v="Macro"/>
    <x v="2"/>
    <n v="1"/>
  </r>
  <r>
    <s v="South"/>
    <s v="PO2_South1"/>
    <s v="An Giang"/>
    <s v="Kiên Giang"/>
    <s v="KGPQA4"/>
    <x v="77"/>
    <s v="Swap"/>
    <s v="Dual-band"/>
    <n v="4"/>
    <s v="New"/>
    <s v="PS mới 5G C"/>
    <n v="103.9837"/>
    <n v="10.1126"/>
    <s v="Phu Quoc"/>
    <n v="0"/>
    <s v="Swap_L18 + L21 + NR 2.6 32T"/>
    <s v="Outdoor"/>
    <s v="Swap_0"/>
    <n v="47601"/>
    <x v="16"/>
    <m/>
    <e v="#N/A"/>
    <s v="Macro + IBC"/>
    <x v="2"/>
    <n v="1"/>
  </r>
  <r>
    <s v="South"/>
    <s v="PO2_South1"/>
    <s v="An Giang"/>
    <s v="Kiên Giang"/>
    <s v="KGPQA5"/>
    <x v="78"/>
    <s v="Swap"/>
    <s v="Dual-band"/>
    <n v="3"/>
    <s v="New"/>
    <s v="PS mới 5G C"/>
    <n v="103.96650700000001"/>
    <n v="10.190872000000001"/>
    <s v="Phu Quoc"/>
    <n v="0"/>
    <s v="Swap_L18 + L21 + NR 2.6 32T"/>
    <s v="Outdoor"/>
    <s v="Swap_0"/>
    <n v="47601"/>
    <x v="10"/>
    <m/>
    <e v="#N/A"/>
    <s v="Macro"/>
    <x v="2"/>
    <n v="1"/>
  </r>
  <r>
    <s v="South"/>
    <s v="PO2_South1"/>
    <s v="An Giang"/>
    <s v="Kiên Giang"/>
    <s v="KGPQA7"/>
    <x v="79"/>
    <s v="Swap"/>
    <s v="Single-Band"/>
    <n v="4"/>
    <s v="New"/>
    <s v="PS mới 5G C"/>
    <n v="104.0278"/>
    <n v="10.034685"/>
    <s v="Phu Quoc"/>
    <n v="0"/>
    <s v="Swap_L18 + NR 2.6 32T"/>
    <s v="Outdoor"/>
    <s v="Swap_0"/>
    <n v="47601"/>
    <x v="3"/>
    <m/>
    <e v="#N/A"/>
    <s v="Macro + IBC"/>
    <x v="2"/>
    <n v="1"/>
  </r>
  <r>
    <s v="South"/>
    <s v="PO2_South1"/>
    <s v="An Giang"/>
    <s v="Kiên Giang"/>
    <s v="KGPQA9"/>
    <x v="80"/>
    <s v="Swap"/>
    <s v="Dual-band"/>
    <n v="3"/>
    <s v="New"/>
    <s v="PS mới 5G C"/>
    <n v="103.994021"/>
    <n v="10.218045"/>
    <s v="Phu Quoc"/>
    <n v="0"/>
    <s v="Swap_L18 + L21 + NR 2.6 32T"/>
    <s v="Outdoor"/>
    <s v="Swap_0"/>
    <n v="47601"/>
    <x v="1"/>
    <m/>
    <e v="#N/A"/>
    <s v="Macro"/>
    <x v="2"/>
    <n v="1"/>
  </r>
  <r>
    <s v="South"/>
    <s v="PO2_South1"/>
    <s v="An Giang"/>
    <s v="Kiên Giang"/>
    <s v="KGPQB0"/>
    <x v="81"/>
    <s v="Swap"/>
    <s v="Dual-band"/>
    <n v="3"/>
    <m/>
    <m/>
    <n v="104.07210000000001"/>
    <n v="10.275722"/>
    <s v="Phu Quoc"/>
    <n v="0"/>
    <s v="Swap_L18 + L21"/>
    <s v="Outdoor"/>
    <s v="Swap_0"/>
    <n v="47601"/>
    <x v="6"/>
    <m/>
    <e v="#N/A"/>
    <s v="Macro"/>
    <x v="2"/>
    <n v="1"/>
  </r>
  <r>
    <s v="South"/>
    <s v="PO2_South1"/>
    <s v="An Giang"/>
    <s v="Kiên Giang"/>
    <s v="KGPQB1"/>
    <x v="82"/>
    <s v="Swap"/>
    <s v="Dual-band"/>
    <n v="3"/>
    <s v="New"/>
    <s v="PS mới 5G C"/>
    <n v="103.843492"/>
    <n v="10.369407000000001"/>
    <s v="Phu Quoc"/>
    <n v="0"/>
    <s v="Swap_L18 + L21 + NR 2.6 32T"/>
    <s v="Outdoor"/>
    <s v="Swap_0"/>
    <n v="47601"/>
    <x v="5"/>
    <m/>
    <e v="#N/A"/>
    <s v="Macro"/>
    <x v="0"/>
    <n v="2"/>
  </r>
  <r>
    <s v="South"/>
    <s v="PO2_South1"/>
    <s v="An Giang"/>
    <s v="Kiên Giang"/>
    <s v="KGPQE7"/>
    <x v="82"/>
    <s v="Swap"/>
    <s v="Dual-band"/>
    <n v="3"/>
    <s v="New"/>
    <s v="PS mới 5G C"/>
    <n v="103.84862"/>
    <n v="10.368869999999999"/>
    <s v="Phu Quoc"/>
    <n v="0"/>
    <s v="Swap_L18 + L21 + NR 2.6 32T"/>
    <s v="Outdoor"/>
    <s v="Swap_0"/>
    <n v="47601"/>
    <x v="5"/>
    <m/>
    <e v="#N/A"/>
    <s v="CRAN"/>
    <x v="1"/>
    <n v="2"/>
  </r>
  <r>
    <s v="South"/>
    <s v="PO2_South1"/>
    <s v="An Giang"/>
    <s v="Kiên Giang"/>
    <s v="KGPQB2"/>
    <x v="83"/>
    <s v="Swap"/>
    <s v="Dual-band"/>
    <n v="3"/>
    <s v="New"/>
    <s v="PS mới 5G C"/>
    <n v="103.93301200000001"/>
    <n v="10.265097000000001"/>
    <s v="Phu Quoc"/>
    <n v="0"/>
    <s v="Swap_L18 + L21 + NR 2.6 32T"/>
    <s v="Outdoor"/>
    <s v="Swap_0"/>
    <n v="47601"/>
    <x v="13"/>
    <m/>
    <e v="#N/A"/>
    <s v="Macro"/>
    <x v="2"/>
    <n v="1"/>
  </r>
  <r>
    <s v="South"/>
    <s v="PO2_South1"/>
    <s v="An Giang"/>
    <s v="Kiên Giang"/>
    <s v="KGPQB4"/>
    <x v="84"/>
    <s v="Swap"/>
    <s v="Dual-band"/>
    <n v="3"/>
    <m/>
    <m/>
    <n v="103.48511999999999"/>
    <n v="9.3167399999999994"/>
    <s v="Phu Quoc"/>
    <n v="0"/>
    <s v="Swap_L18 + L21"/>
    <s v="Outdoor"/>
    <s v="Swap_0"/>
    <n v="47601"/>
    <x v="7"/>
    <m/>
    <e v="#N/A"/>
    <s v="Macro"/>
    <x v="2"/>
    <n v="1"/>
  </r>
  <r>
    <s v="South"/>
    <s v="PO2_South1"/>
    <s v="An Giang"/>
    <s v="Kiên Giang"/>
    <s v="KGPQB6"/>
    <x v="85"/>
    <s v="Swap"/>
    <s v="Dual-band"/>
    <n v="3"/>
    <s v="New"/>
    <s v="PS mới 5G C"/>
    <n v="104.00706"/>
    <n v="10.132605999999999"/>
    <s v="Phu Quoc"/>
    <n v="0"/>
    <s v="Swap_L18 + L21 + NR 2.6 32T"/>
    <s v="Outdoor"/>
    <s v="Swap_0"/>
    <n v="47601"/>
    <x v="12"/>
    <m/>
    <e v="#N/A"/>
    <s v="Macro"/>
    <x v="2"/>
    <n v="1"/>
  </r>
  <r>
    <s v="South"/>
    <s v="PO2_South1"/>
    <s v="An Giang"/>
    <s v="Kiên Giang"/>
    <s v="KGPQB9"/>
    <x v="86"/>
    <s v="Swap"/>
    <s v="Dual-band"/>
    <n v="3"/>
    <s v="New"/>
    <s v="PS mới 5G C"/>
    <n v="103.96171"/>
    <n v="10.26566"/>
    <s v="Phu Quoc"/>
    <n v="0"/>
    <s v="Swap_L18 + L21 + NR 2.6 32T"/>
    <s v="Outdoor"/>
    <s v="Swap_0"/>
    <n v="47601"/>
    <x v="11"/>
    <m/>
    <e v="#N/A"/>
    <s v="Macro"/>
    <x v="2"/>
    <n v="1"/>
  </r>
  <r>
    <s v="South"/>
    <s v="PO2_South1"/>
    <s v="An Giang"/>
    <s v="Kiên Giang"/>
    <s v="KGPQC1"/>
    <x v="87"/>
    <s v="Swap"/>
    <s v="Dual-band"/>
    <n v="3"/>
    <m/>
    <m/>
    <n v="104.05237099999999"/>
    <n v="10.401153000000001"/>
    <s v="Phu Quoc"/>
    <n v="0"/>
    <s v="Swap_L18 + L21 + NR 7 + L9"/>
    <s v="Outdoor"/>
    <s v="Swap_0"/>
    <n v="47601"/>
    <x v="9"/>
    <m/>
    <e v="#N/A"/>
    <s v="Macro"/>
    <x v="2"/>
    <n v="1"/>
  </r>
  <r>
    <s v="South"/>
    <s v="PO2_South1"/>
    <s v="An Giang"/>
    <s v="Kiên Giang"/>
    <s v="KGPQC4"/>
    <x v="88"/>
    <s v="Swap"/>
    <s v="Dual-band"/>
    <n v="3"/>
    <s v="New"/>
    <s v="PS mới 5G C"/>
    <n v="103.9628"/>
    <n v="10.2094"/>
    <s v="Phu Quoc"/>
    <n v="0"/>
    <s v="Swap_L18 + L21 + NR 2.6 32T"/>
    <s v="Outdoor"/>
    <s v="Swap_0"/>
    <n v="47601"/>
    <x v="1"/>
    <m/>
    <e v="#N/A"/>
    <s v="Macro"/>
    <x v="2"/>
    <n v="1"/>
  </r>
  <r>
    <s v="South"/>
    <s v="PO2_South1"/>
    <s v="An Giang"/>
    <s v="Kiên Giang"/>
    <s v="KGPQC6"/>
    <x v="89"/>
    <s v="Swap"/>
    <s v="Dual-band"/>
    <n v="3"/>
    <m/>
    <m/>
    <n v="104.04244"/>
    <n v="10.01233"/>
    <s v="Phu Quoc"/>
    <n v="0"/>
    <s v="Swap_L18 + L21"/>
    <s v="Outdoor"/>
    <s v="Swap_0"/>
    <n v="47601"/>
    <x v="3"/>
    <m/>
    <e v="#N/A"/>
    <s v="Macro"/>
    <x v="2"/>
    <n v="1"/>
  </r>
  <r>
    <s v="South"/>
    <s v="PO2_South1"/>
    <s v="An Giang"/>
    <s v="Kiên Giang"/>
    <s v="KGPQC8"/>
    <x v="90"/>
    <s v="Swap"/>
    <s v="Dual-band"/>
    <n v="3"/>
    <s v="New"/>
    <s v="PS mới 5G C"/>
    <n v="103.98957"/>
    <n v="10.119120000000001"/>
    <s v="Phu Quoc"/>
    <n v="0"/>
    <s v="Swap_L18 + L21 + NR 2.6 32T"/>
    <s v="Outdoor"/>
    <s v="Swap_0"/>
    <n v="47601"/>
    <x v="16"/>
    <m/>
    <e v="#N/A"/>
    <s v="Macro"/>
    <x v="2"/>
    <n v="1"/>
  </r>
  <r>
    <s v="South"/>
    <s v="PO2_South1"/>
    <s v="An Giang"/>
    <s v="Kiên Giang"/>
    <s v="KGPQD2"/>
    <x v="91"/>
    <s v="Swap"/>
    <s v="Dual-band"/>
    <n v="3"/>
    <s v="New"/>
    <s v="PS mới 5G C"/>
    <n v="104.02327"/>
    <n v="9.9734200000000008"/>
    <s v="Phu Quoc"/>
    <n v="0"/>
    <s v="Swap_L18 + L21 + NR 2.6 32T"/>
    <s v="Outdoor"/>
    <s v="Swap_0"/>
    <n v="47601"/>
    <x v="7"/>
    <m/>
    <e v="#N/A"/>
    <s v="Macro"/>
    <x v="2"/>
    <n v="1"/>
  </r>
  <r>
    <s v="South"/>
    <s v="PO2_South1"/>
    <s v="An Giang"/>
    <s v="Kiên Giang"/>
    <s v="KGPQE1"/>
    <x v="92"/>
    <s v="Swap"/>
    <s v="Single-Band"/>
    <n v="3"/>
    <m/>
    <m/>
    <n v="103.857094"/>
    <n v="10.31672"/>
    <s v="Phu Quoc"/>
    <n v="0"/>
    <s v="Swap_L18"/>
    <s v="Outdoor"/>
    <s v="Swap_0"/>
    <n v="47601"/>
    <x v="15"/>
    <m/>
    <e v="#N/A"/>
    <s v="IBC"/>
    <x v="1"/>
    <n v="2"/>
  </r>
  <r>
    <s v="South"/>
    <s v="PO2_South1"/>
    <s v="An Giang"/>
    <s v="Kiên Giang"/>
    <s v="KGPQF4"/>
    <x v="92"/>
    <s v="Swap"/>
    <s v="Single-Band"/>
    <n v="3"/>
    <m/>
    <m/>
    <n v="103.85717"/>
    <n v="10.31691"/>
    <s v="Phu Quoc"/>
    <n v="0"/>
    <s v="Swap_L18"/>
    <s v="Outdoor"/>
    <s v="Swap_0"/>
    <n v="47601"/>
    <x v="15"/>
    <m/>
    <e v="#N/A"/>
    <s v="CRAN"/>
    <x v="1"/>
    <n v="2"/>
  </r>
  <r>
    <s v="South"/>
    <s v="PO2_South1"/>
    <s v="An Giang"/>
    <s v="Kiên Giang"/>
    <s v="KGPQE2"/>
    <x v="93"/>
    <s v="Swap"/>
    <s v="Single-Band"/>
    <n v="3"/>
    <m/>
    <m/>
    <n v="103.98339"/>
    <n v="10.120150000000001"/>
    <s v="Phu Quoc"/>
    <n v="0"/>
    <s v="Swap_L18"/>
    <s v="Outdoor"/>
    <s v="Swap_0"/>
    <n v="47601"/>
    <x v="16"/>
    <m/>
    <e v="#N/A"/>
    <s v="Macro+IBC"/>
    <x v="0"/>
    <n v="2"/>
  </r>
  <r>
    <s v="South"/>
    <s v="PO2_South1"/>
    <s v="An Giang"/>
    <s v="Kiên Giang"/>
    <s v="KGPQF3"/>
    <x v="93"/>
    <s v="Swap"/>
    <s v="Dual-band"/>
    <n v="3"/>
    <s v="New"/>
    <s v="PS mới 5G C"/>
    <n v="103.98342"/>
    <n v="10.12021"/>
    <s v="Phu Quoc"/>
    <n v="0"/>
    <s v="Swap_L18 + L21 + NR 2.6 32T"/>
    <s v="Outdoor"/>
    <s v="Swap_0"/>
    <n v="47601"/>
    <x v="16"/>
    <m/>
    <e v="#N/A"/>
    <s v="CRAN"/>
    <x v="1"/>
    <n v="2"/>
  </r>
  <r>
    <s v="South"/>
    <s v="PO2_South1"/>
    <s v="An Giang"/>
    <s v="Kiên Giang"/>
    <s v="KGPQE3"/>
    <x v="94"/>
    <s v="Swap"/>
    <s v="Dual-band"/>
    <n v="3"/>
    <s v="Swap"/>
    <s v="Swap (PS mới 5G C)"/>
    <n v="103.85984000000001"/>
    <n v="10.32897"/>
    <s v="Phu Quoc"/>
    <n v="0"/>
    <s v="Swap_L18 + L21 + NR 2.6 64T + NR 3.8"/>
    <s v="Outdoor"/>
    <s v="Swap_0"/>
    <n v="47601"/>
    <x v="15"/>
    <m/>
    <e v="#N/A"/>
    <s v="Macro"/>
    <x v="2"/>
    <n v="1"/>
  </r>
  <r>
    <s v="South"/>
    <s v="PO2_South1"/>
    <s v="An Giang"/>
    <s v="Kiên Giang"/>
    <s v="KGPQE4"/>
    <x v="95"/>
    <s v="Swap"/>
    <s v="Single-Band"/>
    <n v="3"/>
    <s v="Swap"/>
    <s v="Swap (PS mới 5G C)"/>
    <n v="103.85588"/>
    <n v="10.32612"/>
    <s v="Phu Quoc"/>
    <n v="0"/>
    <s v="Swap_L18 + NR 2.6 64T + NR 3.8"/>
    <s v="Outdoor"/>
    <s v="Swap_0"/>
    <n v="47601"/>
    <x v="15"/>
    <m/>
    <e v="#N/A"/>
    <s v="Macro"/>
    <x v="2"/>
    <n v="1"/>
  </r>
  <r>
    <s v="South"/>
    <s v="PO2_South1"/>
    <s v="An Giang"/>
    <s v="Kiên Giang"/>
    <s v="KGPQE5"/>
    <x v="96"/>
    <s v="Swap"/>
    <s v="Single-Band"/>
    <n v="3"/>
    <m/>
    <m/>
    <n v="103.856495"/>
    <n v="10.323233"/>
    <s v="Phu Quoc"/>
    <n v="0"/>
    <s v="Swap_L18"/>
    <s v="Outdoor"/>
    <s v="Swap_0"/>
    <n v="47601"/>
    <x v="15"/>
    <m/>
    <e v="#N/A"/>
    <s v="IBC"/>
    <x v="2"/>
    <n v="1"/>
  </r>
  <r>
    <s v="South"/>
    <s v="PO2_South1"/>
    <s v="An Giang"/>
    <s v="Kiên Giang"/>
    <s v="KGPQE9"/>
    <x v="97"/>
    <s v="Swap"/>
    <s v="Single-Band"/>
    <n v="3"/>
    <m/>
    <m/>
    <n v="103.87848"/>
    <n v="10.3089"/>
    <s v="Phu Quoc"/>
    <n v="0"/>
    <s v="Swap_L18"/>
    <s v="Outdoor"/>
    <s v="Swap_0"/>
    <n v="47601"/>
    <x v="4"/>
    <m/>
    <e v="#N/A"/>
    <s v="Macro"/>
    <x v="2"/>
    <n v="1"/>
  </r>
  <r>
    <s v="South"/>
    <s v="PO2_South1"/>
    <s v="An Giang"/>
    <s v="Kiên Giang"/>
    <s v="KGPQF0"/>
    <x v="98"/>
    <s v="Swap"/>
    <s v="Single-Band"/>
    <n v="3"/>
    <m/>
    <m/>
    <n v="104.02912999999999"/>
    <n v="10.11154"/>
    <s v="Phu Quoc"/>
    <n v="0"/>
    <s v="Swap_L18"/>
    <s v="Outdoor"/>
    <s v="Swap_0"/>
    <n v="47601"/>
    <x v="12"/>
    <m/>
    <e v="#N/A"/>
    <s v="Macro"/>
    <x v="2"/>
    <n v="1"/>
  </r>
  <r>
    <s v="South"/>
    <s v="PO2_South1"/>
    <s v="An Giang"/>
    <s v="Kiên Giang"/>
    <s v="KGPQF1"/>
    <x v="99"/>
    <s v="Swap"/>
    <s v="Dual-band"/>
    <n v="3"/>
    <m/>
    <m/>
    <n v="103.856362"/>
    <n v="10.323297"/>
    <s v="Phu Quoc"/>
    <n v="0"/>
    <s v="Swap_L18 + L21"/>
    <s v="Outdoor"/>
    <s v="Swap_0"/>
    <n v="47601"/>
    <x v="15"/>
    <m/>
    <e v="#N/A"/>
    <s v="Macro"/>
    <x v="2"/>
    <n v="1"/>
  </r>
  <r>
    <s v="South"/>
    <s v="PO2_South1"/>
    <s v="An Giang"/>
    <s v="Kiên Giang"/>
    <s v="KGPQF2"/>
    <x v="100"/>
    <s v="Swap"/>
    <s v="Dual-band"/>
    <n v="3"/>
    <s v="New"/>
    <s v="PS mới 5G C"/>
    <n v="103.858942"/>
    <n v="10.324159999999999"/>
    <s v="Phu Quoc"/>
    <n v="0"/>
    <s v="Swap_L18 + L21 + NR 2.6 32T"/>
    <s v="Outdoor"/>
    <s v="Swap_0"/>
    <n v="47601"/>
    <x v="15"/>
    <m/>
    <e v="#N/A"/>
    <s v="Macro"/>
    <x v="2"/>
    <n v="1"/>
  </r>
  <r>
    <s v="South"/>
    <s v="PO2_South1"/>
    <s v="An Giang"/>
    <s v="Kiên Giang"/>
    <s v="KGPQF9"/>
    <x v="101"/>
    <s v="Swap"/>
    <s v="Single-Band"/>
    <n v="3"/>
    <s v="Swap"/>
    <s v="Swap (PS mới 5G C)"/>
    <n v="103.96665299999999"/>
    <n v="10.222595999999999"/>
    <s v="Phu Quoc"/>
    <n v="0"/>
    <s v="Swap_L18 + L21 + NR 2.6 32T"/>
    <s v="Outdoor"/>
    <s v="Swap_0"/>
    <n v="47601"/>
    <x v="0"/>
    <m/>
    <e v="#N/A"/>
    <s v="Macro"/>
    <x v="2"/>
    <n v="1"/>
  </r>
  <r>
    <s v="South"/>
    <s v="PO2_South1"/>
    <s v="An Giang"/>
    <s v="Kiên Giang"/>
    <s v="KGPQG0"/>
    <x v="102"/>
    <s v="Swap"/>
    <s v="Single-Band"/>
    <n v="3"/>
    <m/>
    <m/>
    <n v="104.00957"/>
    <n v="10.02887"/>
    <s v="Phu Quoc"/>
    <n v="0"/>
    <s v="Swap_L18"/>
    <s v="Indoor"/>
    <s v="Swap_0"/>
    <n v="47601"/>
    <x v="3"/>
    <m/>
    <e v="#N/A"/>
    <s v="IBC"/>
    <x v="2"/>
    <n v="1"/>
  </r>
  <r>
    <s v="South"/>
    <s v="PO2_South1"/>
    <s v="An Giang"/>
    <s v="Kiên Giang"/>
    <s v="KGPQG1"/>
    <x v="103"/>
    <s v="Swap"/>
    <s v="Dual-band"/>
    <n v="3"/>
    <s v="New"/>
    <s v="PS mới 5G C"/>
    <n v="104.00957"/>
    <n v="10.02887"/>
    <s v="Phu Quoc"/>
    <n v="0"/>
    <s v="Swap_L18 + L21 + NR 2.6 32T"/>
    <s v="Outdoor"/>
    <s v="Swap_0"/>
    <n v="47601"/>
    <x v="3"/>
    <m/>
    <e v="#N/A"/>
    <s v="Macro"/>
    <x v="2"/>
    <n v="1"/>
  </r>
  <r>
    <s v="South"/>
    <s v="PO2_South1"/>
    <s v="An Giang"/>
    <s v="Kiên Giang"/>
    <s v="KGPQG2"/>
    <x v="104"/>
    <s v="Swap"/>
    <s v="Single-Band"/>
    <n v="3"/>
    <m/>
    <m/>
    <n v="104.00744"/>
    <n v="10.029339999999999"/>
    <s v="Phu Quoc"/>
    <n v="0"/>
    <s v="Swap_L18"/>
    <s v="Indoor"/>
    <s v="Swap_0"/>
    <n v="47601"/>
    <x v="3"/>
    <m/>
    <e v="#N/A"/>
    <s v="IBC"/>
    <x v="2"/>
    <n v="1"/>
  </r>
  <r>
    <s v="South"/>
    <s v="PO2_South1"/>
    <s v="An Giang"/>
    <s v="Kiên Giang"/>
    <s v="KGPQG6"/>
    <x v="105"/>
    <s v="Swap"/>
    <s v="Dual-band"/>
    <n v="3"/>
    <s v="New"/>
    <s v="PS mới 5G C"/>
    <n v="104.01267"/>
    <n v="10.24977"/>
    <s v="Phu Quoc"/>
    <n v="0"/>
    <s v="Swap_L18 + L21 + NR 2.6 32T"/>
    <s v="Outdoor"/>
    <s v="Swap_0"/>
    <n v="47601"/>
    <x v="2"/>
    <m/>
    <e v="#N/A"/>
    <s v="Macro"/>
    <x v="2"/>
    <n v="1"/>
  </r>
  <r>
    <s v="South"/>
    <s v="PO2_South1"/>
    <s v="An Giang"/>
    <s v="Kiên Giang"/>
    <s v="KGPQG7"/>
    <x v="106"/>
    <s v="Swap"/>
    <s v="Dual-band"/>
    <n v="3"/>
    <s v="New"/>
    <s v="PS mới 5G C"/>
    <n v="104.00830000000001"/>
    <n v="10.046779000000001"/>
    <s v="Phu Quoc"/>
    <n v="0"/>
    <s v="Swap_L18 + L21 + NR 2.6 32T"/>
    <s v="Outdoor"/>
    <s v="Swap_0"/>
    <n v="47601"/>
    <x v="8"/>
    <m/>
    <e v="#N/A"/>
    <s v="Macro"/>
    <x v="2"/>
    <n v="1"/>
  </r>
  <r>
    <s v="South"/>
    <s v="PO2_South1"/>
    <s v="An Giang"/>
    <s v="Kiên Giang"/>
    <s v="KGPQG8"/>
    <x v="107"/>
    <s v="Swap"/>
    <s v="Dual-band"/>
    <n v="3"/>
    <s v="New"/>
    <s v="PS mới 5G C"/>
    <n v="104.01065"/>
    <n v="10.03693"/>
    <s v="Phu Quoc"/>
    <n v="0"/>
    <s v="Swap_L18 + L21 + NR 2.6 32T"/>
    <s v="Outdoor"/>
    <s v="Swap_0"/>
    <n v="47601"/>
    <x v="8"/>
    <m/>
    <e v="#N/A"/>
    <s v="Macro"/>
    <x v="2"/>
    <n v="1"/>
  </r>
  <r>
    <s v="South"/>
    <s v="PO2_South1"/>
    <s v="An Giang"/>
    <s v="Kiên Giang"/>
    <s v="KGPQI5"/>
    <x v="108"/>
    <s v="Swap"/>
    <s v="Dual-band"/>
    <n v="3"/>
    <s v="New"/>
    <s v="PS mới 5G C"/>
    <n v="104.00125"/>
    <n v="10.0749"/>
    <s v="Phu Quoc"/>
    <n v="0"/>
    <s v="Swap_L18 + L21 + NR 2.6 32T"/>
    <s v="Outdoor"/>
    <s v="Swap_0"/>
    <n v="47601"/>
    <x v="14"/>
    <m/>
    <e v="#N/A"/>
    <s v="Macro"/>
    <x v="2"/>
    <n v="1"/>
  </r>
  <r>
    <s v="South"/>
    <s v="PO2_South1"/>
    <s v="An Giang"/>
    <s v="Kiên Giang"/>
    <s v="KGPQJ0"/>
    <x v="109"/>
    <s v="Swap"/>
    <s v="Single-Band"/>
    <n v="3"/>
    <m/>
    <m/>
    <n v="104.014548"/>
    <n v="10.430467"/>
    <s v="Phu Quoc"/>
    <n v="0"/>
    <s v="Swap_L18 + NR 7 + L9"/>
    <s v="Outdoor"/>
    <s v="Swap_0"/>
    <n v="47601"/>
    <x v="9"/>
    <m/>
    <e v="#N/A"/>
    <s v="Macro"/>
    <x v="2"/>
    <n v="1"/>
  </r>
  <r>
    <s v="South"/>
    <s v="PO2_South1"/>
    <s v="An Giang"/>
    <s v="Kiên Giang"/>
    <s v="KGPQJ1"/>
    <x v="110"/>
    <s v="Swap"/>
    <s v="Dual-band"/>
    <n v="3"/>
    <s v="New"/>
    <s v="PS mới 5G C"/>
    <n v="104.000753"/>
    <n v="9.9193560000000005"/>
    <s v="Phu Quoc"/>
    <n v="0"/>
    <s v="Swap_L18 + L21 + NR 2.6 32T"/>
    <s v="Outdoor"/>
    <s v="Swap_0"/>
    <n v="47601"/>
    <x v="7"/>
    <m/>
    <e v="#N/A"/>
    <s v="Macro"/>
    <x v="2"/>
    <n v="1"/>
  </r>
  <r>
    <s v="South"/>
    <s v="PO2_South1"/>
    <s v="An Giang"/>
    <s v="Kiên Giang"/>
    <s v="KGPQJ2"/>
    <x v="111"/>
    <s v="Swap"/>
    <s v="Dual-band"/>
    <n v="3"/>
    <m/>
    <m/>
    <n v="104.00743"/>
    <n v="10.02721"/>
    <s v="PhúQuốc"/>
    <n v="0"/>
    <s v="Swap 4G Only"/>
    <m/>
    <m/>
    <e v="#N/A"/>
    <x v="3"/>
    <m/>
    <e v="#N/A"/>
    <s v="Macro"/>
    <x v="2"/>
    <n v="1"/>
  </r>
  <r>
    <s v="South"/>
    <s v="PO2_South1"/>
    <s v="An Giang"/>
    <s v="Kiên Giang"/>
    <s v="KGPQJ3"/>
    <x v="112"/>
    <s v="Swap"/>
    <s v="Single-Band"/>
    <n v="3"/>
    <m/>
    <m/>
    <n v="104.00266999999999"/>
    <n v="10.035209999999999"/>
    <s v="PhúQuốc"/>
    <n v="0"/>
    <s v="Swap 4G Only"/>
    <m/>
    <m/>
    <e v="#N/A"/>
    <x v="8"/>
    <m/>
    <e v="#N/A"/>
    <s v="Macro"/>
    <x v="2"/>
    <n v="1"/>
  </r>
  <r>
    <s v="South"/>
    <s v="PO2_South1"/>
    <s v="An Giang"/>
    <s v="Kiên Giang"/>
    <s v="KGPQL1"/>
    <x v="113"/>
    <s v="Swap"/>
    <s v="Dual-band"/>
    <n v="3"/>
    <s v="New"/>
    <s v="PS mới 5G C"/>
    <n v="104.007429"/>
    <n v="10.027206"/>
    <s v="Phu Quoc"/>
    <n v="0"/>
    <s v="Swap_L18 + L21 + NR 2.6 32T"/>
    <s v="Outdoor"/>
    <s v="Swap_0"/>
    <n v="47601"/>
    <x v="3"/>
    <m/>
    <e v="#N/A"/>
    <s v="Macro + IBC"/>
    <x v="2"/>
    <n v="1"/>
  </r>
  <r>
    <s v="South"/>
    <s v="PO2_South1"/>
    <s v="An Giang"/>
    <s v="Kiên Giang"/>
    <s v="KGPQL6"/>
    <x v="114"/>
    <s v="Swap"/>
    <s v="Dual-band"/>
    <n v="3"/>
    <s v="New"/>
    <s v="PS mới 5G C"/>
    <n v="103.8642"/>
    <n v="10.326675"/>
    <s v="Phu Quoc"/>
    <n v="0"/>
    <s v="Swap_L18 + L21 + NR 2.6 32T"/>
    <s v="Outdoor"/>
    <s v="Swap_0"/>
    <n v="47601"/>
    <x v="15"/>
    <m/>
    <e v="#N/A"/>
    <s v="Macro"/>
    <x v="2"/>
    <n v="1"/>
  </r>
  <r>
    <s v="South"/>
    <s v="PO2_South1"/>
    <s v="An Giang"/>
    <s v="Kiên Giang"/>
    <s v="KGPQX5"/>
    <x v="115"/>
    <s v="Swap"/>
    <s v="Dual-band"/>
    <n v="3"/>
    <m/>
    <m/>
    <n v="103.8623"/>
    <n v="10.325469999999999"/>
    <s v="Phu Quoc"/>
    <n v="0"/>
    <s v="Swap_L18 + L21 + NR 7 + L9"/>
    <s v="Outdoor"/>
    <s v="Swap_0"/>
    <n v="47601"/>
    <x v="15"/>
    <m/>
    <e v="#N/A"/>
    <s v="Macro"/>
    <x v="2"/>
    <n v="1"/>
  </r>
  <r>
    <s v="South"/>
    <s v="PO2_South1"/>
    <s v="An Giang"/>
    <s v="Kiên Giang"/>
    <s v="KGPQZ3"/>
    <x v="116"/>
    <s v="Swap"/>
    <s v="Dual-band"/>
    <n v="3"/>
    <m/>
    <m/>
    <n v="103.99378"/>
    <n v="10.060402"/>
    <s v="Phu Quoc"/>
    <n v="0"/>
    <s v="Swap_L18 + L21"/>
    <s v="Outdoor"/>
    <s v="Swap_0"/>
    <n v="47601"/>
    <x v="14"/>
    <m/>
    <e v="#N/A"/>
    <s v="Macro"/>
    <x v="2"/>
    <n v="1"/>
  </r>
  <r>
    <s v="South"/>
    <s v="PO2_South1"/>
    <s v="Đồng Tháp"/>
    <s v="Tiền Giang"/>
    <s v="TGCB01"/>
    <x v="117"/>
    <s v="Swap"/>
    <s v="Dual-band"/>
    <n v="4"/>
    <s v="Swap"/>
    <s v="Swap (PS mới 5G A)"/>
    <n v="106.03294"/>
    <n v="10.33548"/>
    <s v="Cai Be"/>
    <n v="0"/>
    <s v="Swap_L18 + L21 + NR 2.6 64T + NR 3.8"/>
    <s v="Outdoor"/>
    <s v="Swap_0"/>
    <n v="48000"/>
    <x v="17"/>
    <m/>
    <e v="#N/A"/>
    <s v="Macro"/>
    <x v="2"/>
    <n v="1"/>
  </r>
  <r>
    <s v="South"/>
    <s v="PO2_South1"/>
    <s v="Đồng Tháp"/>
    <s v="Tiền Giang"/>
    <s v="TGCB02"/>
    <x v="118"/>
    <s v="Swap"/>
    <s v="Dual-band"/>
    <n v="3"/>
    <s v="New"/>
    <s v="PS mới 5G C"/>
    <n v="106.03185740000001"/>
    <n v="10.330155"/>
    <s v="Cai Be"/>
    <n v="0"/>
    <s v="Swap_L18 + L21 + NR 2.6 32T"/>
    <s v="Outdoor"/>
    <s v="Swap_0"/>
    <n v="48000"/>
    <x v="17"/>
    <m/>
    <e v="#N/A"/>
    <s v="Macro"/>
    <x v="0"/>
    <n v="2"/>
  </r>
  <r>
    <s v="South"/>
    <s v="PO2_South1"/>
    <s v="Đồng Tháp"/>
    <s v="Tiền Giang"/>
    <s v="TGCB28"/>
    <x v="118"/>
    <s v="Swap"/>
    <s v="Dual-band"/>
    <n v="3"/>
    <s v="New"/>
    <s v="PS mới 5G C"/>
    <n v="106.01599589999999"/>
    <n v="10.3270254"/>
    <s v="Cai Be"/>
    <n v="0"/>
    <s v="Swap_L18 + L21 + NR 2.6 32T"/>
    <s v="Outdoor"/>
    <s v="Swap_0"/>
    <n v="48000"/>
    <x v="17"/>
    <m/>
    <e v="#N/A"/>
    <s v="CRAN"/>
    <x v="1"/>
    <n v="2"/>
  </r>
  <r>
    <s v="South"/>
    <s v="PO2_South1"/>
    <s v="Đồng Tháp"/>
    <s v="Tiền Giang"/>
    <s v="TGCB03"/>
    <x v="119"/>
    <s v="Swap"/>
    <s v="Dual-band"/>
    <n v="4"/>
    <s v="Swap"/>
    <s v="Swap (PS mới 5G A)"/>
    <n v="106.02031820000001"/>
    <n v="10.365577"/>
    <s v="Cai Be"/>
    <n v="0"/>
    <s v="Swap_L18 + L21 + NR 2.6 64T + NR 3.8"/>
    <s v="Outdoor"/>
    <s v="Swap_0"/>
    <n v="48000"/>
    <x v="17"/>
    <m/>
    <e v="#N/A"/>
    <s v="Macro"/>
    <x v="0"/>
    <n v="2"/>
  </r>
  <r>
    <s v="South"/>
    <s v="PO2_South1"/>
    <s v="Đồng Tháp"/>
    <s v="Tiền Giang"/>
    <s v="TGCB67"/>
    <x v="119"/>
    <s v="Swap"/>
    <s v="Dual-band"/>
    <n v="4"/>
    <s v="New"/>
    <s v="PS mới 5G C"/>
    <n v="105.9997666"/>
    <n v="10.375502900000001"/>
    <s v="Cai Be"/>
    <n v="0"/>
    <s v="Swap_L18 + L21 + NR 2.6 32T"/>
    <s v="Outdoor"/>
    <s v="Swap_0"/>
    <n v="48000"/>
    <x v="17"/>
    <m/>
    <e v="#N/A"/>
    <s v="CRAN"/>
    <x v="1"/>
    <n v="2"/>
  </r>
  <r>
    <s v="South"/>
    <s v="PO2_South1"/>
    <s v="Đồng Tháp"/>
    <s v="Tiền Giang"/>
    <s v="TGCB04"/>
    <x v="120"/>
    <s v="Swap"/>
    <s v="Dual-band"/>
    <n v="4"/>
    <s v="New"/>
    <s v="PS mới 5G C"/>
    <n v="105.8914465"/>
    <n v="10.313942600000001"/>
    <s v="Cai Be"/>
    <n v="0"/>
    <s v="Swap_L18 + L21 + NR 2.6 32T"/>
    <s v="Outdoor"/>
    <s v="Swap_0"/>
    <n v="48000"/>
    <x v="18"/>
    <m/>
    <e v="#N/A"/>
    <s v="Macro"/>
    <x v="0"/>
    <n v="2"/>
  </r>
  <r>
    <s v="South"/>
    <s v="PO2_South1"/>
    <s v="Đồng Tháp"/>
    <s v="Tiền Giang"/>
    <s v="TGCB41"/>
    <x v="120"/>
    <s v="Swap"/>
    <s v="Single-Band"/>
    <n v="3"/>
    <m/>
    <m/>
    <n v="105.91206"/>
    <n v="10.315060000000001"/>
    <s v="Cai Be"/>
    <n v="0"/>
    <s v="Swap_L18"/>
    <s v="Outdoor"/>
    <s v="Swap_0"/>
    <n v="48000"/>
    <x v="18"/>
    <m/>
    <e v="#N/A"/>
    <s v="CRAN"/>
    <x v="1"/>
    <n v="2"/>
  </r>
  <r>
    <s v="South"/>
    <s v="PO2_South1"/>
    <s v="Đồng Tháp"/>
    <s v="Tiền Giang"/>
    <s v="TGCB05"/>
    <x v="121"/>
    <s v="Swap"/>
    <s v="Dual-band"/>
    <n v="4"/>
    <s v="New"/>
    <s v="PS mới 5G C"/>
    <n v="105.90996"/>
    <n v="10.333629999999999"/>
    <s v="Cai Be"/>
    <n v="0"/>
    <s v="Swap_L18 + L21 + NR 2.6 32T"/>
    <s v="Outdoor"/>
    <s v="Swap_0"/>
    <n v="48000"/>
    <x v="18"/>
    <m/>
    <e v="#N/A"/>
    <s v="Macro"/>
    <x v="2"/>
    <n v="1"/>
  </r>
  <r>
    <s v="South"/>
    <s v="PO2_South1"/>
    <s v="Đồng Tháp"/>
    <s v="Tiền Giang"/>
    <s v="TGCB06"/>
    <x v="122"/>
    <s v="Swap"/>
    <s v="Single-Band"/>
    <n v="3"/>
    <s v="New"/>
    <s v="PS mới 5G C"/>
    <n v="105.97443"/>
    <n v="10.44007"/>
    <s v="Cai Be"/>
    <n v="0"/>
    <s v="Swap_L18 + NR 2.6 32T"/>
    <s v="Outdoor"/>
    <s v="Swap_0"/>
    <n v="48000"/>
    <x v="19"/>
    <m/>
    <e v="#N/A"/>
    <s v="Macro"/>
    <x v="2"/>
    <n v="1"/>
  </r>
  <r>
    <s v="South"/>
    <s v="PO2_South1"/>
    <s v="Đồng Tháp"/>
    <s v="Tiền Giang"/>
    <s v="TGCB07"/>
    <x v="123"/>
    <s v="Swap"/>
    <s v="Dual-band"/>
    <n v="4"/>
    <s v="Swap"/>
    <s v="Swap (PS mới 5G B)"/>
    <n v="106.00919039999999"/>
    <n v="10.3972949"/>
    <s v="Cai Be"/>
    <n v="0"/>
    <s v="Swap_L18 + L21 + NR 2.6 64T + NR 3.8"/>
    <s v="Outdoor"/>
    <s v="Swap_0"/>
    <n v="48000"/>
    <x v="17"/>
    <m/>
    <e v="#N/A"/>
    <s v="Macro"/>
    <x v="2"/>
    <n v="1"/>
  </r>
  <r>
    <s v="South"/>
    <s v="PO2_South1"/>
    <s v="Đồng Tháp"/>
    <s v="Tiền Giang"/>
    <s v="TGCB56"/>
    <x v="124"/>
    <s v="Swap"/>
    <s v="Dual-band"/>
    <n v="3"/>
    <s v="Swap"/>
    <s v="Swap (PS mới 5G B)"/>
    <n v="105.89303"/>
    <n v="10.304589999999999"/>
    <s v="Cai Be"/>
    <n v="0"/>
    <s v="Swap_L18 + L21 + NR 2.6 64T + NR 3.8"/>
    <s v="Outdoor"/>
    <s v="Swap_0"/>
    <n v="48000"/>
    <x v="18"/>
    <m/>
    <e v="#N/A"/>
    <s v="CRAN"/>
    <x v="1"/>
    <n v="3"/>
  </r>
  <r>
    <s v="South"/>
    <s v="PO2_South1"/>
    <s v="Đồng Tháp"/>
    <s v="Tiền Giang"/>
    <s v="TGCB08"/>
    <x v="124"/>
    <s v="Swap"/>
    <s v="Dual-band"/>
    <n v="4"/>
    <s v="New"/>
    <s v="PS mới 5G C"/>
    <n v="105.89452"/>
    <n v="10.29472"/>
    <s v="Cai Be"/>
    <n v="0"/>
    <s v="Swap_L18 + L21 + NR 2.6 32T"/>
    <s v="Outdoor"/>
    <s v="Swap_0"/>
    <n v="48000"/>
    <x v="18"/>
    <m/>
    <e v="#N/A"/>
    <s v="Macro"/>
    <x v="0"/>
    <n v="3"/>
  </r>
  <r>
    <s v="South"/>
    <s v="PO2_South1"/>
    <s v="Đồng Tháp"/>
    <s v="Tiền Giang"/>
    <s v="TGCB52"/>
    <x v="124"/>
    <s v="Swap"/>
    <s v="Dual-band"/>
    <n v="3"/>
    <s v="New"/>
    <s v="PS mới 5G C"/>
    <n v="105.89758999999999"/>
    <n v="10.280279999999999"/>
    <s v="Cai Be"/>
    <n v="0"/>
    <s v="Swap_L18 + L21 + NR 2.6 32T"/>
    <s v="Outdoor"/>
    <s v="Swap_0"/>
    <n v="48000"/>
    <x v="18"/>
    <m/>
    <e v="#N/A"/>
    <s v="CRAN"/>
    <x v="1"/>
    <n v="3"/>
  </r>
  <r>
    <s v="South"/>
    <s v="PO2_South1"/>
    <s v="Đồng Tháp"/>
    <s v="Tiền Giang"/>
    <s v="TGCB09"/>
    <x v="125"/>
    <s v="Swap"/>
    <s v="Dual-band"/>
    <n v="4"/>
    <s v="Swap"/>
    <s v="Swap (PS mới 5G A)"/>
    <n v="105.97945"/>
    <n v="10.35976"/>
    <s v="Cai Be"/>
    <n v="0"/>
    <s v="Swap_L18 + L21 + NR 2.6 64T + NR 3.8"/>
    <s v="Outdoor"/>
    <s v="Swap_0"/>
    <n v="48000"/>
    <x v="17"/>
    <m/>
    <e v="#N/A"/>
    <s v="Macro"/>
    <x v="2"/>
    <n v="1"/>
  </r>
  <r>
    <s v="South"/>
    <s v="PO2_South1"/>
    <s v="Đồng Tháp"/>
    <s v="Tiền Giang"/>
    <s v="TGCB63"/>
    <x v="126"/>
    <s v="Swap"/>
    <s v="Dual-band"/>
    <n v="4"/>
    <s v="New"/>
    <s v="PS mới 5G C"/>
    <n v="105.94472"/>
    <n v="10.34972"/>
    <s v="Cai Be"/>
    <n v="0"/>
    <s v="Swap_L18 + L21 + NR 2.6 32T"/>
    <s v="Outdoor"/>
    <s v="Swap_0"/>
    <n v="48000"/>
    <x v="18"/>
    <m/>
    <s v="OK"/>
    <s v="CRAN"/>
    <x v="1"/>
    <n v="4"/>
  </r>
  <r>
    <s v="South"/>
    <s v="PO2_South1"/>
    <s v="Đồng Tháp"/>
    <s v="Tiền Giang"/>
    <s v="TGCB10"/>
    <x v="126"/>
    <s v="Swap"/>
    <s v="Dual-band"/>
    <n v="4"/>
    <s v="New"/>
    <s v="PS mới 5G C"/>
    <n v="105.95197"/>
    <n v="10.354229999999999"/>
    <s v="Cai Be"/>
    <n v="0"/>
    <s v="Swap_L18 + L21 + NR 2.6 32T"/>
    <s v="Outdoor"/>
    <s v="Swap_0"/>
    <n v="48000"/>
    <x v="18"/>
    <m/>
    <e v="#N/A"/>
    <s v="Macro"/>
    <x v="0"/>
    <n v="4"/>
  </r>
  <r>
    <s v="South"/>
    <s v="PO2_South1"/>
    <s v="Đồng Tháp"/>
    <s v="Tiền Giang"/>
    <s v="TGCB70"/>
    <x v="126"/>
    <s v="Swap"/>
    <s v="Single-Band"/>
    <n v="3"/>
    <m/>
    <m/>
    <n v="105.95564"/>
    <n v="10.33943"/>
    <s v="Cai Be"/>
    <n v="0"/>
    <s v="Swap_L18"/>
    <s v="Outdoor"/>
    <s v="Swap_0"/>
    <n v="48000"/>
    <x v="18"/>
    <m/>
    <e v="#N/A"/>
    <s v="CRAN"/>
    <x v="1"/>
    <n v="4"/>
  </r>
  <r>
    <s v="South"/>
    <s v="PO2_South1"/>
    <s v="Đồng Tháp"/>
    <s v="Tiền Giang"/>
    <s v="TGCBX1"/>
    <x v="126"/>
    <s v="Swap"/>
    <s v="Single-Band"/>
    <n v="3"/>
    <m/>
    <m/>
    <n v="105.94461920000001"/>
    <n v="10.3647543"/>
    <s v="Cai Be"/>
    <n v="0"/>
    <s v="Swap_L18"/>
    <s v="Outdoor"/>
    <s v="Swap_0"/>
    <n v="48000"/>
    <x v="18"/>
    <m/>
    <e v="#N/A"/>
    <s v="CRAN"/>
    <x v="1"/>
    <n v="4"/>
  </r>
  <r>
    <s v="South"/>
    <s v="PO2_South1"/>
    <s v="Đồng Tháp"/>
    <s v="Tiền Giang"/>
    <s v="TGCB12"/>
    <x v="127"/>
    <s v="Swap"/>
    <s v="Dual-band"/>
    <n v="4"/>
    <s v="New"/>
    <s v="PS mới 5G C"/>
    <n v="105.93307"/>
    <n v="10.34559"/>
    <s v="Cai Be"/>
    <n v="0"/>
    <s v="Swap_L18 + L21 + NR 2.6 32T"/>
    <s v="Outdoor"/>
    <s v="Swap_0"/>
    <n v="48000"/>
    <x v="18"/>
    <m/>
    <e v="#N/A"/>
    <s v="Macro"/>
    <x v="2"/>
    <n v="1"/>
  </r>
  <r>
    <s v="South"/>
    <s v="PO2_South1"/>
    <s v="Đồng Tháp"/>
    <s v="Tiền Giang"/>
    <s v="TGCB13"/>
    <x v="128"/>
    <s v="Swap"/>
    <s v="Dual-band"/>
    <n v="3"/>
    <m/>
    <m/>
    <n v="105.93750989999999"/>
    <n v="10.327648999999999"/>
    <s v="Cai Be"/>
    <n v="0"/>
    <s v="Swap_L18 + L21"/>
    <s v="Outdoor"/>
    <s v="Swap_0"/>
    <n v="48000"/>
    <x v="18"/>
    <m/>
    <e v="#N/A"/>
    <s v="Macro"/>
    <x v="2"/>
    <n v="1"/>
  </r>
  <r>
    <s v="South"/>
    <s v="PO2_South1"/>
    <s v="Đồng Tháp"/>
    <s v="Tiền Giang"/>
    <s v="TGCB14"/>
    <x v="129"/>
    <s v="Swap"/>
    <s v="Single-Band"/>
    <n v="4"/>
    <s v="New"/>
    <s v="PS mới 5G C"/>
    <n v="105.9119426"/>
    <n v="10.405639600000001"/>
    <s v="Cai Be"/>
    <n v="0"/>
    <s v="Swap_L18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35"/>
    <x v="130"/>
    <s v="Swap"/>
    <s v="Dual-band"/>
    <n v="4"/>
    <s v="New"/>
    <s v="PS mới 5G C"/>
    <n v="105.8401291"/>
    <n v="10.3511799"/>
    <s v="Cai Be"/>
    <n v="0"/>
    <s v="Swap_L18 + L21 + NR 2.6 32T"/>
    <s v="Outdoor"/>
    <s v="Swap_0"/>
    <n v="48000"/>
    <x v="20"/>
    <m/>
    <s v="OK"/>
    <s v="CRAN"/>
    <x v="1"/>
    <n v="5"/>
  </r>
  <r>
    <s v="South"/>
    <s v="PO2_South1"/>
    <s v="Đồng Tháp"/>
    <s v="Tiền Giang"/>
    <s v="TGCB45"/>
    <x v="130"/>
    <s v="Swap"/>
    <s v="Single-Band"/>
    <n v="3"/>
    <s v="New"/>
    <s v="PS mới 5G C"/>
    <n v="105.8411835"/>
    <n v="10.3089619"/>
    <s v="Cai Be"/>
    <n v="0"/>
    <s v="Swap_L18 + NR 2.6 32T"/>
    <s v="Outdoor"/>
    <s v="Swap_0"/>
    <n v="48000"/>
    <x v="20"/>
    <m/>
    <s v="OK"/>
    <s v="CRAN"/>
    <x v="1"/>
    <n v="5"/>
  </r>
  <r>
    <s v="South"/>
    <s v="PO2_South1"/>
    <s v="Đồng Tháp"/>
    <s v="Tiền Giang"/>
    <s v="TGCB15"/>
    <x v="130"/>
    <s v="Swap"/>
    <s v="Dual-band"/>
    <n v="4"/>
    <s v="New"/>
    <s v="PS mới 5G C"/>
    <n v="105.83814"/>
    <n v="10.32868"/>
    <s v="Cai Be"/>
    <n v="0"/>
    <s v="Swap_L18 + L21 + NR 2.6 32T"/>
    <s v="Outdoor"/>
    <s v="Swap_0"/>
    <n v="48000"/>
    <x v="20"/>
    <m/>
    <e v="#N/A"/>
    <s v="Macro"/>
    <x v="0"/>
    <n v="5"/>
  </r>
  <r>
    <s v="South"/>
    <s v="PO2_South1"/>
    <s v="Đồng Tháp"/>
    <s v="Tiền Giang"/>
    <s v="TGCB71"/>
    <x v="130"/>
    <s v="Swap"/>
    <s v="Dual-band"/>
    <n v="3"/>
    <m/>
    <m/>
    <n v="105.8480268"/>
    <n v="10.3178559"/>
    <s v="Cai Be"/>
    <n v="0"/>
    <s v="Swap_L18 + L21"/>
    <s v="Outdoor"/>
    <s v="Swap_0"/>
    <n v="48000"/>
    <x v="20"/>
    <m/>
    <e v="#N/A"/>
    <s v="CRAN"/>
    <x v="1"/>
    <n v="5"/>
  </r>
  <r>
    <s v="South"/>
    <s v="PO2_South1"/>
    <s v="Đồng Tháp"/>
    <s v="Tiền Giang"/>
    <s v="TGCB75"/>
    <x v="130"/>
    <s v="Swap"/>
    <s v="Single-Band"/>
    <n v="3"/>
    <m/>
    <m/>
    <n v="105.8261"/>
    <n v="10.3688"/>
    <s v="Cai Be"/>
    <n v="0"/>
    <s v="Swap_L18"/>
    <s v="Outdoor"/>
    <s v="Swap_0"/>
    <n v="48000"/>
    <x v="20"/>
    <m/>
    <e v="#N/A"/>
    <s v="CRAN"/>
    <x v="1"/>
    <n v="5"/>
  </r>
  <r>
    <s v="South"/>
    <s v="PO2_South1"/>
    <s v="Đồng Tháp"/>
    <s v="Tiền Giang"/>
    <s v="TGCB16"/>
    <x v="131"/>
    <s v="Swap"/>
    <s v="Dual-band"/>
    <n v="3"/>
    <s v="New"/>
    <s v="PS mới 5G C"/>
    <n v="105.9687266"/>
    <n v="10.506698500000001"/>
    <s v="Cai Be"/>
    <n v="0"/>
    <s v="Swap_L18 + L21 + NR 2.6 32T"/>
    <s v="Outdoor"/>
    <s v="Swap_0"/>
    <n v="48000"/>
    <x v="19"/>
    <m/>
    <e v="#N/A"/>
    <s v="Macro"/>
    <x v="0"/>
    <n v="2"/>
  </r>
  <r>
    <s v="South"/>
    <s v="PO2_South1"/>
    <s v="Đồng Tháp"/>
    <s v="Tiền Giang"/>
    <s v="TGCB77"/>
    <x v="131"/>
    <s v="Swap"/>
    <s v="Single-Band"/>
    <n v="3"/>
    <m/>
    <m/>
    <n v="105.9427841"/>
    <n v="10.4923558"/>
    <s v="Cai Be"/>
    <n v="0"/>
    <s v="Swap_L18"/>
    <s v="Outdoor"/>
    <s v="Swap_0"/>
    <n v="48000"/>
    <x v="19"/>
    <m/>
    <e v="#N/A"/>
    <s v="CRAN"/>
    <x v="1"/>
    <n v="2"/>
  </r>
  <r>
    <s v="South"/>
    <s v="PO2_South1"/>
    <s v="Đồng Tháp"/>
    <s v="Tiền Giang"/>
    <s v="TGCB17"/>
    <x v="132"/>
    <s v="Swap"/>
    <s v="Single-Band"/>
    <n v="3"/>
    <m/>
    <m/>
    <n v="105.93197000000001"/>
    <n v="10.427250000000001"/>
    <s v="Cai Be"/>
    <n v="0"/>
    <s v="Swap_L18"/>
    <s v="Outdoor"/>
    <s v="Swap_0"/>
    <n v="48000"/>
    <x v="19"/>
    <m/>
    <e v="#N/A"/>
    <s v="Macro"/>
    <x v="0"/>
    <n v="2"/>
  </r>
  <r>
    <s v="South"/>
    <s v="PO2_South1"/>
    <s v="Đồng Tháp"/>
    <s v="Tiền Giang"/>
    <s v="TGCB78"/>
    <x v="132"/>
    <s v="Swap"/>
    <s v="Single-Band"/>
    <n v="3"/>
    <m/>
    <m/>
    <n v="105.91594000000001"/>
    <n v="10.441470000000001"/>
    <s v="Cai Be"/>
    <n v="0"/>
    <s v="Swap_L18"/>
    <s v="Outdoor"/>
    <s v="Swap_0"/>
    <n v="48000"/>
    <x v="19"/>
    <m/>
    <e v="#N/A"/>
    <s v="CRAN"/>
    <x v="1"/>
    <n v="2"/>
  </r>
  <r>
    <s v="South"/>
    <s v="PO2_South1"/>
    <s v="Đồng Tháp"/>
    <s v="Tiền Giang"/>
    <s v="TGCB19"/>
    <x v="133"/>
    <s v="Swap"/>
    <s v="Dual-band"/>
    <n v="4"/>
    <s v="Swap"/>
    <s v="Swap (PS mới 5G B)"/>
    <n v="106.0346175"/>
    <n v="10.3424411"/>
    <s v="Cai Be"/>
    <n v="0"/>
    <s v="Swap_L18 + L21 + NR 2.6 64T + NR 3.8"/>
    <s v="Outdoor"/>
    <s v="Swap_0"/>
    <n v="48000"/>
    <x v="17"/>
    <m/>
    <e v="#N/A"/>
    <s v="Macro"/>
    <x v="2"/>
    <n v="1"/>
  </r>
  <r>
    <s v="South"/>
    <s v="PO2_South1"/>
    <s v="Đồng Tháp"/>
    <s v="Tiền Giang"/>
    <s v="TGCB20"/>
    <x v="134"/>
    <s v="Swap"/>
    <s v="Dual-band"/>
    <n v="3"/>
    <s v="New"/>
    <s v="PS mới 5G C"/>
    <n v="105.86507"/>
    <n v="10.32508"/>
    <s v="Cai Be"/>
    <n v="0"/>
    <s v="Swap_L18 + L21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21"/>
    <x v="135"/>
    <s v="Swap"/>
    <s v="Dual-band"/>
    <n v="4"/>
    <s v="New"/>
    <s v="PS mới 5G C"/>
    <n v="105.97996999999999"/>
    <n v="10.389810000000001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22"/>
    <x v="136"/>
    <s v="Swap"/>
    <s v="Dual-band"/>
    <n v="3"/>
    <m/>
    <m/>
    <n v="105.8895289"/>
    <n v="10.3890499"/>
    <s v="Cai Be"/>
    <n v="0"/>
    <s v="Swap_L18 + L21"/>
    <s v="Outdoor"/>
    <s v="Swap_0"/>
    <n v="48000"/>
    <x v="20"/>
    <m/>
    <e v="#N/A"/>
    <s v="Macro"/>
    <x v="2"/>
    <n v="1"/>
  </r>
  <r>
    <s v="South"/>
    <s v="PO2_South1"/>
    <s v="Đồng Tháp"/>
    <s v="Tiền Giang"/>
    <s v="TGCB23"/>
    <x v="137"/>
    <s v="Swap"/>
    <s v="Dual-band"/>
    <n v="3"/>
    <s v="New"/>
    <s v="PS mới 5G C"/>
    <n v="105.91106000000001"/>
    <n v="10.28612"/>
    <s v="Cai Be"/>
    <n v="0"/>
    <s v="Swap_L18 + L21 + NR 2.6 32T"/>
    <s v="Outdoor"/>
    <s v="Swap_0"/>
    <n v="48000"/>
    <x v="18"/>
    <m/>
    <e v="#N/A"/>
    <s v="Macro"/>
    <x v="2"/>
    <n v="1"/>
  </r>
  <r>
    <s v="South"/>
    <s v="PO2_South1"/>
    <s v="Đồng Tháp"/>
    <s v="Tiền Giang"/>
    <s v="TGCB24"/>
    <x v="138"/>
    <s v="Swap"/>
    <s v="Dual-band"/>
    <n v="4"/>
    <s v="New"/>
    <s v="PS mới 5G C"/>
    <n v="105.87988110000001"/>
    <n v="10.3578115"/>
    <s v="Cai Be"/>
    <n v="0"/>
    <s v="Swap_L18 + L21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25"/>
    <x v="139"/>
    <s v="Swap"/>
    <s v="Dual-band"/>
    <n v="3"/>
    <s v="New"/>
    <s v="PS mới 5G C"/>
    <n v="105.98817510000001"/>
    <n v="10.416853700000001"/>
    <s v="Cai Be"/>
    <n v="0"/>
    <s v="Swap_L18 + L21 + NR 2.6 32T"/>
    <s v="Outdoor"/>
    <s v="Swap_0"/>
    <n v="48000"/>
    <x v="19"/>
    <m/>
    <e v="#N/A"/>
    <s v="Macro"/>
    <x v="2"/>
    <n v="1"/>
  </r>
  <r>
    <s v="South"/>
    <s v="PO2_South1"/>
    <s v="Đồng Tháp"/>
    <s v="Tiền Giang"/>
    <s v="TGCB26"/>
    <x v="140"/>
    <s v="Swap"/>
    <s v="Dual-band"/>
    <n v="4"/>
    <s v="New"/>
    <s v="PS mới 5G C"/>
    <n v="106.00269"/>
    <n v="10.363160000000001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27"/>
    <x v="141"/>
    <s v="Swap"/>
    <s v="Single-Band"/>
    <n v="3"/>
    <m/>
    <m/>
    <n v="105.93906"/>
    <n v="10.456630000000001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29"/>
    <x v="142"/>
    <s v="Swap"/>
    <s v="Single-Band"/>
    <n v="3"/>
    <m/>
    <m/>
    <n v="105.95339"/>
    <n v="10.392620000000001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30"/>
    <x v="143"/>
    <s v="Swap"/>
    <s v="Single-Band"/>
    <n v="3"/>
    <s v="New"/>
    <s v="PS mới 5G C"/>
    <n v="105.92925"/>
    <n v="10.30367"/>
    <s v="Cai Be"/>
    <n v="0"/>
    <s v="Swap_L18 + NR 2.6 32T"/>
    <s v="Outdoor"/>
    <s v="Swap_0"/>
    <n v="48000"/>
    <x v="18"/>
    <m/>
    <e v="#N/A"/>
    <s v="Macro"/>
    <x v="0"/>
    <n v="2"/>
  </r>
  <r>
    <s v="South"/>
    <s v="PO2_South1"/>
    <s v="Đồng Tháp"/>
    <s v="Tiền Giang"/>
    <s v="TGCB88"/>
    <x v="143"/>
    <s v="Swap"/>
    <s v="Single-Band"/>
    <n v="3"/>
    <m/>
    <m/>
    <n v="105.9355"/>
    <n v="10.3165"/>
    <s v="Cai Be"/>
    <n v="0"/>
    <s v="Swap_L18"/>
    <s v="Outdoor"/>
    <s v="Swap_0"/>
    <n v="48000"/>
    <x v="18"/>
    <m/>
    <e v="#N/A"/>
    <s v="CRAN"/>
    <x v="1"/>
    <n v="2"/>
  </r>
  <r>
    <s v="South"/>
    <s v="PO2_South1"/>
    <s v="Đồng Tháp"/>
    <s v="Tiền Giang"/>
    <s v="TGCB32"/>
    <x v="144"/>
    <s v="Swap"/>
    <s v="Dual-band"/>
    <n v="3"/>
    <s v="New"/>
    <s v="PS mới 5G C"/>
    <n v="105.99169000000001"/>
    <n v="10.342510000000001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33"/>
    <x v="145"/>
    <s v="Swap"/>
    <s v="Single-Band"/>
    <n v="3"/>
    <m/>
    <m/>
    <n v="105.8956664"/>
    <n v="10.419610799999999"/>
    <s v="Cai Be"/>
    <n v="0"/>
    <s v="Swap_L18"/>
    <s v="Outdoor"/>
    <s v="Swap_0"/>
    <n v="48000"/>
    <x v="20"/>
    <m/>
    <e v="#N/A"/>
    <s v="Macro"/>
    <x v="2"/>
    <n v="1"/>
  </r>
  <r>
    <s v="South"/>
    <s v="PO2_South1"/>
    <s v="Đồng Tháp"/>
    <s v="Tiền Giang"/>
    <s v="TGCB34"/>
    <x v="146"/>
    <s v="Swap"/>
    <s v="Single-Band"/>
    <n v="4"/>
    <m/>
    <m/>
    <n v="105.9425312"/>
    <n v="10.510993300000001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36"/>
    <x v="147"/>
    <s v="Swap"/>
    <s v="Dual-band"/>
    <n v="3"/>
    <s v="New"/>
    <s v="PS mới 5G C"/>
    <n v="105.84952"/>
    <n v="10.378410000000001"/>
    <s v="Cai Be"/>
    <n v="0"/>
    <s v="Swap_L18 + L21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37"/>
    <x v="148"/>
    <s v="Swap"/>
    <s v="Dual-band"/>
    <n v="3"/>
    <s v="New"/>
    <s v="PS mới 5G C"/>
    <n v="105.9044512"/>
    <n v="10.354119900000001"/>
    <s v="Cai Be"/>
    <n v="0"/>
    <s v="Swap_L18 + L21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38"/>
    <x v="149"/>
    <s v="Swap"/>
    <s v="Dual-band"/>
    <n v="3"/>
    <s v="New"/>
    <s v="PS mới 5G C"/>
    <n v="105.88118"/>
    <n v="10.338290000000001"/>
    <s v="Cai Be"/>
    <n v="0"/>
    <s v="Swap_L18 + L21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39"/>
    <x v="150"/>
    <s v="Swap"/>
    <s v="Single-Band"/>
    <n v="3"/>
    <m/>
    <m/>
    <n v="106.00074600000001"/>
    <n v="10.4396866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40"/>
    <x v="151"/>
    <s v="Swap"/>
    <s v="Dual-band"/>
    <n v="3"/>
    <s v="New"/>
    <s v="PS mới 5G C"/>
    <n v="106.02235"/>
    <n v="10.34356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42"/>
    <x v="152"/>
    <s v="Swap"/>
    <s v="Dual-band"/>
    <n v="4"/>
    <s v="New"/>
    <s v="PS mới 5G C"/>
    <n v="105.8702918"/>
    <n v="10.379926299999999"/>
    <s v="Cai Be"/>
    <n v="0"/>
    <s v="Swap_L18 + L21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43"/>
    <x v="153"/>
    <s v="Swap"/>
    <s v="Single-Band"/>
    <n v="3"/>
    <m/>
    <m/>
    <n v="105.98450579999999"/>
    <n v="10.532401699999999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44"/>
    <x v="154"/>
    <s v="Swap"/>
    <s v="Dual-band"/>
    <n v="3"/>
    <s v="New"/>
    <s v="PS mới 5G C"/>
    <n v="105.9632"/>
    <n v="10.375299999999999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46"/>
    <x v="155"/>
    <s v="Swap"/>
    <s v="Dual-band"/>
    <n v="4"/>
    <s v="New"/>
    <s v="PS mới 5G C"/>
    <n v="106.02495999999999"/>
    <n v="10.40067"/>
    <s v="Cai Be"/>
    <n v="0"/>
    <s v="Swap_L18 + L21 + NR 2.6 32T"/>
    <s v="Outdoor"/>
    <s v="Swap_0"/>
    <n v="48000"/>
    <x v="17"/>
    <m/>
    <e v="#N/A"/>
    <s v="Macro"/>
    <x v="0"/>
    <n v="4"/>
  </r>
  <r>
    <s v="South"/>
    <s v="PO2_South1"/>
    <s v="Đồng Tháp"/>
    <s v="Tiền Giang"/>
    <s v="TGCB81"/>
    <x v="155"/>
    <s v="Swap"/>
    <s v="Single-Band"/>
    <n v="3"/>
    <m/>
    <m/>
    <n v="106.01171429999999"/>
    <n v="10.4220351"/>
    <s v="Cai Be"/>
    <n v="0"/>
    <s v="Swap_L18"/>
    <s v="Outdoor"/>
    <s v="Swap_0"/>
    <n v="48000"/>
    <x v="17"/>
    <m/>
    <e v="#N/A"/>
    <s v="CRAN"/>
    <x v="1"/>
    <n v="4"/>
  </r>
  <r>
    <s v="South"/>
    <s v="PO2_South1"/>
    <s v="Đồng Tháp"/>
    <s v="Tiền Giang"/>
    <s v="TGCB92"/>
    <x v="155"/>
    <s v="Swap"/>
    <s v="Single-Band"/>
    <n v="3"/>
    <m/>
    <m/>
    <n v="106.0266"/>
    <n v="10.3842"/>
    <s v="Cai Be"/>
    <n v="0"/>
    <s v="Swap_L18"/>
    <s v="Outdoor"/>
    <s v="Swap_0"/>
    <n v="48000"/>
    <x v="17"/>
    <m/>
    <e v="#N/A"/>
    <s v="CRAN"/>
    <x v="1"/>
    <n v="4"/>
  </r>
  <r>
    <s v="South"/>
    <s v="PO2_South1"/>
    <s v="Đồng Tháp"/>
    <s v="Tiền Giang"/>
    <s v="TGCBX0"/>
    <x v="155"/>
    <s v="Swap"/>
    <s v="Single-Band"/>
    <n v="3"/>
    <m/>
    <m/>
    <n v="106.02135199999999"/>
    <n v="10.408897899999999"/>
    <s v="Cai Be"/>
    <n v="0"/>
    <s v="Swap_L18"/>
    <s v="Outdoor"/>
    <s v="Swap_0"/>
    <n v="48000"/>
    <x v="17"/>
    <m/>
    <e v="#N/A"/>
    <s v="CRAN"/>
    <x v="1"/>
    <n v="4"/>
  </r>
  <r>
    <s v="South"/>
    <s v="PO2_South1"/>
    <s v="Đồng Tháp"/>
    <s v="Tiền Giang"/>
    <s v="TGCB47"/>
    <x v="156"/>
    <s v="Swap"/>
    <s v="Single-Band"/>
    <n v="3"/>
    <s v="New"/>
    <s v="PS mới 5G C"/>
    <n v="105.93904999999999"/>
    <n v="10.37523"/>
    <s v="Cai Be"/>
    <n v="0"/>
    <s v="Swap_L18 + NR 2.6 32T"/>
    <s v="Outdoor"/>
    <s v="Swap_0"/>
    <n v="48000"/>
    <x v="20"/>
    <m/>
    <e v="#N/A"/>
    <s v="Macro"/>
    <x v="2"/>
    <n v="1"/>
  </r>
  <r>
    <s v="South"/>
    <s v="PO2_South1"/>
    <s v="Đồng Tháp"/>
    <s v="Tiền Giang"/>
    <s v="TGCB48"/>
    <x v="157"/>
    <s v="Swap"/>
    <s v="Single-Band"/>
    <n v="3"/>
    <m/>
    <m/>
    <n v="105.96773949999999"/>
    <n v="10.4613517"/>
    <s v="Cai Be"/>
    <n v="0"/>
    <s v="Swap_L18"/>
    <s v="Outdoor"/>
    <s v="Swap_0"/>
    <n v="48000"/>
    <x v="19"/>
    <m/>
    <e v="#N/A"/>
    <s v="Macro"/>
    <x v="0"/>
    <n v="3"/>
  </r>
  <r>
    <s v="South"/>
    <s v="PO2_South1"/>
    <s v="Đồng Tháp"/>
    <s v="Tiền Giang"/>
    <s v="TGCB62"/>
    <x v="157"/>
    <s v="Swap"/>
    <s v="Single-Band"/>
    <n v="3"/>
    <m/>
    <m/>
    <n v="105.9672336"/>
    <n v="10.4883168"/>
    <s v="Cai Be"/>
    <n v="0"/>
    <s v="Swap_L18"/>
    <s v="Outdoor"/>
    <s v="Swap_0"/>
    <n v="48000"/>
    <x v="19"/>
    <m/>
    <e v="#N/A"/>
    <s v="CRAN"/>
    <x v="1"/>
    <n v="3"/>
  </r>
  <r>
    <s v="South"/>
    <s v="PO2_South1"/>
    <s v="Đồng Tháp"/>
    <s v="Tiền Giang"/>
    <s v="TGCB85"/>
    <x v="157"/>
    <s v="Swap"/>
    <s v="Single-Band"/>
    <n v="3"/>
    <m/>
    <m/>
    <n v="105.98487"/>
    <n v="10.462619999999999"/>
    <s v="Cai Be"/>
    <n v="0"/>
    <s v="Swap_L18"/>
    <s v="Outdoor"/>
    <s v="Swap_0"/>
    <n v="48000"/>
    <x v="19"/>
    <m/>
    <e v="#N/A"/>
    <s v="CRAN"/>
    <x v="1"/>
    <n v="3"/>
  </r>
  <r>
    <s v="South"/>
    <s v="PO2_South1"/>
    <s v="Đồng Tháp"/>
    <s v="Tiền Giang"/>
    <s v="TGCB49"/>
    <x v="158"/>
    <s v="Swap"/>
    <s v="Dual-band"/>
    <n v="3"/>
    <s v="New"/>
    <s v="PS mới 5G C"/>
    <n v="105.94974999999999"/>
    <n v="10.312569999999999"/>
    <s v="Cai Be"/>
    <n v="0"/>
    <s v="Swap_L18 + L21 + NR 2.6 32T"/>
    <s v="Outdoor"/>
    <s v="Swap_0"/>
    <n v="48000"/>
    <x v="18"/>
    <m/>
    <e v="#N/A"/>
    <s v="Macro"/>
    <x v="2"/>
    <n v="1"/>
  </r>
  <r>
    <s v="South"/>
    <s v="PO2_South1"/>
    <s v="Đồng Tháp"/>
    <s v="Tiền Giang"/>
    <s v="TGCB50"/>
    <x v="159"/>
    <s v="Swap"/>
    <s v="Single-Band"/>
    <n v="3"/>
    <s v="New"/>
    <s v="PS mới 5G C"/>
    <n v="105.8754709"/>
    <n v="10.312415400000001"/>
    <s v="Cai Be"/>
    <n v="0"/>
    <s v="Swap_L18 + NR 7 + L9"/>
    <s v="Outdoor"/>
    <s v="Swap_0"/>
    <n v="48000"/>
    <x v="18"/>
    <m/>
    <e v="#N/A"/>
    <s v="Macro"/>
    <x v="2"/>
    <n v="1"/>
  </r>
  <r>
    <s v="South"/>
    <s v="PO2_South1"/>
    <s v="Đồng Tháp"/>
    <s v="Tiền Giang"/>
    <s v="TGCB51"/>
    <x v="160"/>
    <s v="Swap"/>
    <s v="Dual-band"/>
    <n v="4"/>
    <s v="New"/>
    <s v="PS mới 5G C"/>
    <n v="105.8903969"/>
    <n v="10.323404500000001"/>
    <s v="Cai Be"/>
    <n v="0"/>
    <s v="Swap_L18 + L21 + NR 2.6 32T"/>
    <s v="Outdoor"/>
    <s v="Swap_0"/>
    <n v="48000"/>
    <x v="18"/>
    <m/>
    <e v="#N/A"/>
    <s v="Macro"/>
    <x v="2"/>
    <n v="1"/>
  </r>
  <r>
    <s v="South"/>
    <s v="PO2_South1"/>
    <s v="Đồng Tháp"/>
    <s v="Tiền Giang"/>
    <s v="TGCB11"/>
    <x v="161"/>
    <s v="Swap"/>
    <s v="Dual-band"/>
    <n v="3"/>
    <s v="New"/>
    <s v="PS mới 5G C"/>
    <n v="105.96313000000001"/>
    <n v="10.33235"/>
    <s v="Cai Be"/>
    <n v="0"/>
    <s v="Swap_L18 + L21 + NR 2.6 32T"/>
    <s v="Outdoor"/>
    <s v="Swap_0"/>
    <n v="48000"/>
    <x v="17"/>
    <m/>
    <e v="#N/A"/>
    <s v="CRAN"/>
    <x v="1"/>
    <n v="3"/>
  </r>
  <r>
    <s v="South"/>
    <s v="PO2_South1"/>
    <s v="Đồng Tháp"/>
    <s v="Tiền Giang"/>
    <s v="TGCB53"/>
    <x v="161"/>
    <s v="Swap"/>
    <s v="Dual-band"/>
    <n v="3"/>
    <m/>
    <m/>
    <n v="105.97367"/>
    <n v="10.344620000000001"/>
    <s v="Cai Be"/>
    <n v="0"/>
    <s v="Swap_L18 + L21"/>
    <s v="Outdoor"/>
    <s v="Swap_0"/>
    <n v="48000"/>
    <x v="17"/>
    <m/>
    <e v="#N/A"/>
    <s v="Macro"/>
    <x v="0"/>
    <n v="3"/>
  </r>
  <r>
    <s v="South"/>
    <s v="PO2_South1"/>
    <s v="Đồng Tháp"/>
    <s v="Tiền Giang"/>
    <s v="TGCBX3"/>
    <x v="161"/>
    <s v="Swap"/>
    <s v="Single-Band"/>
    <n v="3"/>
    <m/>
    <m/>
    <n v="105.9838"/>
    <n v="10.3367"/>
    <s v="Cai Be"/>
    <n v="0"/>
    <s v="Swap_L18"/>
    <s v="Outdoor"/>
    <s v="Swap_0"/>
    <n v="48000"/>
    <x v="17"/>
    <m/>
    <e v="#N/A"/>
    <s v="CRAN"/>
    <x v="1"/>
    <n v="3"/>
  </r>
  <r>
    <s v="South"/>
    <s v="PO2_South1"/>
    <s v="Đồng Tháp"/>
    <s v="Tiền Giang"/>
    <s v="TGCB55"/>
    <x v="162"/>
    <s v="Swap"/>
    <s v="Dual-band"/>
    <n v="4"/>
    <s v="New"/>
    <s v="PS mới 5G C"/>
    <n v="106.0362052"/>
    <n v="10.3312197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57"/>
    <x v="163"/>
    <s v="Swap"/>
    <s v="Dual-band"/>
    <n v="4"/>
    <s v="New"/>
    <s v="PS mới 5G C"/>
    <n v="106.01691"/>
    <n v="10.35834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58"/>
    <x v="164"/>
    <s v="Swap"/>
    <s v="Dual-band"/>
    <n v="4"/>
    <s v="New"/>
    <s v="PS mới 5G C"/>
    <n v="105.98990000000001"/>
    <n v="10.360900000000001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54"/>
    <x v="165"/>
    <s v="Swap"/>
    <s v="Single-Band"/>
    <n v="3"/>
    <m/>
    <m/>
    <n v="105.91212"/>
    <n v="10.30016"/>
    <s v="Cai Be"/>
    <n v="0"/>
    <s v="Swap_L18"/>
    <s v="Outdoor"/>
    <s v="Swap_0"/>
    <n v="48000"/>
    <x v="18"/>
    <m/>
    <e v="#N/A"/>
    <s v="CRAN"/>
    <x v="1"/>
    <n v="2"/>
  </r>
  <r>
    <s v="South"/>
    <s v="PO2_South1"/>
    <s v="Đồng Tháp"/>
    <s v="Tiền Giang"/>
    <s v="TGCB61"/>
    <x v="165"/>
    <s v="Swap"/>
    <s v="Dual-band"/>
    <n v="3"/>
    <m/>
    <m/>
    <n v="105.90318000000001"/>
    <n v="10.291359999999999"/>
    <s v="Cai Be"/>
    <n v="0"/>
    <s v="Swap_L18 + L21"/>
    <s v="Outdoor"/>
    <s v="Swap_0"/>
    <n v="48000"/>
    <x v="18"/>
    <m/>
    <e v="#N/A"/>
    <s v="Macro"/>
    <x v="0"/>
    <n v="2"/>
  </r>
  <r>
    <s v="South"/>
    <s v="PO2_South1"/>
    <s v="Đồng Tháp"/>
    <s v="Tiền Giang"/>
    <s v="TGCB64"/>
    <x v="166"/>
    <s v="Swap"/>
    <s v="Dual-band"/>
    <n v="4"/>
    <s v="New"/>
    <s v="PS mới 5G C"/>
    <n v="105.96696"/>
    <n v="10.359870000000001"/>
    <s v="Cai Be"/>
    <n v="0"/>
    <s v="Swap_L18 + L21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65"/>
    <x v="167"/>
    <s v="Swap"/>
    <s v="Dual-band"/>
    <n v="3"/>
    <s v="New"/>
    <s v="PS mới 5G C"/>
    <n v="105.95529999999999"/>
    <n v="10.4092"/>
    <s v="Cai Be"/>
    <n v="0"/>
    <s v="Swap_L18 + L21 + NR 2.6 32T"/>
    <s v="Outdoor"/>
    <s v="Swap_0"/>
    <n v="48000"/>
    <x v="19"/>
    <m/>
    <e v="#N/A"/>
    <s v="Macro"/>
    <x v="2"/>
    <n v="1"/>
  </r>
  <r>
    <s v="South"/>
    <s v="PO2_South1"/>
    <s v="Đồng Tháp"/>
    <s v="Tiền Giang"/>
    <s v="TGCB66"/>
    <x v="168"/>
    <s v="Swap"/>
    <s v="Dual-band"/>
    <n v="3"/>
    <s v="Swap"/>
    <s v="Swap (PS mới 5G A)"/>
    <n v="105.88132"/>
    <n v="10.31793"/>
    <s v="Cai Be"/>
    <n v="0"/>
    <s v="Swap_L18 + L21 + NR 2.6 64T + NR 3.8"/>
    <s v="Outdoor"/>
    <s v="Swap_0"/>
    <n v="48000"/>
    <x v="18"/>
    <m/>
    <e v="#N/A"/>
    <s v="Macro"/>
    <x v="2"/>
    <n v="1"/>
  </r>
  <r>
    <s v="South"/>
    <s v="PO2_South1"/>
    <s v="Đồng Tháp"/>
    <s v="Tiền Giang"/>
    <s v="TGCB68"/>
    <x v="169"/>
    <s v="Swap"/>
    <s v="Dual-band"/>
    <n v="4"/>
    <s v="Swap"/>
    <s v="Swap (PS mới 5G B)"/>
    <n v="105.91766"/>
    <n v="10.337870000000001"/>
    <s v="Cai Be"/>
    <n v="0"/>
    <s v="Swap_L18 + L21 + NR 2.6 64T + NR 3.8"/>
    <s v="Outdoor"/>
    <s v="Swap_0"/>
    <n v="48000"/>
    <x v="18"/>
    <m/>
    <e v="#N/A"/>
    <s v="Macro"/>
    <x v="2"/>
    <n v="1"/>
  </r>
  <r>
    <s v="South"/>
    <s v="PO2_South1"/>
    <s v="Đồng Tháp"/>
    <s v="Tiền Giang"/>
    <s v="TGCB69"/>
    <x v="170"/>
    <s v="Swap"/>
    <s v="Single-Band"/>
    <n v="3"/>
    <m/>
    <m/>
    <n v="105.93631000000001"/>
    <n v="10.39772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72"/>
    <x v="171"/>
    <s v="Swap"/>
    <s v="Single-Band"/>
    <n v="3"/>
    <m/>
    <m/>
    <n v="106.0035"/>
    <n v="10.33619"/>
    <s v="Cai Be"/>
    <n v="0"/>
    <s v="Swap_L18"/>
    <s v="Outdoor"/>
    <s v="Swap_0"/>
    <n v="48000"/>
    <x v="17"/>
    <m/>
    <e v="#N/A"/>
    <s v="Macro"/>
    <x v="2"/>
    <n v="1"/>
  </r>
  <r>
    <s v="South"/>
    <s v="PO2_South1"/>
    <s v="Đồng Tháp"/>
    <s v="Tiền Giang"/>
    <s v="TGCB31"/>
    <x v="172"/>
    <s v="Swap"/>
    <s v="Dual-band"/>
    <n v="4"/>
    <s v="New"/>
    <s v="PS mới 5G C"/>
    <n v="105.91715000000001"/>
    <n v="10.37612"/>
    <s v="Cai Be"/>
    <n v="0"/>
    <s v="Swap_L18 + L21 + NR 2.6 32T"/>
    <s v="Outdoor"/>
    <s v="Swap_0"/>
    <n v="48000"/>
    <x v="20"/>
    <m/>
    <s v="OK"/>
    <s v="CRAN"/>
    <x v="1"/>
    <n v="2"/>
  </r>
  <r>
    <s v="South"/>
    <s v="PO2_South1"/>
    <s v="Đồng Tháp"/>
    <s v="Tiền Giang"/>
    <s v="TGCB74"/>
    <x v="172"/>
    <s v="Swap"/>
    <s v="Dual-band"/>
    <n v="3"/>
    <s v="New"/>
    <s v="PS mới 5G C"/>
    <n v="105.92735"/>
    <n v="10.359719999999999"/>
    <s v="Cai Be"/>
    <n v="0"/>
    <s v="Swap_L18 + L21 + NR 2.6 32T"/>
    <s v="Outdoor"/>
    <s v="Swap_0"/>
    <n v="48000"/>
    <x v="20"/>
    <m/>
    <e v="#N/A"/>
    <s v="Macro"/>
    <x v="0"/>
    <n v="2"/>
  </r>
  <r>
    <s v="South"/>
    <s v="PO2_South1"/>
    <s v="Đồng Tháp"/>
    <s v="Tiền Giang"/>
    <s v="TGCB76"/>
    <x v="173"/>
    <s v="Swap"/>
    <s v="Dual-band"/>
    <n v="3"/>
    <m/>
    <m/>
    <n v="105.8957795"/>
    <n v="10.3360161"/>
    <s v="Cai Be"/>
    <n v="0"/>
    <s v="Swap_L18 + L21"/>
    <s v="Outdoor"/>
    <s v="Swap_0"/>
    <n v="48000"/>
    <x v="20"/>
    <m/>
    <e v="#N/A"/>
    <s v="Macro"/>
    <x v="2"/>
    <n v="1"/>
  </r>
  <r>
    <s v="South"/>
    <s v="PO2_South1"/>
    <s v="Đồng Tháp"/>
    <s v="Tiền Giang"/>
    <s v="TGCB79"/>
    <x v="174"/>
    <s v="Swap"/>
    <s v="Single-Band"/>
    <n v="3"/>
    <s v="New"/>
    <s v="PS mới 5G C"/>
    <n v="106.01266630000001"/>
    <n v="10.3805225"/>
    <s v="Cai Be"/>
    <n v="0"/>
    <s v="Swap_L18 + NR 2.6 32T"/>
    <s v="Outdoor"/>
    <s v="Swap_0"/>
    <n v="48000"/>
    <x v="17"/>
    <m/>
    <e v="#N/A"/>
    <s v="Macro"/>
    <x v="2"/>
    <n v="1"/>
  </r>
  <r>
    <s v="South"/>
    <s v="PO2_South1"/>
    <s v="Đồng Tháp"/>
    <s v="Tiền Giang"/>
    <s v="TGCB82"/>
    <x v="175"/>
    <s v="Swap"/>
    <s v="Single-Band"/>
    <n v="3"/>
    <m/>
    <m/>
    <n v="105.821"/>
    <n v="10.350899999999999"/>
    <s v="Cai Be"/>
    <n v="0"/>
    <s v="Swap_L18"/>
    <s v="Outdoor"/>
    <s v="Swap_0"/>
    <n v="48000"/>
    <x v="20"/>
    <m/>
    <e v="#N/A"/>
    <s v="Macro"/>
    <x v="2"/>
    <n v="1"/>
  </r>
  <r>
    <s v="South"/>
    <s v="PO2_South1"/>
    <s v="Đồng Tháp"/>
    <s v="Tiền Giang"/>
    <s v="TGCB83"/>
    <x v="176"/>
    <s v="Swap"/>
    <s v="Single-Band"/>
    <n v="3"/>
    <m/>
    <m/>
    <n v="105.9102"/>
    <n v="10.3452"/>
    <s v="Cai Be"/>
    <n v="0"/>
    <s v="Swap_L18"/>
    <s v="Outdoor"/>
    <s v="Swap_0"/>
    <n v="48000"/>
    <x v="20"/>
    <m/>
    <e v="#N/A"/>
    <s v="Macro"/>
    <x v="2"/>
    <n v="1"/>
  </r>
  <r>
    <s v="South"/>
    <s v="PO2_South1"/>
    <s v="Đồng Tháp"/>
    <s v="Tiền Giang"/>
    <s v="TGCB84"/>
    <x v="177"/>
    <s v="Swap"/>
    <s v="Single-Band"/>
    <n v="3"/>
    <m/>
    <m/>
    <n v="105.89657"/>
    <n v="10.405754999999999"/>
    <s v="Cai Be"/>
    <n v="0"/>
    <s v="Swap_L18"/>
    <s v="Outdoor"/>
    <s v="Swap_0"/>
    <n v="48000"/>
    <x v="20"/>
    <m/>
    <e v="#N/A"/>
    <s v="Macro"/>
    <x v="2"/>
    <n v="1"/>
  </r>
  <r>
    <s v="South"/>
    <s v="PO2_South1"/>
    <s v="Đồng Tháp"/>
    <s v="Tiền Giang"/>
    <s v="TGCB86"/>
    <x v="178"/>
    <s v="Swap"/>
    <s v="Single-Band"/>
    <n v="3"/>
    <m/>
    <m/>
    <n v="105.95385"/>
    <n v="10.426450000000001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87"/>
    <x v="179"/>
    <s v="Swap"/>
    <s v="Single-Band"/>
    <n v="3"/>
    <m/>
    <m/>
    <n v="105.9423"/>
    <n v="10.533799999999999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89"/>
    <x v="180"/>
    <s v="Swap"/>
    <s v="Single-Band"/>
    <n v="3"/>
    <m/>
    <m/>
    <n v="105.96651"/>
    <n v="10.52596"/>
    <s v="Cai Be"/>
    <n v="0"/>
    <s v="Swap_L18"/>
    <s v="Outdoor"/>
    <s v="Swap_0"/>
    <n v="48000"/>
    <x v="19"/>
    <m/>
    <e v="#N/A"/>
    <s v="Macro"/>
    <x v="2"/>
    <n v="1"/>
  </r>
  <r>
    <s v="South"/>
    <s v="PO2_South1"/>
    <s v="Đồng Tháp"/>
    <s v="Tiền Giang"/>
    <s v="TGCB90"/>
    <x v="181"/>
    <s v="Swap"/>
    <s v="Single-Band"/>
    <n v="3"/>
    <m/>
    <m/>
    <n v="105.89076"/>
    <n v="10.373989999999999"/>
    <s v="Cai Be"/>
    <n v="0"/>
    <s v="Swap_L18"/>
    <s v="Outdoor"/>
    <s v="Swap_0"/>
    <n v="48000"/>
    <x v="20"/>
    <m/>
    <e v="#N/A"/>
    <s v="Macro"/>
    <x v="2"/>
    <n v="1"/>
  </r>
  <r>
    <s v="South"/>
    <s v="PO2_South1"/>
    <s v="Đồng Tháp"/>
    <s v="Tiền Giang"/>
    <s v="TGCB91"/>
    <x v="182"/>
    <s v="Swap"/>
    <s v="Single-Band"/>
    <n v="3"/>
    <m/>
    <m/>
    <n v="105.872"/>
    <n v="10.3"/>
    <s v="Cai Be"/>
    <n v="0"/>
    <s v="Swap_L18"/>
    <s v="Outdoor"/>
    <s v="Swap_0"/>
    <n v="48000"/>
    <x v="18"/>
    <m/>
    <e v="#N/A"/>
    <s v="Macro"/>
    <x v="2"/>
    <n v="1"/>
  </r>
  <r>
    <s v="South"/>
    <s v="PO2_South1"/>
    <s v="Đồng Tháp"/>
    <s v="Tiền Giang"/>
    <s v="TGCG01"/>
    <x v="183"/>
    <s v="Swap"/>
    <s v="Dual-band"/>
    <n v="4"/>
    <s v="New"/>
    <s v="PS mới 5G C"/>
    <n v="106.4614"/>
    <n v="10.353719999999999"/>
    <s v="Cho Gao"/>
    <s v="Month 2"/>
    <s v="Swap_L18 + L21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02"/>
    <x v="184"/>
    <s v="Swap"/>
    <s v="Single-Band"/>
    <n v="3"/>
    <s v="New"/>
    <s v="PS mới 5G C"/>
    <n v="106.3528774"/>
    <n v="10.4171472"/>
    <s v="Cho Gao"/>
    <s v="Month 2"/>
    <s v="Swap_L18 + NR 2.6 32T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03"/>
    <x v="185"/>
    <s v="Swap"/>
    <s v="Single-Band"/>
    <n v="3"/>
    <s v="New"/>
    <s v="PS mới 5G C"/>
    <n v="106.53541"/>
    <n v="10.329190000000001"/>
    <s v="Cho Gao"/>
    <s v="Month 2"/>
    <s v="Swap_L18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04"/>
    <x v="186"/>
    <s v="Swap"/>
    <s v="Single-Band"/>
    <n v="3"/>
    <m/>
    <m/>
    <n v="106.50693"/>
    <n v="10.32258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05"/>
    <x v="187"/>
    <s v="Swap"/>
    <s v="Dual-band"/>
    <n v="3"/>
    <s v="New"/>
    <s v="PS mới 5G C"/>
    <n v="106.45285"/>
    <n v="10.389089999999999"/>
    <s v="Cho Gao"/>
    <s v="Month 2"/>
    <s v="Swap_L18 + L21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06"/>
    <x v="188"/>
    <s v="Swap"/>
    <s v="Single-Band"/>
    <n v="3"/>
    <m/>
    <m/>
    <n v="106.46590999999999"/>
    <n v="10.33013"/>
    <s v="Cho Gao"/>
    <s v="Month 2"/>
    <s v="Swap_L18 + NR 7 + L9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09"/>
    <x v="189"/>
    <s v="Swap"/>
    <s v="Dual-band"/>
    <n v="3"/>
    <s v="New"/>
    <s v="PS mới 5G C"/>
    <n v="106.36767999999999"/>
    <n v="10.439819999999999"/>
    <s v="Cho Gao"/>
    <s v="Month 2"/>
    <s v="Swap_L18 + L21 + NR 2.6 32T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10"/>
    <x v="190"/>
    <s v="Swap"/>
    <s v="Dual-band"/>
    <n v="3"/>
    <s v="New"/>
    <s v="PS mới 5G C"/>
    <n v="106.51067"/>
    <n v="10.39845"/>
    <s v="Cho Gao"/>
    <s v="Month 2"/>
    <s v="Swap_L18 + L21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11"/>
    <x v="191"/>
    <s v="Swap"/>
    <s v="Dual-band"/>
    <n v="4"/>
    <s v="New"/>
    <s v="PS mới 5G C"/>
    <n v="106.42202"/>
    <n v="10.350519999999999"/>
    <s v="Cho Gao"/>
    <s v="Month 2"/>
    <s v="Swap_L18 + L21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12"/>
    <x v="192"/>
    <s v="Swap"/>
    <s v="Dual-band"/>
    <n v="3"/>
    <s v="New"/>
    <s v="PS mới 5G C"/>
    <n v="106.38806"/>
    <n v="10.36833"/>
    <s v="Cho Gao"/>
    <s v="Month 2"/>
    <s v="Swap_L18 + L21 + NR 2.6 32T"/>
    <s v="Outdoor"/>
    <s v="Swap_Month 2"/>
    <n v="48020"/>
    <x v="24"/>
    <m/>
    <e v="#N/A"/>
    <s v="Macro"/>
    <x v="2"/>
    <n v="1"/>
  </r>
  <r>
    <s v="South"/>
    <s v="PO2_South1"/>
    <s v="Đồng Tháp"/>
    <s v="Tiền Giang"/>
    <s v="TGCG49"/>
    <x v="193"/>
    <s v="Swap"/>
    <s v="Single-Band"/>
    <n v="3"/>
    <m/>
    <m/>
    <n v="106.50171"/>
    <n v="10.35188"/>
    <s v="Cho Gao"/>
    <s v="Month 2"/>
    <s v="Swap_L18"/>
    <s v="Outdoor"/>
    <s v="Swap_Month 2"/>
    <n v="48020"/>
    <x v="21"/>
    <m/>
    <e v="#N/A"/>
    <s v="CRAN"/>
    <x v="1"/>
    <n v="1"/>
  </r>
  <r>
    <s v="South"/>
    <s v="PO2_South1"/>
    <s v="Đồng Tháp"/>
    <s v="Tiền Giang"/>
    <s v="TGCG15"/>
    <x v="194"/>
    <s v="Swap"/>
    <s v="Single-Band"/>
    <n v="3"/>
    <m/>
    <m/>
    <n v="106.42116"/>
    <n v="10.435129999999999"/>
    <s v="Cho Gao"/>
    <s v="Month 2"/>
    <s v="Swap_L18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16"/>
    <x v="195"/>
    <s v="Swap"/>
    <s v="Single-Band"/>
    <n v="3"/>
    <s v="New"/>
    <s v="PS mới 5G C"/>
    <n v="106.38326000000001"/>
    <n v="10.423220000000001"/>
    <s v="Cho Gao"/>
    <s v="Month 2"/>
    <s v="Swap_L18 + NR 2.6 32T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13"/>
    <x v="196"/>
    <s v="Swap"/>
    <s v="Single-Band"/>
    <n v="3"/>
    <s v="New"/>
    <s v="PS mới 5G C"/>
    <n v="106.4135"/>
    <n v="10.416729999999999"/>
    <s v="Cho Gao"/>
    <s v="Month 2"/>
    <s v="Swap_L18 + NR 2.6 32T"/>
    <s v="Outdoor"/>
    <s v="Swap_Month 2"/>
    <n v="48020"/>
    <x v="22"/>
    <m/>
    <s v="OK"/>
    <s v="CRAN"/>
    <x v="1"/>
    <n v="3"/>
  </r>
  <r>
    <s v="South"/>
    <s v="PO2_South1"/>
    <s v="Đồng Tháp"/>
    <s v="Tiền Giang"/>
    <s v="TGCG17"/>
    <x v="196"/>
    <s v="Swap"/>
    <s v="Single-Band"/>
    <n v="3"/>
    <m/>
    <m/>
    <n v="106.37967999999999"/>
    <n v="10.406319999999999"/>
    <s v="Cho Gao"/>
    <s v="Month 2"/>
    <s v="Swap_L18"/>
    <s v="Outdoor"/>
    <s v="Swap_Month 2"/>
    <n v="48020"/>
    <x v="22"/>
    <m/>
    <e v="#N/A"/>
    <s v="Macro"/>
    <x v="0"/>
    <n v="3"/>
  </r>
  <r>
    <s v="South"/>
    <s v="PO2_South1"/>
    <s v="Đồng Tháp"/>
    <s v="Tiền Giang"/>
    <s v="TGCG55"/>
    <x v="196"/>
    <s v="Swap"/>
    <s v="Single-Band"/>
    <n v="3"/>
    <m/>
    <m/>
    <n v="106.39591"/>
    <n v="10.40929"/>
    <s v="Cho Gao"/>
    <s v="Month 2"/>
    <s v="Swap_L18"/>
    <s v="Outdoor"/>
    <s v="Swap_Month 2"/>
    <n v="48020"/>
    <x v="22"/>
    <m/>
    <e v="#N/A"/>
    <s v="CRAN"/>
    <x v="1"/>
    <n v="3"/>
  </r>
  <r>
    <s v="South"/>
    <s v="PO2_South1"/>
    <s v="Đồng Tháp"/>
    <s v="Tiền Giang"/>
    <s v="TGCG18"/>
    <x v="197"/>
    <s v="Swap"/>
    <s v="Single-Band"/>
    <n v="4"/>
    <m/>
    <m/>
    <n v="106.43335"/>
    <n v="10.333"/>
    <s v="Cho Gao"/>
    <s v="Month 2"/>
    <s v="Swap_L18"/>
    <s v="Outdoor"/>
    <s v="Swap_Month 2"/>
    <n v="48020"/>
    <x v="21"/>
    <m/>
    <e v="#N/A"/>
    <s v="Macro"/>
    <x v="0"/>
    <n v="2"/>
  </r>
  <r>
    <s v="South"/>
    <s v="PO2_South1"/>
    <s v="Đồng Tháp"/>
    <s v="Tiền Giang"/>
    <s v="TGCG37"/>
    <x v="197"/>
    <s v="Swap"/>
    <s v="Single-Band"/>
    <n v="3"/>
    <m/>
    <m/>
    <n v="106.41168999999999"/>
    <n v="10.3361"/>
    <s v="Cho Gao"/>
    <s v="Month 2"/>
    <s v="Swap_L18"/>
    <s v="Outdoor"/>
    <s v="Swap_Month 2"/>
    <n v="48020"/>
    <x v="21"/>
    <m/>
    <e v="#N/A"/>
    <s v="CRAN"/>
    <x v="1"/>
    <n v="2"/>
  </r>
  <r>
    <s v="South"/>
    <s v="PO2_South1"/>
    <s v="Đồng Tháp"/>
    <s v="Tiền Giang"/>
    <s v="TGCG19"/>
    <x v="198"/>
    <s v="Swap"/>
    <s v="Dual-band"/>
    <n v="3"/>
    <s v="New"/>
    <s v="PS mới 5G C"/>
    <n v="106.48647"/>
    <n v="10.374919999999999"/>
    <s v="Cho Gao"/>
    <s v="Month 2"/>
    <s v="Swap_L18 + L21 + NR 2.6 32T"/>
    <s v="Outdoor"/>
    <s v="Swap_Month 2"/>
    <n v="48020"/>
    <x v="23"/>
    <m/>
    <e v="#N/A"/>
    <s v="Macro"/>
    <x v="0"/>
    <n v="2"/>
  </r>
  <r>
    <s v="South"/>
    <s v="PO2_South1"/>
    <s v="Đồng Tháp"/>
    <s v="Tiền Giang"/>
    <s v="TGCGX1"/>
    <x v="198"/>
    <s v="Swap"/>
    <s v="Dual-band"/>
    <n v="3"/>
    <s v="New"/>
    <s v="PS mới 5G C"/>
    <n v="106.472984"/>
    <n v="10.365474000000001"/>
    <s v="Cho Gao"/>
    <s v="Month 2"/>
    <s v="Swap_L18 + L21 + NR 2.6 32T"/>
    <s v="Outdoor"/>
    <s v="Swap_Month 2"/>
    <n v="48020"/>
    <x v="23"/>
    <m/>
    <e v="#N/A"/>
    <s v="CRAN"/>
    <x v="1"/>
    <n v="2"/>
  </r>
  <r>
    <s v="South"/>
    <s v="PO2_South1"/>
    <s v="Đồng Tháp"/>
    <s v="Tiền Giang"/>
    <s v="TGCG20"/>
    <x v="199"/>
    <s v="Swap"/>
    <s v="Single-Band"/>
    <n v="3"/>
    <m/>
    <m/>
    <n v="106.44001"/>
    <n v="10.339779999999999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21"/>
    <x v="200"/>
    <s v="Swap"/>
    <s v="Single-Band"/>
    <n v="3"/>
    <s v="New"/>
    <s v="PS mới 5G C"/>
    <n v="106.45180999999999"/>
    <n v="10.368840000000001"/>
    <s v="Cho Gao"/>
    <s v="Month 2"/>
    <s v="Swap_L18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22"/>
    <x v="201"/>
    <s v="Swap"/>
    <s v="Single-Band"/>
    <n v="3"/>
    <m/>
    <m/>
    <n v="106.48502000000001"/>
    <n v="10.396739999999999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23"/>
    <x v="202"/>
    <s v="Swap"/>
    <s v="Dual-band"/>
    <n v="3"/>
    <s v="New"/>
    <s v="PS mới 5G C"/>
    <n v="106.53482"/>
    <n v="10.388210000000001"/>
    <s v="Cho Gao"/>
    <s v="Month 2"/>
    <s v="Swap_L18 + L21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24"/>
    <x v="203"/>
    <s v="Swap"/>
    <s v="Single-Band"/>
    <n v="3"/>
    <m/>
    <m/>
    <n v="106.53686"/>
    <n v="10.31255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25"/>
    <x v="204"/>
    <s v="Swap"/>
    <s v="Dual-band"/>
    <n v="3"/>
    <s v="New"/>
    <s v="PS mới 5G C"/>
    <n v="106.51353"/>
    <n v="10.376569999999999"/>
    <s v="Cho Gao"/>
    <s v="Month 2"/>
    <s v="Swap_L18 + L21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26"/>
    <x v="205"/>
    <s v="Swap"/>
    <s v="Single-Band"/>
    <n v="3"/>
    <m/>
    <m/>
    <n v="106.428"/>
    <n v="10.39015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27"/>
    <x v="206"/>
    <s v="Swap"/>
    <s v="Dual-band"/>
    <n v="3"/>
    <m/>
    <m/>
    <n v="106.47596"/>
    <n v="10.350059999999999"/>
    <s v="Cho Gao"/>
    <s v="Month 2"/>
    <s v="Swap_L18 + L21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28"/>
    <x v="207"/>
    <s v="Swap"/>
    <s v="Single-Band"/>
    <n v="3"/>
    <m/>
    <m/>
    <n v="106.39722"/>
    <n v="10.44112"/>
    <s v="Cho Gao"/>
    <s v="Month 2"/>
    <s v="Swap_L18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29"/>
    <x v="208"/>
    <s v="Swap"/>
    <s v="Dual-band"/>
    <n v="4"/>
    <s v="New"/>
    <s v="PS mới 5G C"/>
    <n v="106.44280000000001"/>
    <n v="10.3512"/>
    <s v="Cho Gao"/>
    <s v="Month 2"/>
    <s v="Swap_L18 + L21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30"/>
    <x v="209"/>
    <s v="Swap"/>
    <s v="Dual-band"/>
    <n v="3"/>
    <s v="New"/>
    <s v="PS mới 5G C"/>
    <n v="106.38343"/>
    <n v="10.45964"/>
    <s v="Cho Gao"/>
    <s v="Month 2"/>
    <s v="Swap_L18 + L21 + NR 2.6 32T"/>
    <s v="Outdoor"/>
    <s v="Swap_Month 2"/>
    <n v="48020"/>
    <x v="22"/>
    <m/>
    <e v="#N/A"/>
    <s v="Macro"/>
    <x v="0"/>
    <n v="3"/>
  </r>
  <r>
    <s v="South"/>
    <s v="PO2_South1"/>
    <s v="Đồng Tháp"/>
    <s v="Tiền Giang"/>
    <s v="TGCG39"/>
    <x v="209"/>
    <s v="Swap"/>
    <s v="Single-Band"/>
    <n v="3"/>
    <m/>
    <m/>
    <n v="106.39102"/>
    <n v="10.476660000000001"/>
    <s v="Cho Gao"/>
    <s v="Month 2"/>
    <s v="Swap_L18"/>
    <s v="Outdoor"/>
    <s v="Swap_Month 2"/>
    <n v="48020"/>
    <x v="22"/>
    <m/>
    <e v="#N/A"/>
    <s v="CRAN"/>
    <x v="1"/>
    <n v="3"/>
  </r>
  <r>
    <s v="South"/>
    <s v="PO2_South1"/>
    <s v="Đồng Tháp"/>
    <s v="Tiền Giang"/>
    <s v="TGCG53"/>
    <x v="209"/>
    <s v="Swap"/>
    <s v="Single-Band"/>
    <n v="3"/>
    <s v="New"/>
    <s v="PS mới 5G C"/>
    <n v="106.40535"/>
    <n v="10.452680000000001"/>
    <s v="Cho Gao"/>
    <s v="Month 2"/>
    <s v="Swap_L18 + NR 2.6 32T"/>
    <s v="Outdoor"/>
    <s v="Swap_Month 2"/>
    <n v="48020"/>
    <x v="22"/>
    <m/>
    <e v="#N/A"/>
    <s v="CRAN"/>
    <x v="1"/>
    <n v="3"/>
  </r>
  <r>
    <s v="South"/>
    <s v="PO2_South1"/>
    <s v="Đồng Tháp"/>
    <s v="Tiền Giang"/>
    <s v="TGCG31"/>
    <x v="210"/>
    <s v="Swap"/>
    <s v="Single-Band"/>
    <n v="3"/>
    <m/>
    <m/>
    <n v="106.4404"/>
    <n v="10.4514"/>
    <s v="Cho Gao"/>
    <s v="Month 2"/>
    <s v="Swap_L18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32"/>
    <x v="211"/>
    <s v="Swap"/>
    <s v="Single-Band"/>
    <n v="3"/>
    <s v="New"/>
    <s v="PS mới 5G C"/>
    <n v="106.51257649999999"/>
    <n v="10.357574899999999"/>
    <s v="Cho Gao"/>
    <s v="Month 2"/>
    <s v="Swap_L18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50"/>
    <x v="212"/>
    <s v="Swap"/>
    <s v="Dual-band"/>
    <n v="3"/>
    <s v="New"/>
    <s v="PS mới 5G C"/>
    <n v="106.52445"/>
    <n v="10.3279"/>
    <s v="Cho Gao"/>
    <s v="Month 2"/>
    <s v="Swap_L18 + L21 + NR 2.6 32T"/>
    <s v="Outdoor"/>
    <s v="Swap_Month 2"/>
    <n v="48020"/>
    <x v="21"/>
    <m/>
    <e v="#N/A"/>
    <s v="CRAN"/>
    <x v="1"/>
    <n v="1"/>
  </r>
  <r>
    <s v="South"/>
    <s v="PO2_South1"/>
    <s v="Đồng Tháp"/>
    <s v="Tiền Giang"/>
    <s v="TGCG35"/>
    <x v="213"/>
    <s v="Swap"/>
    <s v="Single-Band"/>
    <n v="3"/>
    <s v="New"/>
    <s v="PS mới 5G C"/>
    <n v="106.465"/>
    <n v="10.34652"/>
    <s v="Cho Gao"/>
    <s v="Month 2"/>
    <s v="Swap_L18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36"/>
    <x v="214"/>
    <s v="Swap"/>
    <s v="Single-Band"/>
    <n v="3"/>
    <s v="New"/>
    <s v="PS mới 5G C"/>
    <n v="106.42883"/>
    <n v="10.37533"/>
    <s v="Cho Gao"/>
    <s v="Month 2"/>
    <s v="Swap_L18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38"/>
    <x v="215"/>
    <s v="Swap"/>
    <s v="Single-Band"/>
    <n v="3"/>
    <m/>
    <m/>
    <n v="106.4629935"/>
    <n v="10.3154203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40"/>
    <x v="216"/>
    <s v="Swap"/>
    <s v="Single-Band"/>
    <n v="3"/>
    <s v="New"/>
    <s v="PS mới 5G C"/>
    <n v="106.48909"/>
    <n v="10.36265"/>
    <s v="Cho Gao"/>
    <s v="Month 2"/>
    <s v="Swap_L18 + NR 2.6 32T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41"/>
    <x v="217"/>
    <s v="Swap"/>
    <s v="Single-Band"/>
    <n v="3"/>
    <m/>
    <m/>
    <n v="106.44687"/>
    <n v="10.319380000000001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42"/>
    <x v="218"/>
    <s v="Swap"/>
    <s v="Single-Band"/>
    <n v="3"/>
    <m/>
    <m/>
    <n v="106.46913000000001"/>
    <n v="10.37834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43"/>
    <x v="219"/>
    <s v="Swap"/>
    <s v="Single-Band"/>
    <n v="3"/>
    <m/>
    <m/>
    <n v="106.4858"/>
    <n v="10.3215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44"/>
    <x v="220"/>
    <s v="Swap"/>
    <s v="Single-Band"/>
    <n v="3"/>
    <m/>
    <m/>
    <n v="106.41562999999999"/>
    <n v="10.464119999999999"/>
    <s v="Cho Gao"/>
    <s v="Month 2"/>
    <s v="Swap_L18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45"/>
    <x v="221"/>
    <s v="Swap"/>
    <s v="Dual-band"/>
    <n v="3"/>
    <s v="New"/>
    <s v="PS mới 5G C"/>
    <n v="106.45653"/>
    <n v="10.35534"/>
    <s v="Cho Gao"/>
    <s v="Month 2"/>
    <s v="Swap_L18 + L21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46"/>
    <x v="222"/>
    <s v="Swap"/>
    <s v="Single-Band"/>
    <n v="3"/>
    <m/>
    <m/>
    <n v="106.35383"/>
    <n v="10.400449999999999"/>
    <s v="Cho Gao"/>
    <s v="Month 2"/>
    <s v="Swap_L18"/>
    <s v="Outdoor"/>
    <s v="Swap_Month 2"/>
    <n v="48020"/>
    <x v="22"/>
    <m/>
    <e v="#N/A"/>
    <s v="Macro"/>
    <x v="2"/>
    <n v="1"/>
  </r>
  <r>
    <s v="South"/>
    <s v="PO2_South1"/>
    <s v="Đồng Tháp"/>
    <s v="Tiền Giang"/>
    <s v="TGCG48"/>
    <x v="223"/>
    <s v="Swap"/>
    <s v="Dual-band"/>
    <n v="3"/>
    <s v="New"/>
    <s v="PS mới 5G C"/>
    <n v="106.46720999999999"/>
    <n v="10.353730000000001"/>
    <s v="Cho Gao"/>
    <s v="Month 2"/>
    <s v="Swap_L18 + L21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14"/>
    <x v="224"/>
    <s v="Swap"/>
    <s v="Single-Band"/>
    <n v="3"/>
    <s v="New"/>
    <s v="PS mới 5G C"/>
    <n v="106.49108"/>
    <n v="10.34728"/>
    <s v="Cho Gao"/>
    <s v="Month 2"/>
    <s v="Swap_L18 + NR 2.6 32T"/>
    <s v="Outdoor"/>
    <s v="Swap_Month 2"/>
    <n v="48020"/>
    <x v="21"/>
    <m/>
    <e v="#N/A"/>
    <s v="CRAN"/>
    <x v="1"/>
    <n v="1"/>
  </r>
  <r>
    <s v="South"/>
    <s v="PO2_South1"/>
    <s v="Đồng Tháp"/>
    <s v="Tiền Giang"/>
    <s v="TGCG33"/>
    <x v="225"/>
    <s v="Swap"/>
    <s v="Single-Band"/>
    <n v="3"/>
    <m/>
    <m/>
    <n v="106.5186637"/>
    <n v="10.3442205"/>
    <s v="Cho Gao"/>
    <s v="Month 2"/>
    <s v="Swap_L18"/>
    <s v="Outdoor"/>
    <s v="Swap_Month 2"/>
    <n v="48020"/>
    <x v="21"/>
    <m/>
    <e v="#N/A"/>
    <s v="CRAN"/>
    <x v="1"/>
    <n v="1"/>
  </r>
  <r>
    <s v="South"/>
    <s v="PO2_South1"/>
    <s v="Đồng Tháp"/>
    <s v="Tiền Giang"/>
    <s v="TGCG51"/>
    <x v="226"/>
    <s v="Swap"/>
    <s v="Single-Band"/>
    <n v="3"/>
    <m/>
    <m/>
    <n v="106.41088999999999"/>
    <n v="10.38401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34"/>
    <x v="227"/>
    <s v="Swap"/>
    <s v="Single-Band"/>
    <n v="3"/>
    <m/>
    <m/>
    <n v="106.4345"/>
    <n v="10.407539999999999"/>
    <s v="Cho Gao"/>
    <s v="Month 2"/>
    <s v="Swap_L18"/>
    <s v="Outdoor"/>
    <s v="Swap_Month 2"/>
    <n v="48020"/>
    <x v="23"/>
    <m/>
    <s v="OK"/>
    <s v="CRAN"/>
    <x v="1"/>
    <n v="4"/>
  </r>
  <r>
    <s v="South"/>
    <s v="PO2_South1"/>
    <s v="Đồng Tháp"/>
    <s v="Tiền Giang"/>
    <s v="TGCG57"/>
    <x v="227"/>
    <s v="Swap"/>
    <s v="Single-Band"/>
    <n v="3"/>
    <m/>
    <m/>
    <n v="106.46892"/>
    <n v="10.39371"/>
    <s v="Cho Gao"/>
    <s v="Month 2"/>
    <s v="Swap_L18"/>
    <s v="Outdoor"/>
    <s v="Swap_Month 2"/>
    <n v="48020"/>
    <x v="23"/>
    <m/>
    <s v="OK"/>
    <s v="CRAN"/>
    <x v="1"/>
    <n v="4"/>
  </r>
  <r>
    <s v="South"/>
    <s v="PO2_South1"/>
    <s v="Đồng Tháp"/>
    <s v="Tiền Giang"/>
    <s v="TGCG52"/>
    <x v="227"/>
    <s v="Swap"/>
    <s v="Single-Band"/>
    <n v="3"/>
    <m/>
    <m/>
    <n v="106.44213000000001"/>
    <n v="10.3919"/>
    <s v="Cho Gao"/>
    <s v="Month 2"/>
    <s v="Swap_L18"/>
    <s v="Outdoor"/>
    <s v="Swap_Month 2"/>
    <n v="48020"/>
    <x v="23"/>
    <m/>
    <e v="#N/A"/>
    <s v="Macro"/>
    <x v="0"/>
    <n v="4"/>
  </r>
  <r>
    <s v="South"/>
    <s v="PO2_South1"/>
    <s v="Đồng Tháp"/>
    <s v="Tiền Giang"/>
    <s v="TGCG63"/>
    <x v="227"/>
    <s v="Swap"/>
    <s v="Single-Band"/>
    <n v="3"/>
    <m/>
    <m/>
    <n v="106.41509000000001"/>
    <n v="10.40212"/>
    <s v="Cho Gao"/>
    <s v="Month 2"/>
    <s v="Swap_L18"/>
    <s v="Outdoor"/>
    <s v="Swap_Month 2"/>
    <n v="48020"/>
    <x v="22"/>
    <m/>
    <e v="#N/A"/>
    <s v="CRAN"/>
    <x v="1"/>
    <n v="4"/>
  </r>
  <r>
    <s v="South"/>
    <s v="PO2_South1"/>
    <s v="Đồng Tháp"/>
    <s v="Tiền Giang"/>
    <s v="TGCG54"/>
    <x v="228"/>
    <s v="Swap"/>
    <s v="Dual-band"/>
    <n v="3"/>
    <s v="New"/>
    <s v="PS mới 5G C"/>
    <n v="106.41114"/>
    <n v="10.34914"/>
    <s v="Cho Gao"/>
    <s v="Month 2"/>
    <s v="Swap_L18 + L21 + NR 2.6 32T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56"/>
    <x v="229"/>
    <s v="Swap"/>
    <s v="Single-Band"/>
    <n v="3"/>
    <m/>
    <m/>
    <n v="106.4436748"/>
    <n v="10.379390600000001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59"/>
    <x v="230"/>
    <s v="Swap"/>
    <s v="Single-Band"/>
    <n v="3"/>
    <m/>
    <m/>
    <n v="106.49341389999999"/>
    <n v="10.3137553"/>
    <s v="Cho Gao"/>
    <s v="Month 2"/>
    <s v="Swap_L18"/>
    <s v="Outdoor"/>
    <s v="Swap_Month 2"/>
    <n v="48020"/>
    <x v="21"/>
    <m/>
    <e v="#N/A"/>
    <s v="Macro"/>
    <x v="2"/>
    <n v="1"/>
  </r>
  <r>
    <s v="South"/>
    <s v="PO2_South1"/>
    <s v="Đồng Tháp"/>
    <s v="Tiền Giang"/>
    <s v="TGCG60"/>
    <x v="231"/>
    <s v="Swap"/>
    <s v="Single-Band"/>
    <n v="3"/>
    <m/>
    <m/>
    <n v="106.50283"/>
    <n v="10.406677999999999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G64"/>
    <x v="232"/>
    <s v="Swap"/>
    <s v="Single-Band"/>
    <n v="3"/>
    <m/>
    <m/>
    <n v="106.52760000000001"/>
    <n v="10.3703"/>
    <s v="Cho Gao"/>
    <s v="Month 2"/>
    <s v="Swap_L18"/>
    <s v="Outdoor"/>
    <s v="Swap_Month 2"/>
    <n v="48020"/>
    <x v="23"/>
    <m/>
    <e v="#N/A"/>
    <s v="Macro"/>
    <x v="2"/>
    <n v="1"/>
  </r>
  <r>
    <s v="South"/>
    <s v="PO2_South1"/>
    <s v="Đồng Tháp"/>
    <s v="Tiền Giang"/>
    <s v="TGCL69"/>
    <x v="233"/>
    <s v="Swap"/>
    <s v="Dual-band"/>
    <n v="4"/>
    <s v="New"/>
    <s v="PS mới 5G C"/>
    <n v="106.0798301"/>
    <n v="10.4027142"/>
    <s v="Cai Lay"/>
    <n v="0"/>
    <s v="Swap_L18 + L21 + NR 2.6 32T"/>
    <s v="Outdoor"/>
    <s v="Swap_0"/>
    <n v="48080"/>
    <x v="25"/>
    <m/>
    <s v="OK"/>
    <s v="CRAN"/>
    <x v="1"/>
    <n v="3"/>
  </r>
  <r>
    <s v="South"/>
    <s v="PO2_South1"/>
    <s v="Đồng Tháp"/>
    <s v="Tiền Giang"/>
    <s v="TGCL81"/>
    <x v="233"/>
    <s v="Swap"/>
    <s v="Single-Band"/>
    <n v="3"/>
    <s v="New"/>
    <s v="PS mới 5G C"/>
    <n v="106.08287"/>
    <n v="10.422409999999999"/>
    <s v="Cai Lay"/>
    <n v="0"/>
    <s v="Swap_L18 + NR 2.6 32T"/>
    <s v="Outdoor"/>
    <s v="Swap_0"/>
    <n v="48080"/>
    <x v="25"/>
    <m/>
    <s v="OK"/>
    <s v="CRAN"/>
    <x v="1"/>
    <n v="3"/>
  </r>
  <r>
    <s v="South"/>
    <s v="PO2_South1"/>
    <s v="Đồng Tháp"/>
    <s v="Tiền Giang"/>
    <s v="TGCL03"/>
    <x v="233"/>
    <s v="Swap"/>
    <s v="Dual-band"/>
    <n v="4"/>
    <s v="New"/>
    <s v="PS mới 5G C"/>
    <n v="106.0786457"/>
    <n v="10.4143089"/>
    <s v="Cai Lay"/>
    <n v="0"/>
    <s v="Swap_L18 + L21 + NR 2.6 32T"/>
    <s v="Outdoor"/>
    <s v="Swap_0"/>
    <n v="48080"/>
    <x v="25"/>
    <m/>
    <e v="#N/A"/>
    <s v="Macro"/>
    <x v="0"/>
    <n v="3"/>
  </r>
  <r>
    <s v="South"/>
    <s v="PO2_South1"/>
    <s v="Đồng Tháp"/>
    <s v="Tiền Giang"/>
    <s v="TGCL79"/>
    <x v="234"/>
    <s v="Swap"/>
    <s v="Single-Band"/>
    <n v="3"/>
    <s v="New"/>
    <s v="PS mới 5G C"/>
    <n v="106.03738"/>
    <n v="10.413653999999999"/>
    <s v="Cai Lay"/>
    <n v="0"/>
    <s v="Swap_L18 + NR 2.6 32T"/>
    <s v="Outdoor"/>
    <s v="Swap_0"/>
    <n v="48080"/>
    <x v="25"/>
    <m/>
    <s v="OK"/>
    <s v="CRAN"/>
    <x v="1"/>
    <n v="2"/>
  </r>
  <r>
    <s v="South"/>
    <s v="PO2_South1"/>
    <s v="Đồng Tháp"/>
    <s v="Tiền Giang"/>
    <s v="TGCL04"/>
    <x v="234"/>
    <s v="Swap"/>
    <s v="Dual-band"/>
    <n v="4"/>
    <s v="New"/>
    <s v="PS mới 5G C"/>
    <n v="106.0503622"/>
    <n v="10.404416599999999"/>
    <s v="Cai Lay"/>
    <n v="0"/>
    <s v="Swap_L18 + L21 + NR 2.6 32T"/>
    <s v="Outdoor"/>
    <s v="Swap_0"/>
    <n v="48080"/>
    <x v="25"/>
    <m/>
    <e v="#N/A"/>
    <s v="Macro"/>
    <x v="0"/>
    <n v="2"/>
  </r>
  <r>
    <s v="South"/>
    <s v="PO2_South1"/>
    <s v="Đồng Tháp"/>
    <s v="Tiền Giang"/>
    <s v="TGCL05"/>
    <x v="235"/>
    <s v="Swap"/>
    <s v="Single-Band"/>
    <n v="3"/>
    <m/>
    <m/>
    <n v="106.0818094"/>
    <n v="10.3735754"/>
    <s v="Cai Lay"/>
    <n v="0"/>
    <s v="Swap_L18"/>
    <s v="Outdoor"/>
    <s v="Swap_0"/>
    <n v="48080"/>
    <x v="26"/>
    <m/>
    <e v="#N/A"/>
    <s v="Macro"/>
    <x v="0"/>
    <n v="2"/>
  </r>
  <r>
    <s v="South"/>
    <s v="PO2_South1"/>
    <s v="Đồng Tháp"/>
    <s v="Tiền Giang"/>
    <s v="TGCY40"/>
    <x v="235"/>
    <s v="Swap"/>
    <s v="Single-Band"/>
    <n v="3"/>
    <m/>
    <m/>
    <n v="106.10083"/>
    <n v="10.374320000000001"/>
    <s v="TX Cai Lay"/>
    <n v="0"/>
    <s v="Swap_L18"/>
    <s v="Outdoor"/>
    <s v="Swap_0"/>
    <n v="48090"/>
    <x v="26"/>
    <m/>
    <e v="#N/A"/>
    <s v="CRAN"/>
    <x v="1"/>
    <n v="2"/>
  </r>
  <r>
    <s v="South"/>
    <s v="PO2_South1"/>
    <s v="Đồng Tháp"/>
    <s v="Tiền Giang"/>
    <s v="TGCY41"/>
    <x v="236"/>
    <s v="Swap"/>
    <s v="Single-Band"/>
    <n v="3"/>
    <m/>
    <m/>
    <n v="106.14127999999999"/>
    <n v="10.3749"/>
    <s v="TX Cai Lay"/>
    <n v="0"/>
    <s v="Swap_L18"/>
    <s v="Outdoor"/>
    <s v="Swap_0"/>
    <n v="48090"/>
    <x v="27"/>
    <m/>
    <s v="OK"/>
    <s v="CRAN"/>
    <x v="1"/>
    <n v="5"/>
  </r>
  <r>
    <s v="South"/>
    <s v="PO2_South1"/>
    <s v="Đồng Tháp"/>
    <s v="Tiền Giang"/>
    <s v="TGCL06"/>
    <x v="236"/>
    <s v="Swap"/>
    <s v="Single-Band"/>
    <n v="3"/>
    <m/>
    <m/>
    <n v="106.1381652"/>
    <n v="10.3488238"/>
    <s v="Cai Lay"/>
    <n v="0"/>
    <s v="Swap_L18"/>
    <s v="Outdoor"/>
    <s v="Swap_0"/>
    <n v="48080"/>
    <x v="28"/>
    <m/>
    <e v="#N/A"/>
    <s v="Macro"/>
    <x v="0"/>
    <n v="5"/>
  </r>
  <r>
    <s v="South"/>
    <s v="PO2_South1"/>
    <s v="Đồng Tháp"/>
    <s v="Tiền Giang"/>
    <s v="TGCL29"/>
    <x v="236"/>
    <s v="Swap"/>
    <s v="Single-Band"/>
    <n v="3"/>
    <s v="New"/>
    <s v="PS mới 5G C"/>
    <n v="106.1547092"/>
    <n v="10.354159299999999"/>
    <s v="Cai Lay"/>
    <n v="0"/>
    <s v="Swap_L18 + NR 2.6 32T"/>
    <s v="Outdoor"/>
    <s v="Swap_0"/>
    <n v="48080"/>
    <x v="28"/>
    <m/>
    <e v="#N/A"/>
    <s v="CRAN"/>
    <x v="1"/>
    <n v="5"/>
  </r>
  <r>
    <s v="South"/>
    <s v="PO2_South1"/>
    <s v="Đồng Tháp"/>
    <s v="Tiền Giang"/>
    <s v="TGCL53"/>
    <x v="236"/>
    <s v="Swap"/>
    <s v="Single-Band"/>
    <n v="3"/>
    <m/>
    <m/>
    <n v="106.15494889999999"/>
    <n v="10.334053900000001"/>
    <s v="Cai Lay"/>
    <n v="0"/>
    <s v="Swap_L18"/>
    <s v="Outdoor"/>
    <s v="Swap_0"/>
    <n v="48080"/>
    <x v="28"/>
    <m/>
    <e v="#N/A"/>
    <s v="CRAN"/>
    <x v="1"/>
    <n v="5"/>
  </r>
  <r>
    <s v="South"/>
    <s v="PO2_South1"/>
    <s v="Đồng Tháp"/>
    <s v="Tiền Giang"/>
    <s v="TGCL62"/>
    <x v="236"/>
    <s v="Swap"/>
    <s v="Single-Band"/>
    <n v="3"/>
    <s v="New"/>
    <s v="PS mới 5G C"/>
    <n v="106.122818"/>
    <n v="10.342208400000001"/>
    <s v="Cai Lay"/>
    <n v="0"/>
    <s v="Swap_L18 + NR 2.6 32T"/>
    <s v="Outdoor"/>
    <s v="Swap_0"/>
    <n v="48080"/>
    <x v="28"/>
    <m/>
    <e v="#N/A"/>
    <s v="CRAN"/>
    <x v="1"/>
    <n v="5"/>
  </r>
  <r>
    <s v="South"/>
    <s v="PO2_South1"/>
    <s v="Đồng Tháp"/>
    <s v="Tiền Giang"/>
    <s v="TGCL09"/>
    <x v="237"/>
    <s v="Swap"/>
    <s v="Single-Band"/>
    <n v="3"/>
    <m/>
    <m/>
    <n v="106.0051004"/>
    <n v="10.4753311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10"/>
    <x v="238"/>
    <s v="Swap"/>
    <s v="Single-Band"/>
    <n v="3"/>
    <s v="New"/>
    <s v="PS mới 5G C"/>
    <n v="106.0504419"/>
    <n v="10.444001099999999"/>
    <s v="Cai Lay"/>
    <n v="0"/>
    <s v="Swap_L18 + NR 2.6 32T"/>
    <s v="Outdoor"/>
    <s v="Swap_0"/>
    <n v="48080"/>
    <x v="25"/>
    <m/>
    <e v="#N/A"/>
    <s v="Macro"/>
    <x v="2"/>
    <n v="1"/>
  </r>
  <r>
    <s v="South"/>
    <s v="PO2_South1"/>
    <s v="Đồng Tháp"/>
    <s v="Tiền Giang"/>
    <s v="TGCL11"/>
    <x v="239"/>
    <s v="Swap"/>
    <s v="Single-Band"/>
    <n v="3"/>
    <m/>
    <m/>
    <n v="106.116607"/>
    <n v="10.302769400000001"/>
    <s v="Cai Lay"/>
    <n v="0"/>
    <s v="Swap_L18"/>
    <s v="Outdoor"/>
    <s v="Swap_0"/>
    <n v="48080"/>
    <x v="28"/>
    <m/>
    <e v="#N/A"/>
    <s v="Macro"/>
    <x v="0"/>
    <n v="2"/>
  </r>
  <r>
    <s v="South"/>
    <s v="PO2_South1"/>
    <s v="Đồng Tháp"/>
    <s v="Tiền Giang"/>
    <s v="TGCL43"/>
    <x v="239"/>
    <s v="Swap"/>
    <s v="Single-Band"/>
    <n v="3"/>
    <m/>
    <m/>
    <n v="106.1406995"/>
    <n v="10.292770300000001"/>
    <s v="Cai Lay"/>
    <n v="0"/>
    <s v="Swap_L18"/>
    <s v="Outdoor"/>
    <s v="Swap_0"/>
    <n v="48080"/>
    <x v="28"/>
    <m/>
    <e v="#N/A"/>
    <s v="CRAN"/>
    <x v="1"/>
    <n v="2"/>
  </r>
  <r>
    <s v="South"/>
    <s v="PO2_South1"/>
    <s v="Đồng Tháp"/>
    <s v="Tiền Giang"/>
    <s v="TGCL14"/>
    <x v="240"/>
    <s v="Swap"/>
    <s v="Dual-band"/>
    <n v="4"/>
    <s v="Swap"/>
    <s v="Swap (PS mới 5G A)"/>
    <n v="106.04231299999999"/>
    <n v="10.373279399999999"/>
    <s v="Cai Lay"/>
    <n v="0"/>
    <s v="Swap_L18 + L21 + NR 2.6 64T + NR 3.8"/>
    <s v="Outdoor"/>
    <s v="Swap_0"/>
    <n v="48080"/>
    <x v="26"/>
    <m/>
    <e v="#N/A"/>
    <s v="Macro"/>
    <x v="2"/>
    <n v="1"/>
  </r>
  <r>
    <s v="South"/>
    <s v="PO2_South1"/>
    <s v="Đồng Tháp"/>
    <s v="Tiền Giang"/>
    <s v="TGCL15"/>
    <x v="241"/>
    <s v="Swap"/>
    <s v="Dual-band"/>
    <n v="3"/>
    <m/>
    <m/>
    <n v="106.15770999999999"/>
    <n v="10.3103"/>
    <s v="Cai Lay"/>
    <n v="0"/>
    <s v="Swap_L18 + L21"/>
    <s v="Outdoor"/>
    <s v="Swap_0"/>
    <n v="48080"/>
    <x v="28"/>
    <m/>
    <e v="#N/A"/>
    <s v="Macro"/>
    <x v="0"/>
    <n v="2"/>
  </r>
  <r>
    <s v="South"/>
    <s v="PO2_South1"/>
    <s v="Đồng Tháp"/>
    <s v="Tiền Giang"/>
    <s v="TGCL74"/>
    <x v="241"/>
    <s v="Swap"/>
    <s v="Single-Band"/>
    <n v="3"/>
    <m/>
    <m/>
    <n v="106.1681882"/>
    <n v="10.329634"/>
    <s v="Cai Lay"/>
    <n v="0"/>
    <s v="Swap_L18"/>
    <s v="Outdoor"/>
    <s v="Swap_0"/>
    <n v="48080"/>
    <x v="28"/>
    <m/>
    <e v="#N/A"/>
    <s v="CRAN"/>
    <x v="1"/>
    <n v="2"/>
  </r>
  <r>
    <s v="South"/>
    <s v="PO2_South1"/>
    <s v="Đồng Tháp"/>
    <s v="Tiền Giang"/>
    <s v="TGCL16"/>
    <x v="242"/>
    <s v="Swap"/>
    <s v="Single-Band"/>
    <n v="3"/>
    <m/>
    <m/>
    <n v="106.04103000000001"/>
    <n v="10.50901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17"/>
    <x v="243"/>
    <s v="Swap"/>
    <s v="Dual-band"/>
    <n v="4"/>
    <m/>
    <m/>
    <n v="106.0568311"/>
    <n v="10.3711254"/>
    <s v="Cai Lay"/>
    <n v="0"/>
    <s v="Swap_L18 + L21"/>
    <s v="Outdoor"/>
    <s v="Swap_0"/>
    <n v="48080"/>
    <x v="26"/>
    <m/>
    <e v="#N/A"/>
    <s v="Macro"/>
    <x v="2"/>
    <n v="1"/>
  </r>
  <r>
    <s v="South"/>
    <s v="PO2_South1"/>
    <s v="Đồng Tháp"/>
    <s v="Tiền Giang"/>
    <s v="TGCL80"/>
    <x v="244"/>
    <s v="Swap"/>
    <s v="Single-Band"/>
    <n v="3"/>
    <m/>
    <m/>
    <n v="106.10472"/>
    <n v="10.335800000000001"/>
    <s v="Cai Lay"/>
    <n v="0"/>
    <s v="Swap_L18"/>
    <s v="Outdoor"/>
    <s v="Swap_0"/>
    <n v="48080"/>
    <x v="26"/>
    <m/>
    <s v="OK"/>
    <s v="CRAN"/>
    <x v="1"/>
    <n v="3"/>
  </r>
  <r>
    <s v="South"/>
    <s v="PO2_South1"/>
    <s v="Đồng Tháp"/>
    <s v="Tiền Giang"/>
    <s v="TGCL20"/>
    <x v="244"/>
    <s v="Swap"/>
    <s v="Single-Band"/>
    <n v="3"/>
    <m/>
    <m/>
    <n v="106.08636730000001"/>
    <n v="10.353046600000001"/>
    <s v="Cai Lay"/>
    <n v="0"/>
    <s v="Swap_L18"/>
    <s v="Outdoor"/>
    <s v="Swap_0"/>
    <n v="48080"/>
    <x v="26"/>
    <m/>
    <e v="#N/A"/>
    <s v="Macro"/>
    <x v="0"/>
    <n v="3"/>
  </r>
  <r>
    <s v="South"/>
    <s v="PO2_South1"/>
    <s v="Đồng Tháp"/>
    <s v="Tiền Giang"/>
    <s v="TGCY34"/>
    <x v="244"/>
    <s v="Swap"/>
    <s v="Single-Band"/>
    <n v="3"/>
    <m/>
    <m/>
    <n v="106.10416669999999"/>
    <n v="10.356373400000001"/>
    <s v="TX Cai Lay"/>
    <n v="0"/>
    <s v="Swap_L18"/>
    <s v="Outdoor"/>
    <s v="Swap_0"/>
    <n v="48090"/>
    <x v="26"/>
    <m/>
    <e v="#N/A"/>
    <s v="CRAN"/>
    <x v="1"/>
    <n v="3"/>
  </r>
  <r>
    <s v="South"/>
    <s v="PO2_South1"/>
    <s v="Đồng Tháp"/>
    <s v="Tiền Giang"/>
    <s v="TGCT63"/>
    <x v="245"/>
    <s v="Swap"/>
    <s v="Single-Band"/>
    <n v="3"/>
    <m/>
    <m/>
    <n v="106.208715"/>
    <n v="10.363906"/>
    <s v="Chau Thanh"/>
    <n v="0"/>
    <s v="Swap_L18"/>
    <s v="Outdoor"/>
    <s v="Swap_0"/>
    <n v="48010"/>
    <x v="29"/>
    <m/>
    <s v="OK"/>
    <s v="CRAN"/>
    <x v="1"/>
    <n v="3"/>
  </r>
  <r>
    <s v="South"/>
    <s v="PO2_South1"/>
    <s v="Đồng Tháp"/>
    <s v="Tiền Giang"/>
    <s v="TGCL21"/>
    <x v="245"/>
    <s v="Swap"/>
    <s v="Dual-band"/>
    <n v="3"/>
    <s v="New"/>
    <s v="PS mới 5G C"/>
    <n v="106.18513369999999"/>
    <n v="10.361095000000001"/>
    <s v="Cai Lay"/>
    <n v="0"/>
    <s v="Swap_L18 + L21 + NR 2.6 32T"/>
    <s v="Outdoor"/>
    <s v="Swap_0"/>
    <n v="48080"/>
    <x v="29"/>
    <m/>
    <e v="#N/A"/>
    <s v="Macro"/>
    <x v="0"/>
    <n v="3"/>
  </r>
  <r>
    <s v="South"/>
    <s v="PO2_South1"/>
    <s v="Đồng Tháp"/>
    <s v="Tiền Giang"/>
    <s v="TGCT29"/>
    <x v="245"/>
    <s v="Swap"/>
    <s v="Single-Band"/>
    <n v="3"/>
    <m/>
    <m/>
    <n v="106.18644999999999"/>
    <n v="10.341519999999999"/>
    <s v="Chau Thanh"/>
    <n v="0"/>
    <s v="Swap_L18"/>
    <s v="Outdoor"/>
    <s v="Swap_0"/>
    <n v="48010"/>
    <x v="29"/>
    <m/>
    <e v="#N/A"/>
    <s v="CRAN"/>
    <x v="1"/>
    <n v="3"/>
  </r>
  <r>
    <s v="South"/>
    <s v="PO2_South1"/>
    <s v="Đồng Tháp"/>
    <s v="Tiền Giang"/>
    <s v="TGCY14"/>
    <x v="246"/>
    <s v="Swap"/>
    <s v="Single-Band"/>
    <n v="3"/>
    <s v="New"/>
    <s v="PS mới 5G C"/>
    <n v="106.0952984"/>
    <n v="10.3869568"/>
    <s v="TX Cai Lay"/>
    <n v="0"/>
    <s v="Swap_L18 + NR 2.6 32T"/>
    <s v="Outdoor"/>
    <s v="Swap_0"/>
    <n v="48090"/>
    <x v="27"/>
    <m/>
    <e v="#N/A"/>
    <s v="CRAN"/>
    <x v="1"/>
    <n v="2"/>
  </r>
  <r>
    <s v="South"/>
    <s v="PO2_South1"/>
    <s v="Đồng Tháp"/>
    <s v="Tiền Giang"/>
    <s v="TGCL23"/>
    <x v="246"/>
    <s v="Swap"/>
    <s v="Single-Band"/>
    <n v="3"/>
    <m/>
    <m/>
    <n v="106.0778121"/>
    <n v="10.392661199999999"/>
    <s v="Cai Lay"/>
    <n v="0"/>
    <s v="Swap_L18"/>
    <s v="Outdoor"/>
    <s v="Swap_0"/>
    <n v="48080"/>
    <x v="26"/>
    <m/>
    <e v="#N/A"/>
    <s v="Macro"/>
    <x v="0"/>
    <n v="2"/>
  </r>
  <r>
    <s v="South"/>
    <s v="PO2_South1"/>
    <s v="Đồng Tháp"/>
    <s v="Tiền Giang"/>
    <s v="TGCB73"/>
    <x v="247"/>
    <s v="Swap"/>
    <s v="Single-Band"/>
    <n v="3"/>
    <m/>
    <m/>
    <n v="105.98444000000001"/>
    <n v="10.50752"/>
    <s v="Cai Be"/>
    <n v="0"/>
    <s v="Swap_L18"/>
    <s v="Outdoor"/>
    <s v="Swap_0"/>
    <n v="48000"/>
    <x v="25"/>
    <m/>
    <e v="#N/A"/>
    <s v="CRAN"/>
    <x v="1"/>
    <n v="2"/>
  </r>
  <r>
    <s v="South"/>
    <s v="PO2_South1"/>
    <s v="Đồng Tháp"/>
    <s v="Tiền Giang"/>
    <s v="TGCL30"/>
    <x v="247"/>
    <s v="Swap"/>
    <s v="Single-Band"/>
    <n v="3"/>
    <m/>
    <m/>
    <n v="106.00552999999999"/>
    <n v="10.509790000000001"/>
    <s v="Cai Lay"/>
    <n v="0"/>
    <s v="Swap_L18 + NR 7 + L9"/>
    <s v="Outdoor"/>
    <s v="Swap_0"/>
    <n v="48080"/>
    <x v="25"/>
    <m/>
    <e v="#N/A"/>
    <s v="Macro"/>
    <x v="0"/>
    <n v="2"/>
  </r>
  <r>
    <s v="South"/>
    <s v="PO2_South1"/>
    <s v="Đồng Tháp"/>
    <s v="Tiền Giang"/>
    <s v="TGCL33"/>
    <x v="248"/>
    <s v="Swap"/>
    <s v="Dual-band"/>
    <n v="3"/>
    <s v="New"/>
    <s v="PS mới 5G C"/>
    <n v="106.0917931"/>
    <n v="10.322255800000001"/>
    <s v="Cai Lay"/>
    <n v="0"/>
    <s v="Swap_L18 + L21 + NR 2.6 32T"/>
    <s v="Outdoor"/>
    <s v="Swap_0"/>
    <n v="48080"/>
    <x v="26"/>
    <m/>
    <e v="#N/A"/>
    <s v="Macro"/>
    <x v="2"/>
    <n v="1"/>
  </r>
  <r>
    <s v="South"/>
    <s v="PO2_South1"/>
    <s v="Đồng Tháp"/>
    <s v="Tiền Giang"/>
    <s v="TGCL34"/>
    <x v="249"/>
    <s v="Swap"/>
    <s v="Single-Band"/>
    <n v="3"/>
    <s v="New"/>
    <s v="PS mới 5G C"/>
    <n v="106.07538"/>
    <n v="10.445510000000001"/>
    <s v="Cai Lay"/>
    <n v="0"/>
    <s v="Swap_L18 + NR 2.6 32T"/>
    <s v="Outdoor"/>
    <s v="Swap_0"/>
    <n v="48080"/>
    <x v="25"/>
    <m/>
    <e v="#N/A"/>
    <s v="Macro"/>
    <x v="2"/>
    <n v="1"/>
  </r>
  <r>
    <s v="South"/>
    <s v="PO2_South1"/>
    <s v="Đồng Tháp"/>
    <s v="Tiền Giang"/>
    <s v="TGCL70"/>
    <x v="250"/>
    <s v="Swap"/>
    <s v="Single-Band"/>
    <n v="3"/>
    <m/>
    <m/>
    <n v="106.06713000000001"/>
    <n v="10.497350000000001"/>
    <s v="Cai Lay"/>
    <n v="0"/>
    <s v="Swap_L18"/>
    <s v="Outdoor"/>
    <s v="Swap_0"/>
    <n v="48080"/>
    <x v="25"/>
    <m/>
    <s v="OK"/>
    <s v="CRAN"/>
    <x v="1"/>
    <n v="2"/>
  </r>
  <r>
    <s v="South"/>
    <s v="PO2_South1"/>
    <s v="Đồng Tháp"/>
    <s v="Tiền Giang"/>
    <s v="TGCL41"/>
    <x v="250"/>
    <s v="Swap"/>
    <s v="Single-Band"/>
    <n v="3"/>
    <m/>
    <m/>
    <n v="106.07319"/>
    <n v="10.47452"/>
    <s v="Cai Lay"/>
    <n v="0"/>
    <s v="Swap_L18"/>
    <s v="Outdoor"/>
    <s v="Swap_0"/>
    <n v="48080"/>
    <x v="25"/>
    <m/>
    <e v="#N/A"/>
    <s v="Macro"/>
    <x v="0"/>
    <n v="2"/>
  </r>
  <r>
    <s v="South"/>
    <s v="PO2_South1"/>
    <s v="Đồng Tháp"/>
    <s v="Tiền Giang"/>
    <s v="TGCL42"/>
    <x v="251"/>
    <s v="Swap"/>
    <s v="Single-Band"/>
    <n v="3"/>
    <m/>
    <m/>
    <n v="106.02630000000001"/>
    <n v="10.458449999999999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45"/>
    <x v="252"/>
    <s v="Swap"/>
    <s v="Single-Band"/>
    <n v="3"/>
    <m/>
    <m/>
    <n v="106.0312996"/>
    <n v="10.4277563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TP22"/>
    <x v="253"/>
    <s v="Swap"/>
    <s v="Single-Band"/>
    <n v="3"/>
    <m/>
    <m/>
    <n v="106.10242100000001"/>
    <n v="10.522252"/>
    <s v="Tan Phuoc"/>
    <n v="0"/>
    <s v="Swap_L18 + NR 7 + L9"/>
    <s v="Outdoor"/>
    <s v="Swap_0"/>
    <n v="48070"/>
    <x v="30"/>
    <m/>
    <e v="#N/A"/>
    <s v="CRAN"/>
    <x v="1"/>
    <n v="2"/>
  </r>
  <r>
    <s v="South"/>
    <s v="PO2_South1"/>
    <s v="Đồng Tháp"/>
    <s v="Tiền Giang"/>
    <s v="TGCL46"/>
    <x v="253"/>
    <s v="Swap"/>
    <s v="Single-Band"/>
    <n v="3"/>
    <m/>
    <m/>
    <n v="106.08343000000001"/>
    <n v="10.522830000000001"/>
    <s v="Cai Lay"/>
    <n v="0"/>
    <s v="Swap_L18"/>
    <s v="Outdoor"/>
    <s v="Swap_0"/>
    <n v="48080"/>
    <x v="25"/>
    <m/>
    <e v="#N/A"/>
    <s v="Macro"/>
    <x v="0"/>
    <n v="2"/>
  </r>
  <r>
    <s v="South"/>
    <s v="PO2_South1"/>
    <s v="Đồng Tháp"/>
    <s v="Tiền Giang"/>
    <s v="TGCL24"/>
    <x v="254"/>
    <s v="Swap"/>
    <s v="Dual-band"/>
    <n v="3"/>
    <s v="New"/>
    <s v="PS mới 5G C"/>
    <n v="106.0615016"/>
    <n v="10.3543246"/>
    <s v="Cai Lay"/>
    <n v="0"/>
    <s v="Swap_L18 + L21 + NR 2.6 32T"/>
    <s v="Outdoor"/>
    <s v="Swap_0"/>
    <n v="48080"/>
    <x v="26"/>
    <m/>
    <e v="#N/A"/>
    <s v="CRAN"/>
    <x v="1"/>
    <n v="3"/>
  </r>
  <r>
    <s v="South"/>
    <s v="PO2_South1"/>
    <s v="Đồng Tháp"/>
    <s v="Tiền Giang"/>
    <s v="TGCL47"/>
    <x v="254"/>
    <s v="Swap"/>
    <s v="Dual-band"/>
    <n v="3"/>
    <s v="New"/>
    <s v="PS mới 5G C"/>
    <n v="106.059601"/>
    <n v="10.330411099999999"/>
    <s v="Cai Lay"/>
    <n v="0"/>
    <s v="Swap_L18 + L21 + NR 2.6 32T"/>
    <s v="Outdoor"/>
    <s v="Swap_0"/>
    <n v="48080"/>
    <x v="26"/>
    <m/>
    <e v="#N/A"/>
    <s v="Macro"/>
    <x v="0"/>
    <n v="3"/>
  </r>
  <r>
    <s v="South"/>
    <s v="PO2_South1"/>
    <s v="Đồng Tháp"/>
    <s v="Tiền Giang"/>
    <s v="TGCL68"/>
    <x v="254"/>
    <s v="Swap"/>
    <s v="Single-Band"/>
    <n v="3"/>
    <m/>
    <m/>
    <n v="106.07579990000001"/>
    <n v="10.3249119"/>
    <s v="Cai Lay"/>
    <n v="0"/>
    <s v="Swap_L18"/>
    <s v="Outdoor"/>
    <s v="Swap_0"/>
    <n v="48080"/>
    <x v="26"/>
    <m/>
    <e v="#N/A"/>
    <s v="CRAN"/>
    <x v="1"/>
    <n v="3"/>
  </r>
  <r>
    <s v="South"/>
    <s v="PO2_South1"/>
    <s v="Đồng Tháp"/>
    <s v="Tiền Giang"/>
    <s v="TGCL49"/>
    <x v="255"/>
    <s v="Swap"/>
    <s v="Dual-band"/>
    <n v="3"/>
    <m/>
    <m/>
    <n v="106.12163510000001"/>
    <n v="10.319219"/>
    <s v="Cai Lay"/>
    <n v="0"/>
    <s v="Swap_L18 + L21"/>
    <s v="Outdoor"/>
    <s v="Swap_0"/>
    <n v="48080"/>
    <x v="28"/>
    <m/>
    <e v="#N/A"/>
    <s v="Macro"/>
    <x v="0"/>
    <n v="3"/>
  </r>
  <r>
    <s v="South"/>
    <s v="PO2_South1"/>
    <s v="Đồng Tháp"/>
    <s v="Tiền Giang"/>
    <s v="TGCL67"/>
    <x v="255"/>
    <s v="Swap"/>
    <s v="Dual-band"/>
    <n v="3"/>
    <s v="New"/>
    <s v="PS mới 5G C"/>
    <n v="106.1193406"/>
    <n v="10.3105054"/>
    <s v="Cai Lay"/>
    <n v="0"/>
    <s v="Swap_L18 + L21 + NR 2.6 32T"/>
    <s v="Outdoor"/>
    <s v="Swap_0"/>
    <n v="48080"/>
    <x v="28"/>
    <m/>
    <e v="#N/A"/>
    <s v="CRAN"/>
    <x v="1"/>
    <n v="3"/>
  </r>
  <r>
    <s v="South"/>
    <s v="PO2_South1"/>
    <s v="Đồng Tháp"/>
    <s v="Tiền Giang"/>
    <s v="TGCL73"/>
    <x v="255"/>
    <s v="Swap"/>
    <s v="Single-Band"/>
    <n v="3"/>
    <m/>
    <m/>
    <n v="106.12553"/>
    <n v="10.33131"/>
    <s v="Cai Lay"/>
    <n v="0"/>
    <s v="Swap_L18"/>
    <s v="Outdoor"/>
    <s v="Swap_0"/>
    <n v="48080"/>
    <x v="28"/>
    <m/>
    <e v="#N/A"/>
    <s v="CRAN"/>
    <x v="1"/>
    <n v="3"/>
  </r>
  <r>
    <s v="South"/>
    <s v="PO2_South1"/>
    <s v="Đồng Tháp"/>
    <s v="Tiền Giang"/>
    <s v="TGCL50"/>
    <x v="256"/>
    <s v="Swap"/>
    <s v="Dual-band"/>
    <n v="3"/>
    <s v="New"/>
    <s v="PS mới 5G C"/>
    <n v="106.09814"/>
    <n v="10.424200000000001"/>
    <s v="Cai Lay"/>
    <n v="0"/>
    <s v="Swap_L18 + L21 + NR 2.6 32T"/>
    <s v="Outdoor"/>
    <s v="Swap_0"/>
    <n v="48080"/>
    <x v="25"/>
    <m/>
    <e v="#N/A"/>
    <s v="Macro"/>
    <x v="2"/>
    <n v="1"/>
  </r>
  <r>
    <s v="South"/>
    <s v="PO2_South1"/>
    <s v="Đồng Tháp"/>
    <s v="Tiền Giang"/>
    <s v="TGCL51"/>
    <x v="257"/>
    <s v="Swap"/>
    <s v="Dual-band"/>
    <n v="3"/>
    <s v="New"/>
    <s v="PS mới 5G C"/>
    <n v="106.1813471"/>
    <n v="10.3182279"/>
    <s v="Cai Lay"/>
    <n v="0"/>
    <s v="Swap_L18 + L21 + NR 2.6 32T"/>
    <s v="Outdoor"/>
    <s v="Swap_0"/>
    <n v="48080"/>
    <x v="28"/>
    <m/>
    <e v="#N/A"/>
    <s v="Macro"/>
    <x v="2"/>
    <n v="1"/>
  </r>
  <r>
    <s v="South"/>
    <s v="PO2_South1"/>
    <s v="Đồng Tháp"/>
    <s v="Tiền Giang"/>
    <s v="TGCL52"/>
    <x v="258"/>
    <s v="Swap"/>
    <s v="Single-Band"/>
    <n v="3"/>
    <m/>
    <m/>
    <n v="106.03658"/>
    <n v="10.474539999999999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54"/>
    <x v="259"/>
    <s v="Swap"/>
    <s v="Dual-band"/>
    <n v="4"/>
    <m/>
    <m/>
    <n v="106.05632230000001"/>
    <n v="10.390164"/>
    <s v="Cai Lay"/>
    <n v="0"/>
    <s v="Swap_L18 + L21"/>
    <s v="Outdoor"/>
    <s v="Swap_0"/>
    <n v="48080"/>
    <x v="26"/>
    <m/>
    <e v="#N/A"/>
    <s v="Macro"/>
    <x v="2"/>
    <n v="1"/>
  </r>
  <r>
    <s v="South"/>
    <s v="PO2_South1"/>
    <s v="Đồng Tháp"/>
    <s v="Tiền Giang"/>
    <s v="TGCL58"/>
    <x v="260"/>
    <s v="Swap"/>
    <s v="Single-Band"/>
    <n v="3"/>
    <m/>
    <m/>
    <n v="106.088064"/>
    <n v="10.307101299999999"/>
    <s v="Cai Lay"/>
    <n v="0"/>
    <s v="Swap_L18"/>
    <s v="Outdoor"/>
    <s v="Swap_0"/>
    <n v="48080"/>
    <x v="26"/>
    <m/>
    <e v="#N/A"/>
    <s v="Macro"/>
    <x v="2"/>
    <n v="1"/>
  </r>
  <r>
    <s v="South"/>
    <s v="PO2_South1"/>
    <s v="Đồng Tháp"/>
    <s v="Tiền Giang"/>
    <s v="TGCL59"/>
    <x v="261"/>
    <s v="Swap"/>
    <s v="Single-Band"/>
    <n v="3"/>
    <m/>
    <m/>
    <n v="106.0629677"/>
    <n v="10.302440499999999"/>
    <s v="Cai Lay"/>
    <n v="0"/>
    <s v="Swap_L18"/>
    <s v="Outdoor"/>
    <s v="Swap_0"/>
    <n v="48080"/>
    <x v="26"/>
    <m/>
    <e v="#N/A"/>
    <s v="Macro"/>
    <x v="2"/>
    <n v="1"/>
  </r>
  <r>
    <s v="South"/>
    <s v="PO2_South1"/>
    <s v="Đồng Tháp"/>
    <s v="Tiền Giang"/>
    <s v="TGCL60"/>
    <x v="262"/>
    <s v="Swap"/>
    <s v="Dual-band"/>
    <n v="3"/>
    <s v="New"/>
    <s v="PS mới 5G C"/>
    <n v="106.04050770000001"/>
    <n v="10.317508800000001"/>
    <s v="Cai Lay"/>
    <n v="0"/>
    <s v="Swap_L18 + L21 + NR 2.6 32T"/>
    <s v="Outdoor"/>
    <s v="Swap_0"/>
    <n v="48080"/>
    <x v="26"/>
    <m/>
    <e v="#N/A"/>
    <s v="Macro"/>
    <x v="2"/>
    <n v="1"/>
  </r>
  <r>
    <s v="South"/>
    <s v="PO2_South1"/>
    <s v="Đồng Tháp"/>
    <s v="Tiền Giang"/>
    <s v="TGCL61"/>
    <x v="263"/>
    <s v="Swap"/>
    <s v="Dual-band"/>
    <n v="3"/>
    <s v="New"/>
    <s v="PS mới 5G C"/>
    <n v="106.066604"/>
    <n v="10.4305009"/>
    <s v="Cai Lay"/>
    <n v="0"/>
    <s v="Swap_L18 + L21 + NR 2.6 32T"/>
    <s v="Outdoor"/>
    <s v="Swap_0"/>
    <n v="48080"/>
    <x v="25"/>
    <m/>
    <e v="#N/A"/>
    <s v="Macro"/>
    <x v="0"/>
    <n v="2"/>
  </r>
  <r>
    <s v="South"/>
    <s v="PO2_South1"/>
    <s v="Đồng Tháp"/>
    <s v="Tiền Giang"/>
    <s v="TGCLX0"/>
    <x v="263"/>
    <s v="Swap"/>
    <s v="Single-Band"/>
    <n v="3"/>
    <m/>
    <m/>
    <n v="106.05604270000001"/>
    <n v="10.4195002"/>
    <s v="Cai Lay"/>
    <n v="0"/>
    <s v="Swap_L18 + NR 7 + L9"/>
    <s v="Outdoor"/>
    <s v="Swap_0"/>
    <n v="48080"/>
    <x v="25"/>
    <m/>
    <e v="#N/A"/>
    <s v="CRAN"/>
    <x v="1"/>
    <n v="2"/>
  </r>
  <r>
    <s v="South"/>
    <s v="PO2_South1"/>
    <s v="Đồng Tháp"/>
    <s v="Tiền Giang"/>
    <s v="TGCL63"/>
    <x v="264"/>
    <s v="Swap"/>
    <s v="Single-Band"/>
    <n v="3"/>
    <m/>
    <m/>
    <n v="106.08324"/>
    <n v="10.28884"/>
    <s v="Cai Lay"/>
    <n v="0"/>
    <s v="Swap_L18"/>
    <s v="Outdoor"/>
    <s v="Swap_0"/>
    <n v="48080"/>
    <x v="26"/>
    <m/>
    <e v="#N/A"/>
    <s v="Macro"/>
    <x v="2"/>
    <n v="1"/>
  </r>
  <r>
    <s v="South"/>
    <s v="PO2_South1"/>
    <s v="Đồng Tháp"/>
    <s v="Tiền Giang"/>
    <s v="TGCBX2"/>
    <x v="265"/>
    <s v="Swap"/>
    <s v="Dual-band"/>
    <n v="3"/>
    <m/>
    <m/>
    <n v="106.02995"/>
    <n v="10.365790000000001"/>
    <s v="Cai Be"/>
    <n v="0"/>
    <s v="Swap_L18 + L21"/>
    <s v="Outdoor"/>
    <s v="Swap_0"/>
    <n v="48000"/>
    <x v="26"/>
    <m/>
    <e v="#N/A"/>
    <s v="CRAN"/>
    <x v="1"/>
    <n v="3"/>
  </r>
  <r>
    <s v="South"/>
    <s v="PO2_South1"/>
    <s v="Đồng Tháp"/>
    <s v="Tiền Giang"/>
    <s v="TGCL64"/>
    <x v="265"/>
    <s v="Swap"/>
    <s v="Dual-band"/>
    <n v="4"/>
    <s v="New"/>
    <s v="PS mới 5G C"/>
    <n v="106.03728"/>
    <n v="10.358169999999999"/>
    <s v="Cai Lay"/>
    <n v="0"/>
    <s v="Swap_L18 + L21 + NR 2.6 32T"/>
    <s v="Outdoor"/>
    <s v="Swap_0"/>
    <n v="48080"/>
    <x v="26"/>
    <m/>
    <e v="#N/A"/>
    <s v="Macro"/>
    <x v="0"/>
    <n v="3"/>
  </r>
  <r>
    <s v="South"/>
    <s v="PO2_South1"/>
    <s v="Đồng Tháp"/>
    <s v="Tiền Giang"/>
    <s v="TGCL86"/>
    <x v="265"/>
    <s v="Swap"/>
    <s v="Dual-band"/>
    <n v="3"/>
    <m/>
    <m/>
    <n v="106.03791"/>
    <n v="10.351380000000001"/>
    <s v="Cai Lay"/>
    <n v="0"/>
    <s v="Swap_L18 + L21"/>
    <s v="Outdoor"/>
    <s v="Swap_0"/>
    <n v="48080"/>
    <x v="26"/>
    <m/>
    <e v="#N/A"/>
    <s v="CRAN"/>
    <x v="1"/>
    <n v="3"/>
  </r>
  <r>
    <s v="South"/>
    <s v="PO2_South1"/>
    <s v="Đồng Tháp"/>
    <s v="Tiền Giang"/>
    <s v="TGCL84"/>
    <x v="266"/>
    <s v="Swap"/>
    <s v="Single-Band"/>
    <n v="3"/>
    <m/>
    <m/>
    <n v="106.1416808"/>
    <n v="10.323672800000001"/>
    <s v="Cai Lay"/>
    <n v="0"/>
    <s v="Swap_L18"/>
    <s v="Outdoor"/>
    <s v="Swap_0"/>
    <n v="48080"/>
    <x v="28"/>
    <m/>
    <e v="#N/A"/>
    <s v="CRAN"/>
    <x v="1"/>
    <n v="2"/>
  </r>
  <r>
    <s v="South"/>
    <s v="PO2_South1"/>
    <s v="Đồng Tháp"/>
    <s v="Tiền Giang"/>
    <s v="TGCL65"/>
    <x v="266"/>
    <s v="Swap"/>
    <s v="Single-Band"/>
    <n v="3"/>
    <m/>
    <m/>
    <n v="106.146"/>
    <n v="10.30899"/>
    <s v="Cai Lay"/>
    <n v="0"/>
    <s v="Swap_L18 + NR 7 + L9"/>
    <s v="Outdoor"/>
    <s v="Swap_0"/>
    <n v="48080"/>
    <x v="28"/>
    <m/>
    <e v="#N/A"/>
    <s v="Macro"/>
    <x v="0"/>
    <n v="2"/>
  </r>
  <r>
    <s v="South"/>
    <s v="PO2_South1"/>
    <s v="Đồng Tháp"/>
    <s v="Tiền Giang"/>
    <s v="TGCL66"/>
    <x v="267"/>
    <s v="Swap"/>
    <s v="Dual-band"/>
    <n v="4"/>
    <s v="New"/>
    <s v="PS mới 5G C"/>
    <n v="106.04537000000001"/>
    <n v="10.3866721"/>
    <s v="Cai Lay"/>
    <n v="0"/>
    <s v="Swap_L18 + L21 + NR 2.6 32T"/>
    <s v="Outdoor"/>
    <s v="Swap_0"/>
    <n v="48080"/>
    <x v="26"/>
    <m/>
    <e v="#N/A"/>
    <s v="Macro"/>
    <x v="2"/>
    <n v="1"/>
  </r>
  <r>
    <s v="South"/>
    <s v="PO2_South1"/>
    <s v="Đồng Tháp"/>
    <s v="Tiền Giang"/>
    <s v="TGCL78"/>
    <x v="268"/>
    <s v="Swap"/>
    <s v="Dual-band"/>
    <n v="4"/>
    <s v="Swap"/>
    <s v="Swap (PS mới 5G B)"/>
    <n v="106.06404449999999"/>
    <n v="10.4115147"/>
    <s v="Cai Lay"/>
    <n v="0"/>
    <s v="Swap_L18 + L21 + NR 2.6 64T + NR 3.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82"/>
    <x v="269"/>
    <s v="Swap"/>
    <s v="Single-Band"/>
    <n v="3"/>
    <m/>
    <m/>
    <n v="106.00133700000001"/>
    <n v="10.4951177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83"/>
    <x v="270"/>
    <s v="Swap"/>
    <s v="Single-Band"/>
    <n v="3"/>
    <m/>
    <m/>
    <n v="106.02726149999999"/>
    <n v="10.4896838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85"/>
    <x v="271"/>
    <s v="Swap"/>
    <s v="Single-Band"/>
    <n v="3"/>
    <m/>
    <m/>
    <n v="106.04452000000001"/>
    <n v="10.46142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L87"/>
    <x v="272"/>
    <s v="Swap"/>
    <s v="Single-Band"/>
    <n v="3"/>
    <m/>
    <m/>
    <n v="106.10227999999999"/>
    <n v="10.295076"/>
    <s v="Cai Lay"/>
    <n v="0"/>
    <s v="Swap_L18"/>
    <s v="Outdoor"/>
    <s v="Swap_0"/>
    <n v="48080"/>
    <x v="26"/>
    <m/>
    <e v="#N/A"/>
    <s v="Macro"/>
    <x v="2"/>
    <n v="1"/>
  </r>
  <r>
    <s v="South"/>
    <s v="PO2_South1"/>
    <s v="Đồng Tháp"/>
    <s v="Tiền Giang"/>
    <s v="TGCL88"/>
    <x v="273"/>
    <s v="Swap"/>
    <s v="Single-Band"/>
    <n v="3"/>
    <m/>
    <m/>
    <n v="106.08147"/>
    <n v="10.339437999999999"/>
    <s v="Cai Lay"/>
    <n v="0"/>
    <s v="Swap_L18"/>
    <s v="Outdoor"/>
    <s v="Swap_0"/>
    <n v="48080"/>
    <x v="26"/>
    <m/>
    <e v="#N/A"/>
    <s v="Macro"/>
    <x v="2"/>
    <n v="1"/>
  </r>
  <r>
    <s v="South"/>
    <s v="PO2_South1"/>
    <s v="Đồng Tháp"/>
    <s v="Tiền Giang"/>
    <s v="TGCL89"/>
    <x v="274"/>
    <s v="Swap"/>
    <s v="Single-Band"/>
    <n v="3"/>
    <m/>
    <m/>
    <n v="106.03937000000001"/>
    <n v="10.52838"/>
    <s v="Cai Lay"/>
    <n v="0"/>
    <s v="Swap_L18"/>
    <s v="Outdoor"/>
    <s v="Swap_0"/>
    <n v="48080"/>
    <x v="25"/>
    <m/>
    <e v="#N/A"/>
    <s v="Macro"/>
    <x v="2"/>
    <n v="1"/>
  </r>
  <r>
    <s v="South"/>
    <s v="PO2_South1"/>
    <s v="Đồng Tháp"/>
    <s v="Tiền Giang"/>
    <s v="TGCT01"/>
    <x v="275"/>
    <s v="Swap"/>
    <s v="Single-Band"/>
    <n v="3"/>
    <m/>
    <m/>
    <n v="106.21747000000001"/>
    <n v="10.377319999999999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02"/>
    <x v="276"/>
    <s v="Swap"/>
    <s v="Single-Band"/>
    <n v="3"/>
    <s v="New"/>
    <s v="PS mới 5G C"/>
    <n v="106.24486"/>
    <n v="10.3264"/>
    <s v="Chau Thanh"/>
    <n v="0"/>
    <s v="Swap_L18 + NR 2.6 32T"/>
    <s v="Outdoor"/>
    <s v="Swap_0"/>
    <n v="48010"/>
    <x v="29"/>
    <m/>
    <e v="#N/A"/>
    <s v="Macro"/>
    <x v="2"/>
    <n v="1"/>
  </r>
  <r>
    <s v="South"/>
    <s v="PO2_South1"/>
    <s v="Đồng Tháp"/>
    <s v="Tiền Giang"/>
    <s v="TGCT03"/>
    <x v="277"/>
    <s v="Swap"/>
    <s v="Dual-band"/>
    <n v="3"/>
    <s v="Swap"/>
    <s v="Swap (PS mới 5G A)"/>
    <n v="106.2552"/>
    <n v="10.40211"/>
    <s v="Chau Thanh"/>
    <n v="0"/>
    <s v="Swap_L18 + L21 + NR 2.6 64T + NR 3.8"/>
    <s v="Outdoor"/>
    <s v="Swap_0"/>
    <n v="48010"/>
    <x v="31"/>
    <m/>
    <e v="#N/A"/>
    <s v="Macro"/>
    <x v="0"/>
    <n v="2"/>
  </r>
  <r>
    <s v="South"/>
    <s v="PO2_South1"/>
    <s v="Đồng Tháp"/>
    <s v="Tiền Giang"/>
    <s v="TGCT74"/>
    <x v="277"/>
    <s v="Swap"/>
    <s v="Single-Band"/>
    <n v="3"/>
    <m/>
    <m/>
    <n v="106.24527"/>
    <n v="10.39099"/>
    <s v="Chau Thanh"/>
    <n v="0"/>
    <s v="Swap_L18"/>
    <s v="Outdoor"/>
    <s v="Swap_0"/>
    <n v="48010"/>
    <x v="31"/>
    <m/>
    <e v="#N/A"/>
    <s v="CRAN"/>
    <x v="1"/>
    <n v="2"/>
  </r>
  <r>
    <s v="South"/>
    <s v="PO2_South1"/>
    <s v="Đồng Tháp"/>
    <s v="Tiền Giang"/>
    <s v="TGCT44"/>
    <x v="278"/>
    <s v="Swap"/>
    <s v="Single-Band"/>
    <n v="3"/>
    <m/>
    <m/>
    <n v="106.28305"/>
    <n v="10.362159999999999"/>
    <s v="Chau Thanh"/>
    <n v="0"/>
    <s v="Swap_L18"/>
    <s v="Outdoor"/>
    <s v="Swap_0"/>
    <n v="48010"/>
    <x v="29"/>
    <m/>
    <e v="#N/A"/>
    <s v="CRAN"/>
    <x v="1"/>
    <n v="3"/>
  </r>
  <r>
    <s v="South"/>
    <s v="PO2_South1"/>
    <s v="Đồng Tháp"/>
    <s v="Tiền Giang"/>
    <s v="TGCT60"/>
    <x v="278"/>
    <s v="Swap"/>
    <s v="Single-Band"/>
    <n v="3"/>
    <s v="New"/>
    <s v="PS mới 5G C"/>
    <n v="106.2966"/>
    <n v="10.3552"/>
    <s v="Chau Thanh"/>
    <n v="0"/>
    <s v="Swap_L18 + NR 2.6 32T"/>
    <s v="Outdoor"/>
    <s v="Swap_0"/>
    <n v="48010"/>
    <x v="29"/>
    <m/>
    <e v="#N/A"/>
    <s v="CRAN"/>
    <x v="1"/>
    <n v="3"/>
  </r>
  <r>
    <s v="South"/>
    <s v="PO2_South1"/>
    <s v="Đồng Tháp"/>
    <s v="Tiền Giang"/>
    <s v="TGCT04"/>
    <x v="278"/>
    <s v="Swap"/>
    <s v="Single-Band"/>
    <n v="3"/>
    <m/>
    <m/>
    <n v="106.2745268"/>
    <n v="10.364713699999999"/>
    <s v="Chau Thanh"/>
    <n v="0"/>
    <s v="Swap_L18 + NR 7 + L9"/>
    <s v="Outdoor"/>
    <s v="Swap_0"/>
    <n v="48010"/>
    <x v="29"/>
    <m/>
    <e v="#N/A"/>
    <s v="Macro"/>
    <x v="0"/>
    <n v="3"/>
  </r>
  <r>
    <s v="South"/>
    <s v="PO2_South1"/>
    <s v="Đồng Tháp"/>
    <s v="Tiền Giang"/>
    <s v="TGCT35"/>
    <x v="279"/>
    <s v="Swap"/>
    <s v="Dual-band"/>
    <n v="4"/>
    <s v="New"/>
    <s v="PS mới 5G C"/>
    <n v="106.21856270000001"/>
    <n v="10.421725199999999"/>
    <s v="Chau Thanh"/>
    <n v="0"/>
    <s v="Swap_L18 + L21 + NR 2.6 32T"/>
    <s v="Outdoor"/>
    <s v="Swap_0"/>
    <n v="48010"/>
    <x v="31"/>
    <m/>
    <s v="OK"/>
    <s v="CRAN"/>
    <x v="1"/>
    <n v="5"/>
  </r>
  <r>
    <s v="South"/>
    <s v="PO2_South1"/>
    <s v="Đồng Tháp"/>
    <s v="Tiền Giang"/>
    <s v="TGCT05"/>
    <x v="279"/>
    <s v="Swap"/>
    <s v="Dual-band"/>
    <n v="3"/>
    <s v="New"/>
    <s v="PS mới 5G C"/>
    <n v="106.21947"/>
    <n v="10.405200000000001"/>
    <s v="Chau Thanh"/>
    <n v="0"/>
    <s v="Swap_L18 + L21 + NR 2.6 32T"/>
    <s v="Outdoor"/>
    <s v="Swap_0"/>
    <n v="48010"/>
    <x v="31"/>
    <m/>
    <e v="#N/A"/>
    <s v="Macro"/>
    <x v="0"/>
    <n v="5"/>
  </r>
  <r>
    <s v="South"/>
    <s v="PO2_South1"/>
    <s v="Đồng Tháp"/>
    <s v="Tiền Giang"/>
    <s v="TGCT37"/>
    <x v="279"/>
    <s v="Swap"/>
    <s v="Dual-band"/>
    <n v="3"/>
    <s v="New"/>
    <s v="PS mới 5G C"/>
    <n v="106.21082"/>
    <n v="10.40138"/>
    <s v="Chau Thanh"/>
    <n v="0"/>
    <s v="Swap_L18 + L21 + NR 2.6 32T"/>
    <s v="Outdoor"/>
    <s v="Swap_0"/>
    <n v="48010"/>
    <x v="31"/>
    <m/>
    <e v="#N/A"/>
    <s v="CRAN"/>
    <x v="1"/>
    <n v="5"/>
  </r>
  <r>
    <s v="South"/>
    <s v="PO2_South1"/>
    <s v="Đồng Tháp"/>
    <s v="Tiền Giang"/>
    <s v="TGCT68"/>
    <x v="279"/>
    <s v="Swap"/>
    <s v="Single-Band"/>
    <n v="3"/>
    <m/>
    <m/>
    <n v="106.2124"/>
    <n v="10.389659999999999"/>
    <s v="Chau Thanh"/>
    <n v="0"/>
    <s v="Swap_L18"/>
    <s v="Outdoor"/>
    <s v="Swap_0"/>
    <n v="48010"/>
    <x v="31"/>
    <m/>
    <e v="#N/A"/>
    <s v="CRAN"/>
    <x v="1"/>
    <n v="5"/>
  </r>
  <r>
    <s v="South"/>
    <s v="PO2_South1"/>
    <s v="Đồng Tháp"/>
    <s v="Tiền Giang"/>
    <s v="TGCT85"/>
    <x v="279"/>
    <s v="Swap"/>
    <s v="Single-Band"/>
    <n v="3"/>
    <s v="New"/>
    <s v="PS mới 5G C"/>
    <n v="106.23033"/>
    <n v="10.402072"/>
    <s v="Chau Thanh"/>
    <n v="0"/>
    <s v="Swap_L18 + NR 2.6 32T"/>
    <s v="Outdoor"/>
    <s v="Swap_0"/>
    <n v="48010"/>
    <x v="31"/>
    <m/>
    <e v="#N/A"/>
    <s v="CRAN"/>
    <x v="1"/>
    <n v="5"/>
  </r>
  <r>
    <s v="South"/>
    <s v="PO2_South1"/>
    <s v="Đồng Tháp"/>
    <s v="Tiền Giang"/>
    <s v="TGCT06"/>
    <x v="280"/>
    <s v="Swap"/>
    <s v="Single-Band"/>
    <n v="3"/>
    <s v="New"/>
    <s v="PS mới 5G C"/>
    <n v="106.20639"/>
    <n v="10.32246"/>
    <s v="Chau Thanh"/>
    <n v="0"/>
    <s v="Swap_L18 + NR 2.6 32T"/>
    <s v="Outdoor"/>
    <s v="Swap_0"/>
    <n v="48010"/>
    <x v="29"/>
    <m/>
    <e v="#N/A"/>
    <s v="Macro"/>
    <x v="0"/>
    <n v="3"/>
  </r>
  <r>
    <s v="South"/>
    <s v="PO2_South1"/>
    <s v="Đồng Tháp"/>
    <s v="Tiền Giang"/>
    <s v="TGCT73"/>
    <x v="280"/>
    <s v="Swap"/>
    <s v="Single-Band"/>
    <n v="3"/>
    <m/>
    <m/>
    <n v="106.20440000000001"/>
    <n v="10.337719999999999"/>
    <s v="Chau Thanh"/>
    <n v="0"/>
    <s v="Swap_L18"/>
    <s v="Outdoor"/>
    <s v="Swap_0"/>
    <n v="48010"/>
    <x v="29"/>
    <m/>
    <e v="#N/A"/>
    <s v="CRAN"/>
    <x v="1"/>
    <n v="3"/>
  </r>
  <r>
    <s v="South"/>
    <s v="PO2_South1"/>
    <s v="Đồng Tháp"/>
    <s v="Tiền Giang"/>
    <s v="TGCTX3"/>
    <x v="280"/>
    <s v="Swap"/>
    <s v="Single-Band"/>
    <n v="3"/>
    <m/>
    <m/>
    <n v="106.19"/>
    <n v="10.3285"/>
    <s v="Chau Thanh"/>
    <n v="0"/>
    <s v="Swap_L18"/>
    <s v="Outdoor"/>
    <s v="Swap_0"/>
    <n v="48010"/>
    <x v="29"/>
    <m/>
    <e v="#N/A"/>
    <s v="CRAN"/>
    <x v="1"/>
    <n v="3"/>
  </r>
  <r>
    <s v="South"/>
    <s v="PO2_South1"/>
    <s v="Đồng Tháp"/>
    <s v="Tiền Giang"/>
    <s v="TGCT07"/>
    <x v="281"/>
    <s v="Swap"/>
    <s v="Dual-band"/>
    <n v="3"/>
    <s v="New"/>
    <s v="PS mới 5G C"/>
    <n v="106.29062999999999"/>
    <n v="10.39494"/>
    <s v="Chau Thanh"/>
    <n v="0"/>
    <s v="Swap_L18 + L21 + NR 2.6 32T"/>
    <s v="Outdoor"/>
    <s v="Swap_0"/>
    <n v="48010"/>
    <x v="31"/>
    <m/>
    <e v="#N/A"/>
    <s v="Macro"/>
    <x v="2"/>
    <n v="1"/>
  </r>
  <r>
    <s v="South"/>
    <s v="PO2_South1"/>
    <s v="Đồng Tháp"/>
    <s v="Tiền Giang"/>
    <s v="TGCT08"/>
    <x v="282"/>
    <s v="Swap"/>
    <s v="Dual-band"/>
    <n v="4"/>
    <s v="New"/>
    <s v="PS mới 5G C"/>
    <n v="106.30540000000001"/>
    <n v="10.375730000000001"/>
    <s v="Chau Thanh"/>
    <n v="0"/>
    <s v="Swap_L18 + L21 + NR 2.6 32T"/>
    <s v="Outdoor"/>
    <s v="Swap_0"/>
    <n v="48010"/>
    <x v="29"/>
    <m/>
    <e v="#N/A"/>
    <s v="Macro"/>
    <x v="2"/>
    <n v="1"/>
  </r>
  <r>
    <s v="South"/>
    <s v="PO2_South1"/>
    <s v="Đồng Tháp"/>
    <s v="Tiền Giang"/>
    <s v="TGCT09"/>
    <x v="283"/>
    <s v="Swap"/>
    <s v="Dual-band"/>
    <n v="4"/>
    <s v="New"/>
    <s v="PS mới 5G C"/>
    <n v="106.26869000000001"/>
    <n v="10.33291"/>
    <s v="Chau Thanh"/>
    <n v="0"/>
    <s v="Swap_L18 + L21 + NR 2.6 32T"/>
    <s v="Outdoor"/>
    <s v="Swap_0"/>
    <n v="48010"/>
    <x v="29"/>
    <m/>
    <e v="#N/A"/>
    <s v="Macro"/>
    <x v="2"/>
    <n v="1"/>
  </r>
  <r>
    <s v="South"/>
    <s v="PO2_South1"/>
    <s v="Đồng Tháp"/>
    <s v="Tiền Giang"/>
    <s v="TGCT10"/>
    <x v="284"/>
    <s v="Swap"/>
    <s v="Dual-band"/>
    <n v="4"/>
    <s v="Swap"/>
    <s v="Swap (PS mới 5G A)"/>
    <n v="106.34319000000001"/>
    <n v="10.445880000000001"/>
    <s v="Chau Thanh"/>
    <n v="0"/>
    <s v="Swap_L18 + L21 + NR 2.6 64T + NR 3.8"/>
    <s v="Outdoor"/>
    <s v="Swap_0"/>
    <n v="48010"/>
    <x v="32"/>
    <m/>
    <e v="#N/A"/>
    <s v="Macro"/>
    <x v="2"/>
    <n v="1"/>
  </r>
  <r>
    <s v="South"/>
    <s v="PO2_South1"/>
    <s v="Đồng Tháp"/>
    <s v="Tiền Giang"/>
    <s v="TGCT11"/>
    <x v="285"/>
    <s v="Swap"/>
    <s v="Dual-band"/>
    <n v="4"/>
    <s v="New"/>
    <s v="PS mới 5G C"/>
    <n v="106.36085"/>
    <n v="10.48171"/>
    <s v="Chau Thanh"/>
    <n v="0"/>
    <s v="Swap_L18 + L21 + NR 2.6 32T"/>
    <s v="Outdoor"/>
    <s v="Swap_0"/>
    <n v="48010"/>
    <x v="33"/>
    <m/>
    <e v="#N/A"/>
    <s v="Macro"/>
    <x v="0"/>
    <n v="3"/>
  </r>
  <r>
    <s v="South"/>
    <s v="PO2_South1"/>
    <s v="Đồng Tháp"/>
    <s v="Tiền Giang"/>
    <s v="TGCTX4"/>
    <x v="285"/>
    <s v="Swap"/>
    <s v="Single-Band"/>
    <n v="3"/>
    <s v="New"/>
    <s v="PS mới 5G C"/>
    <n v="106.36086"/>
    <n v="10.492559999999999"/>
    <s v="Chau Thanh"/>
    <n v="0"/>
    <s v="Swap_L18 + NR 2.6 32T"/>
    <s v="Outdoor"/>
    <s v="Swap_0"/>
    <n v="48010"/>
    <x v="33"/>
    <m/>
    <e v="#N/A"/>
    <s v="CRAN"/>
    <x v="1"/>
    <n v="3"/>
  </r>
  <r>
    <s v="South"/>
    <s v="PO2_South1"/>
    <s v="Đồng Tháp"/>
    <s v="Tiền Giang"/>
    <s v="TGCTX5"/>
    <x v="285"/>
    <s v="Swap"/>
    <s v="Dual-band"/>
    <n v="3"/>
    <s v="New"/>
    <s v="PS mới 5G C"/>
    <n v="106.3575"/>
    <n v="10.482530000000001"/>
    <s v="Chau Thanh"/>
    <n v="0"/>
    <s v="Swap_L18 + L21 + NR 2.6 32T"/>
    <s v="Outdoor"/>
    <s v="Swap_0"/>
    <n v="48010"/>
    <x v="33"/>
    <m/>
    <e v="#N/A"/>
    <s v="CRAN"/>
    <x v="1"/>
    <n v="3"/>
  </r>
  <r>
    <s v="South"/>
    <s v="PO2_South1"/>
    <s v="Đồng Tháp"/>
    <s v="Tiền Giang"/>
    <s v="TGCT12"/>
    <x v="286"/>
    <s v="Swap"/>
    <s v="Dual-band"/>
    <n v="3"/>
    <s v="New"/>
    <s v="PS mới 5G C"/>
    <n v="106.34631"/>
    <n v="10.49831"/>
    <s v="Chau Thanh"/>
    <n v="0"/>
    <s v="Swap_L18 + L21 + NR 2.6 32T"/>
    <s v="Outdoor"/>
    <s v="Swap_0"/>
    <n v="48010"/>
    <x v="33"/>
    <m/>
    <e v="#N/A"/>
    <s v="Macro"/>
    <x v="0"/>
    <n v="2"/>
  </r>
  <r>
    <s v="South"/>
    <s v="PO2_South1"/>
    <s v="Đồng Tháp"/>
    <s v="Tiền Giang"/>
    <s v="TGCT55"/>
    <x v="286"/>
    <s v="Swap"/>
    <s v="Dual-band"/>
    <n v="3"/>
    <s v="New"/>
    <s v="PS mới 5G C"/>
    <n v="106.34468"/>
    <n v="10.508190000000001"/>
    <s v="Chau Thanh"/>
    <n v="0"/>
    <s v="Swap_L18 + L21 + NR 2.6 32T"/>
    <s v="Outdoor"/>
    <s v="Swap_0"/>
    <n v="48010"/>
    <x v="33"/>
    <m/>
    <e v="#N/A"/>
    <s v="CRAN"/>
    <x v="1"/>
    <n v="2"/>
  </r>
  <r>
    <s v="South"/>
    <s v="PO2_South1"/>
    <s v="Đồng Tháp"/>
    <s v="Tiền Giang"/>
    <s v="TGCT13"/>
    <x v="287"/>
    <s v="Swap"/>
    <s v="Dual-band"/>
    <n v="4"/>
    <s v="New"/>
    <s v="PS mới 5G C"/>
    <n v="106.3415"/>
    <n v="10.416700000000001"/>
    <s v="Chau Thanh"/>
    <n v="0"/>
    <s v="Swap_L18 + L21 + NR 2.6 32T"/>
    <s v="Outdoor"/>
    <s v="Swap_0"/>
    <n v="48010"/>
    <x v="32"/>
    <m/>
    <e v="#N/A"/>
    <s v="Macro"/>
    <x v="0"/>
    <n v="2"/>
  </r>
  <r>
    <s v="South"/>
    <s v="PO2_South1"/>
    <s v="Đồng Tháp"/>
    <s v="Tiền Giang"/>
    <s v="TGCT61"/>
    <x v="287"/>
    <s v="Swap"/>
    <s v="Dual-band"/>
    <n v="4"/>
    <s v="New"/>
    <s v="PS mới 5G C"/>
    <n v="106.33578"/>
    <n v="10.422079999999999"/>
    <s v="Chau Thanh"/>
    <n v="0"/>
    <s v="Swap_L18 + L21 + NR 2.6 32T"/>
    <s v="Outdoor"/>
    <s v="Swap_0"/>
    <n v="48010"/>
    <x v="32"/>
    <m/>
    <e v="#N/A"/>
    <s v="CRAN"/>
    <x v="1"/>
    <n v="2"/>
  </r>
  <r>
    <s v="South"/>
    <s v="PO2_South1"/>
    <s v="Đồng Tháp"/>
    <s v="Tiền Giang"/>
    <s v="TGCT22"/>
    <x v="288"/>
    <s v="Swap"/>
    <s v="Single-Band"/>
    <n v="3"/>
    <m/>
    <m/>
    <n v="106.27634"/>
    <n v="10.42559"/>
    <s v="Chau Thanh"/>
    <n v="0"/>
    <s v="Swap_L18"/>
    <s v="Outdoor"/>
    <s v="Swap_0"/>
    <n v="48010"/>
    <x v="31"/>
    <m/>
    <s v="OK"/>
    <s v="CRAN"/>
    <x v="1"/>
    <n v="2"/>
  </r>
  <r>
    <s v="South"/>
    <s v="PO2_South1"/>
    <s v="Đồng Tháp"/>
    <s v="Tiền Giang"/>
    <s v="TGCT17"/>
    <x v="288"/>
    <s v="Swap"/>
    <s v="Dual-band"/>
    <n v="3"/>
    <s v="New"/>
    <s v="PS mới 5G C"/>
    <n v="106.31205"/>
    <n v="10.42357"/>
    <s v="Chau Thanh"/>
    <n v="0"/>
    <s v="Swap_L18 + L21 + NR 2.6 32T"/>
    <s v="Outdoor"/>
    <s v="Swap_0"/>
    <n v="48010"/>
    <x v="32"/>
    <m/>
    <e v="#N/A"/>
    <s v="Macro"/>
    <x v="0"/>
    <n v="2"/>
  </r>
  <r>
    <s v="South"/>
    <s v="PO2_South1"/>
    <s v="Đồng Tháp"/>
    <s v="Tiền Giang"/>
    <s v="TGCT18"/>
    <x v="289"/>
    <s v="Swap"/>
    <s v="Dual-band"/>
    <n v="4"/>
    <s v="New"/>
    <s v="PS mới 5G C"/>
    <n v="106.30579"/>
    <n v="10.39241"/>
    <s v="Chau Thanh"/>
    <n v="0"/>
    <s v="Swap_L18 + L21 + NR 2.6 32T"/>
    <s v="Outdoor"/>
    <s v="Swap_0"/>
    <n v="48010"/>
    <x v="32"/>
    <m/>
    <e v="#N/A"/>
    <s v="Macro"/>
    <x v="2"/>
    <n v="1"/>
  </r>
  <r>
    <s v="South"/>
    <s v="PO2_South1"/>
    <s v="Đồng Tháp"/>
    <s v="Tiền Giang"/>
    <s v="TGCT76"/>
    <x v="290"/>
    <s v="Swap"/>
    <s v="Single-Band"/>
    <n v="3"/>
    <m/>
    <m/>
    <n v="106.36747"/>
    <n v="10.46303"/>
    <s v="Chau Thanh"/>
    <n v="0"/>
    <s v="Swap_L18 + NR 7 + L9"/>
    <s v="Outdoor"/>
    <s v="Swap_0"/>
    <n v="48010"/>
    <x v="33"/>
    <m/>
    <s v="OK"/>
    <s v="CRAN"/>
    <x v="1"/>
    <n v="3"/>
  </r>
  <r>
    <s v="South"/>
    <s v="PO2_South1"/>
    <s v="Đồng Tháp"/>
    <s v="Tiền Giang"/>
    <s v="TGCT19"/>
    <x v="290"/>
    <s v="Swap"/>
    <s v="Dual-band"/>
    <n v="3"/>
    <s v="New"/>
    <s v="PS mới 5G C"/>
    <n v="106.35648999999999"/>
    <n v="10.46848"/>
    <s v="Chau Thanh"/>
    <n v="0"/>
    <s v="Swap_L18 + L21 + NR 2.6 32T"/>
    <s v="Outdoor"/>
    <s v="Swap_0"/>
    <n v="48010"/>
    <x v="33"/>
    <m/>
    <e v="#N/A"/>
    <s v="Macro"/>
    <x v="0"/>
    <n v="3"/>
  </r>
  <r>
    <s v="South"/>
    <s v="PO2_South1"/>
    <s v="Đồng Tháp"/>
    <s v="Tiền Giang"/>
    <s v="TGCTX0"/>
    <x v="290"/>
    <s v="Swap"/>
    <s v="Dual-band"/>
    <n v="3"/>
    <s v="New"/>
    <s v="PS mới 5G C"/>
    <n v="106.35901200000001"/>
    <n v="10.47443"/>
    <s v="Chau Thanh"/>
    <n v="0"/>
    <s v="Swap_L18 + L21 + NR 2.6 32T"/>
    <s v="Outdoor"/>
    <s v="Swap_0"/>
    <n v="48010"/>
    <x v="33"/>
    <m/>
    <e v="#N/A"/>
    <s v="CRAN"/>
    <x v="1"/>
    <n v="3"/>
  </r>
  <r>
    <s v="South"/>
    <s v="PO2_South1"/>
    <s v="Đồng Tháp"/>
    <s v="Tiền Giang"/>
    <s v="TGCT20"/>
    <x v="291"/>
    <s v="Swap"/>
    <s v="Single-Band"/>
    <n v="3"/>
    <m/>
    <m/>
    <n v="106.24536000000001"/>
    <n v="10.381740000000001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38"/>
    <x v="292"/>
    <s v="Swap"/>
    <s v="Dual-band"/>
    <n v="3"/>
    <s v="New"/>
    <s v="PS mới 5G C"/>
    <n v="106.35934"/>
    <n v="10.519590000000001"/>
    <s v="Chau Thanh"/>
    <n v="0"/>
    <s v="Swap_L18 + L21 + NR 2.6 32T"/>
    <s v="Outdoor"/>
    <s v="Swap_0"/>
    <n v="48010"/>
    <x v="33"/>
    <m/>
    <s v="OK"/>
    <s v="CRAN"/>
    <x v="1"/>
    <n v="2"/>
  </r>
  <r>
    <s v="South"/>
    <s v="PO2_South1"/>
    <s v="Đồng Tháp"/>
    <s v="Tiền Giang"/>
    <s v="TGCT21"/>
    <x v="292"/>
    <s v="Swap"/>
    <s v="Dual-band"/>
    <n v="3"/>
    <s v="New"/>
    <s v="PS mới 5G C"/>
    <n v="106.37246"/>
    <n v="10.495799999999999"/>
    <s v="Chau Thanh"/>
    <n v="0"/>
    <s v="Swap_L18 + L21 + NR 2.6 32T"/>
    <s v="Outdoor"/>
    <s v="Swap_0"/>
    <n v="48010"/>
    <x v="33"/>
    <m/>
    <e v="#N/A"/>
    <s v="Macro"/>
    <x v="0"/>
    <n v="2"/>
  </r>
  <r>
    <s v="South"/>
    <s v="PO2_South1"/>
    <s v="Đồng Tháp"/>
    <s v="Tiền Giang"/>
    <s v="TGCT23"/>
    <x v="293"/>
    <s v="Swap"/>
    <s v="Dual-band"/>
    <n v="4"/>
    <s v="New"/>
    <s v="PS mới 5G C"/>
    <n v="106.32978"/>
    <n v="10.47709"/>
    <s v="Chau Thanh"/>
    <n v="0"/>
    <s v="Swap_L18 + L21 + NR 2.6 32T"/>
    <s v="Outdoor"/>
    <s v="Swap_0"/>
    <n v="48010"/>
    <x v="33"/>
    <m/>
    <e v="#N/A"/>
    <s v="Macro"/>
    <x v="0"/>
    <n v="2"/>
  </r>
  <r>
    <s v="South"/>
    <s v="PO2_South1"/>
    <s v="Đồng Tháp"/>
    <s v="Tiền Giang"/>
    <s v="TGCT83"/>
    <x v="293"/>
    <s v="Swap"/>
    <s v="Single-Band"/>
    <n v="3"/>
    <m/>
    <m/>
    <n v="106.3201"/>
    <n v="10.4857"/>
    <s v="Chau Thanh"/>
    <n v="0"/>
    <s v="Swap_L18"/>
    <s v="Outdoor"/>
    <s v="Swap_0"/>
    <n v="48010"/>
    <x v="33"/>
    <m/>
    <e v="#N/A"/>
    <s v="CRAN"/>
    <x v="1"/>
    <n v="2"/>
  </r>
  <r>
    <s v="South"/>
    <s v="PO2_South1"/>
    <s v="Đồng Tháp"/>
    <s v="Tiền Giang"/>
    <s v="TGCT24"/>
    <x v="294"/>
    <s v="Swap"/>
    <s v="Dual-band"/>
    <n v="4"/>
    <s v="New"/>
    <s v="PS mới 5G C"/>
    <n v="106.24569459999999"/>
    <n v="10.4209519"/>
    <s v="Chau Thanh"/>
    <n v="0"/>
    <s v="Swap_L18 + L21 + NR 2.6 32T"/>
    <s v="Outdoor"/>
    <s v="Swap_0"/>
    <n v="48010"/>
    <x v="31"/>
    <m/>
    <e v="#N/A"/>
    <s v="Macro"/>
    <x v="0"/>
    <n v="3"/>
  </r>
  <r>
    <s v="South"/>
    <s v="PO2_South1"/>
    <s v="Đồng Tháp"/>
    <s v="Tiền Giang"/>
    <s v="TGCTX1"/>
    <x v="294"/>
    <s v="Swap"/>
    <s v="Single-Band"/>
    <n v="3"/>
    <s v="New"/>
    <s v="PS mới 5G C"/>
    <n v="106.23230770000001"/>
    <n v="10.413912"/>
    <s v="Chau Thanh"/>
    <n v="0"/>
    <s v="Swap_L18 + NR 2.6 32T"/>
    <s v="Outdoor"/>
    <s v="Swap_0"/>
    <n v="48010"/>
    <x v="31"/>
    <m/>
    <e v="#N/A"/>
    <s v="CRAN"/>
    <x v="1"/>
    <n v="3"/>
  </r>
  <r>
    <s v="South"/>
    <s v="PO2_South1"/>
    <s v="Đồng Tháp"/>
    <s v="Tiền Giang"/>
    <s v="TGTP32"/>
    <x v="294"/>
    <s v="Swap"/>
    <s v="Dual-band"/>
    <n v="3"/>
    <s v="New"/>
    <s v="PS mới 5G C"/>
    <n v="106.24075000000001"/>
    <n v="10.435449999999999"/>
    <s v="Tan Phuoc"/>
    <n v="0"/>
    <s v="Swap_L18 + L21 + NR 2.6 32T"/>
    <s v="Outdoor"/>
    <s v="Swap_0"/>
    <n v="48070"/>
    <x v="34"/>
    <m/>
    <s v="OK"/>
    <s v="CRAN"/>
    <x v="1"/>
    <n v="3"/>
  </r>
  <r>
    <s v="South"/>
    <s v="PO2_South1"/>
    <s v="Đồng Tháp"/>
    <s v="Tiền Giang"/>
    <s v="TGCT27"/>
    <x v="295"/>
    <s v="Swap"/>
    <s v="Dual-band"/>
    <n v="3"/>
    <m/>
    <m/>
    <n v="106.33023"/>
    <n v="10.435029999999999"/>
    <s v="Chau Thanh"/>
    <n v="0"/>
    <s v="Swap_L18 + L21"/>
    <s v="Outdoor"/>
    <s v="Swap_0"/>
    <n v="48010"/>
    <x v="32"/>
    <m/>
    <e v="#N/A"/>
    <s v="Macro"/>
    <x v="0"/>
    <n v="2"/>
  </r>
  <r>
    <s v="South"/>
    <s v="PO2_South1"/>
    <s v="Đồng Tháp"/>
    <s v="Tiền Giang"/>
    <s v="TGCT52"/>
    <x v="295"/>
    <s v="Swap"/>
    <s v="Dual-band"/>
    <n v="4"/>
    <s v="New"/>
    <s v="PS mới 5G C"/>
    <n v="106.32158"/>
    <n v="10.427638"/>
    <s v="Chau Thanh"/>
    <n v="0"/>
    <s v="Swap_L18 + L21 + NR 2.6 32T"/>
    <s v="Outdoor"/>
    <s v="Swap_0"/>
    <n v="48010"/>
    <x v="32"/>
    <m/>
    <s v="done"/>
    <s v="CRAN"/>
    <x v="1"/>
    <n v="2"/>
  </r>
  <r>
    <s v="South"/>
    <s v="PO2_South1"/>
    <s v="Đồng Tháp"/>
    <s v="Tiền Giang"/>
    <s v="TGCY15"/>
    <x v="296"/>
    <s v="Swap"/>
    <s v="Dual-band"/>
    <n v="4"/>
    <s v="New"/>
    <s v="PS mới 5G C"/>
    <n v="106.18956"/>
    <n v="10.43563"/>
    <s v="TX Cai Lay"/>
    <n v="0"/>
    <s v="Swap_L18 + L21 + NR 2.6 32T"/>
    <s v="Outdoor"/>
    <s v="Swap_0"/>
    <n v="48090"/>
    <x v="35"/>
    <m/>
    <s v="OK"/>
    <s v="CRAN"/>
    <x v="1"/>
    <n v="4"/>
  </r>
  <r>
    <s v="South"/>
    <s v="PO2_South1"/>
    <s v="Đồng Tháp"/>
    <s v="Tiền Giang"/>
    <s v="TGCT28"/>
    <x v="296"/>
    <s v="Swap"/>
    <s v="Dual-band"/>
    <n v="4"/>
    <s v="New"/>
    <s v="PS mới 5G C"/>
    <n v="106.18823"/>
    <n v="10.4192"/>
    <s v="Chau Thanh"/>
    <n v="0"/>
    <s v="Swap_L18 + L21 + NR 2.6 32T"/>
    <s v="Outdoor"/>
    <s v="Swap_0"/>
    <n v="48010"/>
    <x v="35"/>
    <m/>
    <e v="#N/A"/>
    <s v="Macro"/>
    <x v="0"/>
    <n v="4"/>
  </r>
  <r>
    <s v="South"/>
    <s v="PO2_South1"/>
    <s v="Đồng Tháp"/>
    <s v="Tiền Giang"/>
    <s v="TGCY30"/>
    <x v="296"/>
    <s v="Swap"/>
    <s v="Single-Band"/>
    <n v="3"/>
    <m/>
    <m/>
    <n v="106.17129"/>
    <n v="10.420579999999999"/>
    <s v="TX Cai Lay"/>
    <n v="0"/>
    <s v="Swap_L18 + NR 7 + L9"/>
    <s v="Outdoor"/>
    <s v="Swap_0"/>
    <n v="48090"/>
    <x v="35"/>
    <m/>
    <e v="#N/A"/>
    <s v="CRAN"/>
    <x v="1"/>
    <n v="4"/>
  </r>
  <r>
    <s v="South"/>
    <s v="PO2_South1"/>
    <s v="Đồng Tháp"/>
    <s v="Tiền Giang"/>
    <s v="TGCY42"/>
    <x v="296"/>
    <s v="Swap"/>
    <s v="Single-Band"/>
    <n v="3"/>
    <m/>
    <m/>
    <n v="106.17477"/>
    <n v="10.436400000000001"/>
    <s v="TX Cai Lay"/>
    <n v="0"/>
    <s v="Swap_L18"/>
    <s v="Outdoor"/>
    <s v="Swap_0"/>
    <n v="48090"/>
    <x v="35"/>
    <m/>
    <e v="#N/A"/>
    <s v="CRAN"/>
    <x v="1"/>
    <n v="4"/>
  </r>
  <r>
    <s v="South"/>
    <s v="PO2_South1"/>
    <s v="Đồng Tháp"/>
    <s v="Tiền Giang"/>
    <s v="TGCT30"/>
    <x v="297"/>
    <s v="Swap"/>
    <s v="Dual-band"/>
    <n v="4"/>
    <s v="New"/>
    <s v="PS mới 5G C"/>
    <n v="106.346024"/>
    <n v="10.457837"/>
    <s v="Chau Thanh"/>
    <n v="0"/>
    <s v="Swap_L18 + L21 + NR 2.6 32T"/>
    <s v="Outdoor"/>
    <s v="Swap_0"/>
    <n v="48010"/>
    <x v="33"/>
    <m/>
    <e v="#N/A"/>
    <s v="Macro"/>
    <x v="2"/>
    <n v="1"/>
  </r>
  <r>
    <s v="South"/>
    <s v="PO2_South1"/>
    <s v="Đồng Tháp"/>
    <s v="Tiền Giang"/>
    <s v="TGCT31"/>
    <x v="298"/>
    <s v="Swap"/>
    <s v="Dual-band"/>
    <n v="4"/>
    <s v="New"/>
    <s v="PS mới 5G C"/>
    <n v="106.33837"/>
    <n v="10.39912"/>
    <s v="Chau Thanh"/>
    <n v="0"/>
    <s v="Swap_L18 + L21 + NR 2.6 32T"/>
    <s v="Outdoor"/>
    <s v="Swap_0"/>
    <n v="48010"/>
    <x v="32"/>
    <m/>
    <e v="#N/A"/>
    <s v="Macro"/>
    <x v="2"/>
    <n v="1"/>
  </r>
  <r>
    <s v="South"/>
    <s v="PO2_South1"/>
    <s v="Đồng Tháp"/>
    <s v="Tiền Giang"/>
    <s v="TGCT32"/>
    <x v="299"/>
    <s v="Swap"/>
    <s v="Single-Band"/>
    <n v="3"/>
    <m/>
    <m/>
    <n v="106.28791"/>
    <n v="10.37457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33"/>
    <x v="300"/>
    <s v="Swap"/>
    <s v="Single-Band"/>
    <n v="3"/>
    <s v="New"/>
    <s v="PS mới 5G C"/>
    <n v="106.29416999999999"/>
    <n v="10.41512"/>
    <s v="Chau Thanh"/>
    <n v="0"/>
    <s v="Swap_L18 + NR 2.6 32T"/>
    <s v="Outdoor"/>
    <s v="Swap_0"/>
    <n v="48010"/>
    <x v="31"/>
    <m/>
    <e v="#N/A"/>
    <s v="Macro"/>
    <x v="2"/>
    <n v="1"/>
  </r>
  <r>
    <s v="South"/>
    <s v="PO2_South1"/>
    <s v="Đồng Tháp"/>
    <s v="Tiền Giang"/>
    <s v="TGCT34"/>
    <x v="301"/>
    <s v="Swap"/>
    <s v="Dual-band"/>
    <n v="4"/>
    <s v="New"/>
    <s v="PS mới 5G C"/>
    <n v="106.30298999999999"/>
    <n v="10.40986"/>
    <s v="Chau Thanh"/>
    <n v="0"/>
    <s v="Swap_L18 + L21 + NR 2.6 32T"/>
    <s v="Outdoor"/>
    <s v="Swap_0"/>
    <n v="48010"/>
    <x v="32"/>
    <m/>
    <e v="#N/A"/>
    <s v="Macro"/>
    <x v="2"/>
    <n v="1"/>
  </r>
  <r>
    <s v="South"/>
    <s v="PO2_South1"/>
    <s v="Đồng Tháp"/>
    <s v="Tiền Giang"/>
    <s v="TGCT36"/>
    <x v="302"/>
    <s v="Swap"/>
    <s v="Single-Band"/>
    <n v="3"/>
    <m/>
    <m/>
    <n v="106.23309999999999"/>
    <n v="10.36984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39"/>
    <x v="303"/>
    <s v="Swap"/>
    <s v="Single-Band"/>
    <n v="3"/>
    <s v="New"/>
    <s v="PS mới 5G C"/>
    <n v="106.19707"/>
    <n v="10.39415"/>
    <s v="Chau Thanh"/>
    <n v="0"/>
    <s v="Swap_L18 + NR 2.6 32T"/>
    <s v="Outdoor"/>
    <s v="Swap_0"/>
    <n v="48010"/>
    <x v="27"/>
    <m/>
    <e v="#N/A"/>
    <s v="Macro"/>
    <x v="2"/>
    <n v="1"/>
  </r>
  <r>
    <s v="South"/>
    <s v="PO2_South1"/>
    <s v="Đồng Tháp"/>
    <s v="Tiền Giang"/>
    <s v="TGCT41"/>
    <x v="304"/>
    <s v="Swap"/>
    <s v="Dual-band"/>
    <n v="4"/>
    <s v="New"/>
    <s v="PS mới 5G C"/>
    <n v="106.24424999999999"/>
    <n v="10.40165"/>
    <s v="Chau Thanh"/>
    <n v="0"/>
    <s v="Swap_L18 + L21 + NR 2.6 32T"/>
    <s v="Outdoor"/>
    <s v="Swap_0"/>
    <n v="48010"/>
    <x v="31"/>
    <m/>
    <e v="#N/A"/>
    <s v="Macro"/>
    <x v="2"/>
    <n v="1"/>
  </r>
  <r>
    <s v="South"/>
    <s v="PO2_South1"/>
    <s v="Đồng Tháp"/>
    <s v="Tiền Giang"/>
    <s v="TGCT42"/>
    <x v="305"/>
    <s v="Swap"/>
    <s v="Dual-band"/>
    <n v="3"/>
    <s v="New"/>
    <s v="PS mới 5G C"/>
    <n v="106.27103870000001"/>
    <n v="10.397076200000001"/>
    <s v="Chau Thanh"/>
    <n v="0"/>
    <s v="Swap_L18 + L21 + NR 2.6 32T"/>
    <s v="Outdoor"/>
    <s v="Swap_0"/>
    <n v="48010"/>
    <x v="31"/>
    <m/>
    <e v="#N/A"/>
    <s v="Macro"/>
    <x v="0"/>
    <n v="2"/>
  </r>
  <r>
    <s v="South"/>
    <s v="PO2_South1"/>
    <s v="Đồng Tháp"/>
    <s v="Tiền Giang"/>
    <s v="TGCT81"/>
    <x v="305"/>
    <s v="Swap"/>
    <s v="Single-Band"/>
    <n v="3"/>
    <m/>
    <m/>
    <n v="106.26649999999999"/>
    <n v="10.4132"/>
    <s v="Chau Thanh"/>
    <n v="0"/>
    <s v="Swap_L18"/>
    <s v="Outdoor"/>
    <s v="Swap_0"/>
    <n v="48010"/>
    <x v="31"/>
    <m/>
    <e v="#N/A"/>
    <s v="CRAN"/>
    <x v="1"/>
    <n v="2"/>
  </r>
  <r>
    <s v="South"/>
    <s v="PO2_South1"/>
    <s v="Đồng Tháp"/>
    <s v="Tiền Giang"/>
    <s v="TGCT43"/>
    <x v="306"/>
    <s v="Swap"/>
    <s v="Single-Band"/>
    <n v="3"/>
    <m/>
    <m/>
    <n v="106.25532"/>
    <n v="10.34634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16"/>
    <x v="307"/>
    <s v="Swap"/>
    <s v="Single-Band"/>
    <n v="3"/>
    <m/>
    <m/>
    <n v="106.28095999999999"/>
    <n v="10.347049999999999"/>
    <s v="Chau Thanh"/>
    <n v="0"/>
    <s v="Swap_L18"/>
    <s v="Outdoor"/>
    <s v="Swap_0"/>
    <n v="48010"/>
    <x v="29"/>
    <m/>
    <s v="done"/>
    <s v="CRAN"/>
    <x v="1"/>
    <n v="4"/>
  </r>
  <r>
    <s v="South"/>
    <s v="PO2_South1"/>
    <s v="Đồng Tháp"/>
    <s v="Tiền Giang"/>
    <s v="TGCT45"/>
    <x v="307"/>
    <s v="Swap"/>
    <s v="Dual-band"/>
    <n v="3"/>
    <s v="New"/>
    <s v="PS mới 5G C"/>
    <n v="106.29627000000001"/>
    <n v="10.34286"/>
    <s v="Chau Thanh"/>
    <n v="0"/>
    <s v="Swap_L18 + L21 + NR 2.6 32T"/>
    <s v="Outdoor"/>
    <s v="Swap_0"/>
    <n v="48010"/>
    <x v="29"/>
    <m/>
    <e v="#N/A"/>
    <s v="Macro"/>
    <x v="0"/>
    <n v="4"/>
  </r>
  <r>
    <s v="South"/>
    <s v="PO2_South1"/>
    <s v="Đồng Tháp"/>
    <s v="Tiền Giang"/>
    <s v="TGCT51"/>
    <x v="307"/>
    <s v="Swap"/>
    <s v="Dual-band"/>
    <n v="4"/>
    <s v="New"/>
    <s v="PS mới 5G C"/>
    <n v="106.3036"/>
    <n v="10.34125"/>
    <s v="Chau Thanh"/>
    <n v="0"/>
    <s v="Swap_L18 + L21 + NR 2.6 32T"/>
    <s v="Outdoor"/>
    <s v="Swap_0"/>
    <n v="48010"/>
    <x v="29"/>
    <m/>
    <e v="#N/A"/>
    <s v="CRAN"/>
    <x v="1"/>
    <n v="4"/>
  </r>
  <r>
    <s v="South"/>
    <s v="PO2_South1"/>
    <s v="Đồng Tháp"/>
    <s v="Tiền Giang"/>
    <s v="TGMT82"/>
    <x v="307"/>
    <s v="Swap"/>
    <s v="Dual-band"/>
    <n v="3"/>
    <s v="New"/>
    <s v="PS mới 5G B"/>
    <n v="106.31305"/>
    <n v="10.34146"/>
    <s v="My Tho"/>
    <n v="0"/>
    <s v="Swap_L18 + L21 + NR 2.6 32T"/>
    <s v="Outdoor"/>
    <s v="Swap_0"/>
    <n v="48050"/>
    <x v="36"/>
    <m/>
    <s v="OK"/>
    <s v="CRAN"/>
    <x v="1"/>
    <n v="4"/>
  </r>
  <r>
    <s v="South"/>
    <s v="PO2_South1"/>
    <s v="Đồng Tháp"/>
    <s v="Tiền Giang"/>
    <s v="TGCT46"/>
    <x v="308"/>
    <s v="Swap"/>
    <s v="Dual-band"/>
    <n v="4"/>
    <s v="Swap"/>
    <s v="Swap (PS mới 5G A)"/>
    <n v="106.35476"/>
    <n v="10.486940000000001"/>
    <s v="Chau Thanh"/>
    <n v="0"/>
    <s v="Swap_L18 + L21 + NR 2.6 64T + NR 3.8"/>
    <s v="Outdoor"/>
    <s v="Swap_0"/>
    <n v="48010"/>
    <x v="33"/>
    <m/>
    <e v="#N/A"/>
    <s v="Macro"/>
    <x v="2"/>
    <n v="1"/>
  </r>
  <r>
    <s v="South"/>
    <s v="PO2_South1"/>
    <s v="Đồng Tháp"/>
    <s v="Tiền Giang"/>
    <s v="TGCT47"/>
    <x v="309"/>
    <s v="Swap"/>
    <s v="Dual-band"/>
    <n v="4"/>
    <s v="New"/>
    <s v="PS mới 5G C"/>
    <n v="106.36324"/>
    <n v="10.48922"/>
    <s v="Chau Thanh"/>
    <n v="0"/>
    <s v="Swap_L18 + L21 + NR 2.6 32T"/>
    <s v="Outdoor"/>
    <s v="Swap_0"/>
    <n v="48010"/>
    <x v="33"/>
    <m/>
    <e v="#N/A"/>
    <s v="Macro"/>
    <x v="2"/>
    <n v="1"/>
  </r>
  <r>
    <s v="South"/>
    <s v="PO2_South1"/>
    <s v="Đồng Tháp"/>
    <s v="Tiền Giang"/>
    <s v="TGCT15"/>
    <x v="310"/>
    <s v="Swap"/>
    <s v="Dual-band"/>
    <n v="3"/>
    <s v="New"/>
    <s v="PS mới 5G C"/>
    <n v="106.24437"/>
    <n v="10.35745"/>
    <s v="Chau Thanh"/>
    <n v="0"/>
    <s v="Swap_L18 + L21 + NR 2.6 32T"/>
    <s v="Outdoor"/>
    <s v="Swap_0"/>
    <n v="48010"/>
    <x v="29"/>
    <m/>
    <s v="OK"/>
    <s v="CRAN"/>
    <x v="1"/>
    <n v="5"/>
  </r>
  <r>
    <s v="South"/>
    <s v="PO2_South1"/>
    <s v="Đồng Tháp"/>
    <s v="Tiền Giang"/>
    <s v="TGCT25"/>
    <x v="310"/>
    <s v="Swap"/>
    <s v="Single-Band"/>
    <n v="3"/>
    <m/>
    <m/>
    <n v="106.22060999999999"/>
    <n v="10.34868"/>
    <s v="Chau Thanh"/>
    <n v="0"/>
    <s v="Swap_L18"/>
    <s v="Outdoor"/>
    <s v="Swap_0"/>
    <n v="48010"/>
    <x v="29"/>
    <m/>
    <s v="OK"/>
    <s v="CRAN"/>
    <x v="1"/>
    <n v="5"/>
  </r>
  <r>
    <s v="South"/>
    <s v="PO2_South1"/>
    <s v="Đồng Tháp"/>
    <s v="Tiền Giang"/>
    <s v="TGCT50"/>
    <x v="310"/>
    <s v="Swap"/>
    <s v="Single-Band"/>
    <n v="3"/>
    <m/>
    <m/>
    <n v="106.24935000000001"/>
    <n v="10.35374"/>
    <s v="Chau Thanh"/>
    <n v="0"/>
    <s v="Swap_L18"/>
    <s v="Outdoor"/>
    <s v="Swap_0"/>
    <n v="48010"/>
    <x v="29"/>
    <m/>
    <e v="#N/A"/>
    <s v="Macro"/>
    <x v="0"/>
    <n v="5"/>
  </r>
  <r>
    <s v="South"/>
    <s v="PO2_South1"/>
    <s v="Đồng Tháp"/>
    <s v="Tiền Giang"/>
    <s v="TGCT82"/>
    <x v="310"/>
    <s v="Swap"/>
    <s v="Single-Band"/>
    <n v="3"/>
    <m/>
    <m/>
    <n v="106.26116"/>
    <n v="10.36257"/>
    <s v="Chau Thanh"/>
    <n v="0"/>
    <s v="Swap_L18"/>
    <s v="Outdoor"/>
    <s v="Swap_0"/>
    <n v="48010"/>
    <x v="29"/>
    <m/>
    <e v="#N/A"/>
    <s v="CRAN"/>
    <x v="1"/>
    <n v="5"/>
  </r>
  <r>
    <s v="South"/>
    <s v="PO2_South1"/>
    <s v="Đồng Tháp"/>
    <s v="Tiền Giang"/>
    <s v="TGCT84"/>
    <x v="310"/>
    <s v="Swap"/>
    <s v="Single-Band"/>
    <n v="3"/>
    <m/>
    <m/>
    <n v="106.2253"/>
    <n v="10.360440000000001"/>
    <s v="Chau Thanh"/>
    <n v="0"/>
    <s v="Swap_L18"/>
    <s v="Outdoor"/>
    <s v="Swap_0"/>
    <n v="48010"/>
    <x v="29"/>
    <m/>
    <e v="#N/A"/>
    <s v="CRAN"/>
    <x v="1"/>
    <n v="5"/>
  </r>
  <r>
    <s v="South"/>
    <s v="PO2_South1"/>
    <s v="Đồng Tháp"/>
    <s v="Tiền Giang"/>
    <s v="TGCGX0"/>
    <x v="311"/>
    <s v="Swap"/>
    <s v="Single-Band"/>
    <n v="3"/>
    <m/>
    <m/>
    <n v="106.346107"/>
    <n v="10.451904000000001"/>
    <s v="Cho Gao"/>
    <s v="Month 2"/>
    <s v="Swap_L18"/>
    <s v="Outdoor"/>
    <s v="Swap_Month 2"/>
    <n v="48020"/>
    <x v="22"/>
    <m/>
    <e v="#N/A"/>
    <s v="CRAN"/>
    <x v="1"/>
    <n v="2"/>
  </r>
  <r>
    <s v="South"/>
    <s v="PO2_South1"/>
    <s v="Đồng Tháp"/>
    <s v="Tiền Giang"/>
    <s v="TGCT53"/>
    <x v="311"/>
    <s v="Swap"/>
    <s v="Dual-band"/>
    <n v="3"/>
    <s v="New"/>
    <s v="PS mới 5G C"/>
    <n v="106.34208"/>
    <n v="10.4343"/>
    <s v="Chau Thanh"/>
    <n v="0"/>
    <s v="Swap_L18 + L21 + NR 2.6 32T"/>
    <s v="Outdoor"/>
    <s v="Swap_0"/>
    <n v="48010"/>
    <x v="32"/>
    <m/>
    <e v="#N/A"/>
    <s v="Macro"/>
    <x v="0"/>
    <n v="2"/>
  </r>
  <r>
    <s v="South"/>
    <s v="PO2_South1"/>
    <s v="Đồng Tháp"/>
    <s v="Tiền Giang"/>
    <s v="TGCT54"/>
    <x v="312"/>
    <s v="Swap"/>
    <s v="Single-Band"/>
    <n v="4"/>
    <s v="New"/>
    <s v="PS mới 5G C"/>
    <n v="106.33571000000001"/>
    <n v="10.493830000000001"/>
    <s v="Chau Thanh"/>
    <n v="0"/>
    <s v="Swap_L18 + NR 2.6 32T"/>
    <s v="Outdoor"/>
    <s v="Swap_0"/>
    <n v="48010"/>
    <x v="33"/>
    <m/>
    <e v="#N/A"/>
    <s v="Macro"/>
    <x v="2"/>
    <n v="1"/>
  </r>
  <r>
    <s v="South"/>
    <s v="PO2_South1"/>
    <s v="Đồng Tháp"/>
    <s v="Tiền Giang"/>
    <s v="TGCT56"/>
    <x v="313"/>
    <s v="Swap"/>
    <s v="Dual-band"/>
    <n v="3"/>
    <s v="New"/>
    <s v="PS mới 5G C"/>
    <n v="106.19443"/>
    <n v="10.40395"/>
    <s v="Chau Thanh"/>
    <n v="0"/>
    <s v="Swap_L18 + L21 + NR 2.6 32T"/>
    <s v="Outdoor"/>
    <s v="Swap_0"/>
    <n v="48010"/>
    <x v="31"/>
    <m/>
    <e v="#N/A"/>
    <s v="Macro"/>
    <x v="2"/>
    <n v="1"/>
  </r>
  <r>
    <s v="South"/>
    <s v="PO2_South1"/>
    <s v="Đồng Tháp"/>
    <s v="Tiền Giang"/>
    <s v="TGCT57"/>
    <x v="314"/>
    <s v="Swap"/>
    <s v="Dual-band"/>
    <n v="3"/>
    <s v="Swap"/>
    <s v="Swap (PS mới 5G B)"/>
    <n v="106.37044"/>
    <n v="10.48542"/>
    <s v="Chau Thanh"/>
    <n v="0"/>
    <s v="Swap_L18 + L21 + NR 2.6 64T + NR 3.8"/>
    <s v="Outdoor"/>
    <s v="Swap_0"/>
    <n v="48010"/>
    <x v="33"/>
    <m/>
    <e v="#N/A"/>
    <s v="Macro"/>
    <x v="0"/>
    <n v="3"/>
  </r>
  <r>
    <s v="South"/>
    <s v="PO2_South1"/>
    <s v="Đồng Tháp"/>
    <s v="Tiền Giang"/>
    <s v="TGCT75"/>
    <x v="314"/>
    <s v="Swap"/>
    <s v="Single-Band"/>
    <n v="3"/>
    <m/>
    <m/>
    <n v="106.378"/>
    <n v="10.47852"/>
    <s v="Chau Thanh"/>
    <n v="0"/>
    <s v="Swap_L18"/>
    <s v="Outdoor"/>
    <s v="Swap_0"/>
    <n v="48010"/>
    <x v="33"/>
    <m/>
    <e v="#N/A"/>
    <s v="CRAN"/>
    <x v="1"/>
    <n v="3"/>
  </r>
  <r>
    <s v="South"/>
    <s v="PO2_South1"/>
    <s v="Đồng Tháp"/>
    <s v="Tiền Giang"/>
    <s v="TGCT79"/>
    <x v="314"/>
    <s v="Swap"/>
    <s v="Dual-band"/>
    <n v="3"/>
    <s v="New"/>
    <s v="PS mới 5G C"/>
    <n v="106.366"/>
    <n v="10.4817"/>
    <s v="Chau Thanh"/>
    <n v="0"/>
    <s v="Swap_L18 + L21 + NR 2.6 32T"/>
    <s v="Outdoor"/>
    <s v="Swap_0"/>
    <n v="48010"/>
    <x v="33"/>
    <m/>
    <e v="#N/A"/>
    <s v="CRAN"/>
    <x v="1"/>
    <n v="3"/>
  </r>
  <r>
    <s v="South"/>
    <s v="PO2_South1"/>
    <s v="Đồng Tháp"/>
    <s v="Tiền Giang"/>
    <s v="TGCT59"/>
    <x v="315"/>
    <s v="Swap"/>
    <s v="Single-Band"/>
    <n v="3"/>
    <m/>
    <m/>
    <n v="106.26611"/>
    <n v="10.38134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40"/>
    <x v="316"/>
    <s v="Swap"/>
    <s v="Dual-band"/>
    <n v="3"/>
    <s v="New"/>
    <s v="PS mới 5G C"/>
    <n v="106.34081"/>
    <n v="10.47864"/>
    <s v="Chau Thanh"/>
    <n v="0"/>
    <s v="Swap_L18 + L21 + NR 2.6 32T"/>
    <s v="Outdoor"/>
    <s v="Swap_0"/>
    <n v="48010"/>
    <x v="33"/>
    <m/>
    <s v="OK"/>
    <s v="CRAN"/>
    <x v="1"/>
    <n v="2"/>
  </r>
  <r>
    <s v="South"/>
    <s v="PO2_South1"/>
    <s v="Đồng Tháp"/>
    <s v="Tiền Giang"/>
    <s v="TGCT62"/>
    <x v="316"/>
    <s v="Swap"/>
    <s v="Dual-band"/>
    <n v="3"/>
    <s v="New"/>
    <s v="PS mới 5G C"/>
    <n v="106.34549"/>
    <n v="10.468859999999999"/>
    <s v="Chau Thanh"/>
    <n v="0"/>
    <s v="Swap_L18 + L21 + NR 2.6 32T"/>
    <s v="Outdoor"/>
    <s v="Swap_0"/>
    <n v="48010"/>
    <x v="33"/>
    <m/>
    <e v="#N/A"/>
    <s v="Macro"/>
    <x v="0"/>
    <n v="2"/>
  </r>
  <r>
    <s v="South"/>
    <s v="PO2_South1"/>
    <s v="Đồng Tháp"/>
    <s v="Tiền Giang"/>
    <s v="TGCT64"/>
    <x v="317"/>
    <s v="Swap"/>
    <s v="Dual-band"/>
    <n v="3"/>
    <s v="New"/>
    <s v="PS mới 5G C"/>
    <n v="106.35854"/>
    <n v="10.495939999999999"/>
    <s v="Chau Thanh"/>
    <n v="0"/>
    <s v="Swap_L18 + L21 + NR 2.6 32T"/>
    <s v="Outdoor"/>
    <s v="Swap_0"/>
    <n v="48010"/>
    <x v="33"/>
    <m/>
    <e v="#N/A"/>
    <s v="Macro"/>
    <x v="2"/>
    <n v="1"/>
  </r>
  <r>
    <s v="South"/>
    <s v="PO2_South1"/>
    <s v="Đồng Tháp"/>
    <s v="Tiền Giang"/>
    <s v="TGCT65"/>
    <x v="318"/>
    <s v="Swap"/>
    <s v="Single-Band"/>
    <n v="3"/>
    <m/>
    <m/>
    <n v="106.35111999999999"/>
    <n v="10.47842"/>
    <s v="Chau Thanh"/>
    <n v="0"/>
    <s v="Swap_L18"/>
    <s v="Outdoor"/>
    <s v="Swap_0"/>
    <n v="48010"/>
    <x v="33"/>
    <m/>
    <e v="#N/A"/>
    <s v="Macro"/>
    <x v="2"/>
    <n v="1"/>
  </r>
  <r>
    <s v="South"/>
    <s v="PO2_South1"/>
    <s v="Đồng Tháp"/>
    <s v="Tiền Giang"/>
    <s v="TGCT66"/>
    <x v="319"/>
    <s v="Swap"/>
    <s v="Dual-band"/>
    <n v="4"/>
    <s v="Swap"/>
    <s v="Swap (PS mới 5G B)"/>
    <n v="106.30512"/>
    <n v="10.43769"/>
    <s v="Chau Thanh"/>
    <n v="0"/>
    <s v="Swap_L18 + L21 + NR 2.6 64T + NR 3.8"/>
    <s v="Outdoor"/>
    <s v="Swap_0"/>
    <n v="48010"/>
    <x v="32"/>
    <m/>
    <e v="#N/A"/>
    <s v="Macro"/>
    <x v="2"/>
    <n v="1"/>
  </r>
  <r>
    <s v="South"/>
    <s v="PO2_South1"/>
    <s v="Đồng Tháp"/>
    <s v="Tiền Giang"/>
    <s v="TGCT67"/>
    <x v="320"/>
    <s v="Swap"/>
    <s v="Single-Band"/>
    <n v="3"/>
    <m/>
    <m/>
    <n v="106.22628"/>
    <n v="10.32516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69"/>
    <x v="321"/>
    <s v="Swap"/>
    <s v="Single-Band"/>
    <n v="3"/>
    <m/>
    <m/>
    <n v="106.23520000000001"/>
    <n v="10.340310000000001"/>
    <s v="Chau Thanh"/>
    <n v="0"/>
    <s v="Swap_L18"/>
    <s v="Outdoor"/>
    <s v="Swap_0"/>
    <n v="48010"/>
    <x v="29"/>
    <m/>
    <e v="#N/A"/>
    <s v="Macro"/>
    <x v="2"/>
    <n v="1"/>
  </r>
  <r>
    <s v="South"/>
    <s v="PO2_South1"/>
    <s v="Đồng Tháp"/>
    <s v="Tiền Giang"/>
    <s v="TGCT70"/>
    <x v="322"/>
    <s v="Swap"/>
    <s v="Dual-band"/>
    <n v="3"/>
    <s v="New"/>
    <s v="PS mới 5G C"/>
    <n v="106.28156869999999"/>
    <n v="10.3372347"/>
    <s v="Chau Thanh"/>
    <n v="0"/>
    <s v="Swap_L18 + L21 + NR 2.6 32T"/>
    <s v="Outdoor"/>
    <s v="Swap_0"/>
    <n v="48010"/>
    <x v="29"/>
    <m/>
    <e v="#N/A"/>
    <s v="Macro"/>
    <x v="2"/>
    <n v="1"/>
  </r>
  <r>
    <s v="South"/>
    <s v="PO2_South1"/>
    <s v="Đồng Tháp"/>
    <s v="Tiền Giang"/>
    <s v="TGCT71"/>
    <x v="323"/>
    <s v="Swap"/>
    <s v="Single-Band"/>
    <n v="3"/>
    <s v="New"/>
    <s v="PS mới 5G C"/>
    <n v="106.2040563"/>
    <n v="10.4242249"/>
    <s v="Chau Thanh"/>
    <n v="0"/>
    <s v="Swap_L18 + NR 2.6 32T"/>
    <s v="Outdoor"/>
    <s v="Swap_0"/>
    <n v="48010"/>
    <x v="31"/>
    <m/>
    <e v="#N/A"/>
    <s v="Macro"/>
    <x v="2"/>
    <n v="1"/>
  </r>
  <r>
    <s v="South"/>
    <s v="PO2_South1"/>
    <s v="Đồng Tháp"/>
    <s v="Tiền Giang"/>
    <s v="TGCT72"/>
    <x v="324"/>
    <s v="Swap"/>
    <s v="Single-Band"/>
    <n v="3"/>
    <m/>
    <m/>
    <n v="106.2307211"/>
    <n v="10.3901176"/>
    <s v="Chau Thanh"/>
    <n v="0"/>
    <s v="Swap_L18"/>
    <s v="Outdoor"/>
    <s v="Swap_0"/>
    <n v="48010"/>
    <x v="31"/>
    <m/>
    <e v="#N/A"/>
    <s v="Macro"/>
    <x v="2"/>
    <n v="1"/>
  </r>
  <r>
    <s v="South"/>
    <s v="PO2_South1"/>
    <s v="Đồng Tháp"/>
    <s v="Tiền Giang"/>
    <s v="TGCT77"/>
    <x v="325"/>
    <s v="Swap"/>
    <s v="Single-Band"/>
    <n v="4"/>
    <s v="Swap"/>
    <s v="Swap (PS mới 5G B)"/>
    <n v="106.3608"/>
    <n v="10.485910000000001"/>
    <s v="Chau Thanh"/>
    <n v="0"/>
    <s v="Swap_L18 + NR 2.6 64T + NR 3.8"/>
    <s v="Outdoor"/>
    <s v="Swap_0"/>
    <n v="48010"/>
    <x v="33"/>
    <m/>
    <e v="#N/A"/>
    <s v="Macro"/>
    <x v="2"/>
    <n v="1"/>
  </r>
  <r>
    <s v="South"/>
    <s v="PO2_South1"/>
    <s v="Đồng Tháp"/>
    <s v="Tiền Giang"/>
    <s v="TGCT78"/>
    <x v="326"/>
    <s v="Swap"/>
    <s v="Dual-band"/>
    <n v="4"/>
    <s v="Swap"/>
    <s v="Swap (PS mới 5G A)"/>
    <n v="106.35720000000001"/>
    <n v="10.479200000000001"/>
    <s v="Chau Thanh"/>
    <n v="0"/>
    <s v="Swap_L18 + L21 + NR 2.6 64T + NR 3.8"/>
    <s v="Outdoor"/>
    <s v="Swap_0"/>
    <n v="48010"/>
    <x v="33"/>
    <m/>
    <e v="#N/A"/>
    <s v="Macro"/>
    <x v="2"/>
    <n v="1"/>
  </r>
  <r>
    <s v="South"/>
    <s v="PO2_South1"/>
    <s v="Đồng Tháp"/>
    <s v="Tiền Giang"/>
    <s v="TGCT80"/>
    <x v="327"/>
    <s v="Swap"/>
    <s v="Single-Band"/>
    <n v="3"/>
    <m/>
    <m/>
    <n v="106.29052"/>
    <n v="10.432408000000001"/>
    <s v="Chau Thanh"/>
    <n v="0"/>
    <s v="Swap_L18"/>
    <s v="Outdoor"/>
    <s v="Swap_0"/>
    <n v="48010"/>
    <x v="31"/>
    <m/>
    <e v="#N/A"/>
    <s v="Macro"/>
    <x v="2"/>
    <n v="1"/>
  </r>
  <r>
    <s v="South"/>
    <s v="PO2_South1"/>
    <s v="Đồng Tháp"/>
    <s v="Tiền Giang"/>
    <s v="TGCY01"/>
    <x v="328"/>
    <s v="Swap"/>
    <s v="Dual-band"/>
    <n v="4"/>
    <s v="Swap"/>
    <s v="Swap (PS mới 5G A)"/>
    <n v="106.11812"/>
    <n v="10.40804"/>
    <s v="TX Cai Lay"/>
    <n v="0"/>
    <s v="Swap_L18 + L21 + NR 2.6 64T + NR 3.8"/>
    <s v="Outdoor"/>
    <s v="Swap_0"/>
    <n v="48090"/>
    <x v="27"/>
    <m/>
    <e v="#N/A"/>
    <s v="Macro"/>
    <x v="2"/>
    <n v="1"/>
  </r>
  <r>
    <s v="South"/>
    <s v="PO2_South1"/>
    <s v="Đồng Tháp"/>
    <s v="Tiền Giang"/>
    <s v="TGCY38"/>
    <x v="329"/>
    <s v="Swap"/>
    <s v="Single-Band"/>
    <n v="3"/>
    <m/>
    <m/>
    <n v="106.1264"/>
    <n v="10.4704"/>
    <s v="TX Cai Lay"/>
    <n v="0"/>
    <s v="Swap_L18"/>
    <s v="Outdoor"/>
    <s v="Swap_0"/>
    <n v="48090"/>
    <x v="35"/>
    <m/>
    <s v="OK"/>
    <s v="CRAN"/>
    <x v="1"/>
    <n v="5"/>
  </r>
  <r>
    <s v="South"/>
    <s v="PO2_South1"/>
    <s v="Đồng Tháp"/>
    <s v="Tiền Giang"/>
    <s v="TGCY03"/>
    <x v="329"/>
    <s v="Swap"/>
    <s v="Single-Band"/>
    <n v="3"/>
    <s v="New"/>
    <s v="PS mới 5G C"/>
    <n v="106.11324999999999"/>
    <n v="10.45171"/>
    <s v="TX Cai Lay"/>
    <n v="0"/>
    <s v="Swap_L18 + NR 2.6 32T"/>
    <s v="Outdoor"/>
    <s v="Swap_0"/>
    <n v="48090"/>
    <x v="35"/>
    <m/>
    <e v="#N/A"/>
    <s v="Macro"/>
    <x v="0"/>
    <n v="5"/>
  </r>
  <r>
    <s v="South"/>
    <s v="PO2_South1"/>
    <s v="Đồng Tháp"/>
    <s v="Tiền Giang"/>
    <s v="TGCY24"/>
    <x v="329"/>
    <s v="Swap"/>
    <s v="Single-Band"/>
    <n v="3"/>
    <m/>
    <m/>
    <n v="106.10262"/>
    <n v="10.476290000000001"/>
    <s v="TX Cai Lay"/>
    <n v="0"/>
    <s v="Swap_L18"/>
    <s v="Outdoor"/>
    <s v="Swap_0"/>
    <n v="48090"/>
    <x v="35"/>
    <m/>
    <e v="#N/A"/>
    <s v="CRAN"/>
    <x v="1"/>
    <n v="5"/>
  </r>
  <r>
    <s v="South"/>
    <s v="PO2_South1"/>
    <s v="Đồng Tháp"/>
    <s v="Tiền Giang"/>
    <s v="TGCY37"/>
    <x v="329"/>
    <s v="Swap"/>
    <s v="Single-Band"/>
    <n v="3"/>
    <m/>
    <m/>
    <n v="106.11678000000001"/>
    <n v="10.431089999999999"/>
    <s v="TX Cai Lay"/>
    <n v="0"/>
    <s v="Swap_L18"/>
    <s v="Outdoor"/>
    <s v="Swap_0"/>
    <n v="48090"/>
    <x v="35"/>
    <m/>
    <e v="#N/A"/>
    <s v="CRAN"/>
    <x v="1"/>
    <n v="5"/>
  </r>
  <r>
    <s v="South"/>
    <s v="PO2_South1"/>
    <s v="Đồng Tháp"/>
    <s v="Tiền Giang"/>
    <s v="TGCYX1"/>
    <x v="329"/>
    <s v="Swap"/>
    <s v="Single-Band"/>
    <n v="3"/>
    <m/>
    <m/>
    <n v="106.0967"/>
    <n v="10.44815"/>
    <s v="TX Cai Lay"/>
    <n v="0"/>
    <s v="Swap_L18"/>
    <s v="Outdoor"/>
    <s v="Swap_0"/>
    <n v="48090"/>
    <x v="35"/>
    <m/>
    <e v="#N/A"/>
    <s v="CRAN"/>
    <x v="1"/>
    <n v="5"/>
  </r>
  <r>
    <s v="South"/>
    <s v="PO2_South1"/>
    <s v="Đồng Tháp"/>
    <s v="Tiền Giang"/>
    <s v="TGCY04"/>
    <x v="330"/>
    <s v="Swap"/>
    <s v="Dual-band"/>
    <n v="4"/>
    <s v="New"/>
    <s v="PS mới 5G C"/>
    <n v="106.09641999999999"/>
    <n v="10.49259"/>
    <s v="TX Cai Lay"/>
    <n v="0"/>
    <s v="Swap_L18 + L21 + NR 2.6 32T"/>
    <s v="Outdoor"/>
    <s v="Swap_0"/>
    <n v="48090"/>
    <x v="35"/>
    <m/>
    <e v="#N/A"/>
    <s v="Macro"/>
    <x v="2"/>
    <n v="1"/>
  </r>
  <r>
    <s v="South"/>
    <s v="PO2_South1"/>
    <s v="Đồng Tháp"/>
    <s v="Tiền Giang"/>
    <s v="TGCY20"/>
    <x v="331"/>
    <s v="Swap"/>
    <s v="Dual-band"/>
    <n v="4"/>
    <s v="New"/>
    <s v="PS mới 5G C"/>
    <n v="106.17104"/>
    <n v="10.40258"/>
    <s v="TX Cai Lay"/>
    <n v="0"/>
    <s v="Swap_L18 + L21 + NR 2.6 32T"/>
    <s v="Outdoor"/>
    <s v="Swap_0"/>
    <n v="48090"/>
    <x v="27"/>
    <m/>
    <s v="OK"/>
    <s v="CRAN"/>
    <x v="1"/>
    <n v="8"/>
  </r>
  <r>
    <s v="South"/>
    <s v="PO2_South1"/>
    <s v="Đồng Tháp"/>
    <s v="Tiền Giang"/>
    <s v="TGCY02"/>
    <x v="331"/>
    <s v="Swap"/>
    <s v="Dual-band"/>
    <n v="3"/>
    <s v="New"/>
    <s v="PS mới 5G C"/>
    <n v="106.12141"/>
    <n v="10.391529999999999"/>
    <s v="TX Cai Lay"/>
    <n v="0"/>
    <s v="Swap_L18 + L21 + NR 2.6 32T"/>
    <s v="Outdoor"/>
    <s v="Swap_0"/>
    <n v="48090"/>
    <x v="27"/>
    <m/>
    <e v="#N/A"/>
    <s v="CRAN"/>
    <x v="1"/>
    <n v="8"/>
  </r>
  <r>
    <s v="South"/>
    <s v="PO2_South1"/>
    <s v="Đồng Tháp"/>
    <s v="Tiền Giang"/>
    <s v="TGCY05"/>
    <x v="331"/>
    <s v="Swap"/>
    <s v="Dual-band"/>
    <n v="3"/>
    <s v="New"/>
    <s v="PS mới 5G C"/>
    <n v="106.15243"/>
    <n v="10.4033"/>
    <s v="TX Cai Lay"/>
    <n v="0"/>
    <s v="Swap_L18 + L21 + NR 2.6 32T"/>
    <s v="Outdoor"/>
    <s v="Swap_0"/>
    <n v="48090"/>
    <x v="27"/>
    <m/>
    <e v="#N/A"/>
    <s v="Macro"/>
    <x v="0"/>
    <n v="8"/>
  </r>
  <r>
    <s v="South"/>
    <s v="PO2_South1"/>
    <s v="Đồng Tháp"/>
    <s v="Tiền Giang"/>
    <s v="TGCY08"/>
    <x v="331"/>
    <s v="Swap"/>
    <s v="Dual-band"/>
    <n v="3"/>
    <s v="New"/>
    <s v="PS mới 5G C"/>
    <n v="106.15439000000001"/>
    <n v="10.412879999999999"/>
    <s v="TX Cai Lay"/>
    <n v="0"/>
    <s v="Swap_L18 + L21 + NR 2.6 32T"/>
    <s v="Outdoor"/>
    <s v="Swap_0"/>
    <n v="48090"/>
    <x v="27"/>
    <m/>
    <e v="#N/A"/>
    <s v="CRAN"/>
    <x v="1"/>
    <n v="8"/>
  </r>
  <r>
    <s v="South"/>
    <s v="PO2_South1"/>
    <s v="Đồng Tháp"/>
    <s v="Tiền Giang"/>
    <s v="TGCY12"/>
    <x v="331"/>
    <s v="Swap"/>
    <s v="Single-Band"/>
    <n v="3"/>
    <m/>
    <m/>
    <n v="106.1568437"/>
    <n v="10.3811842"/>
    <s v="TX Cai Lay"/>
    <n v="0"/>
    <s v="Swap_L18"/>
    <s v="Outdoor"/>
    <s v="Swap_0"/>
    <n v="48090"/>
    <x v="27"/>
    <m/>
    <e v="#N/A"/>
    <s v="CRAN"/>
    <x v="1"/>
    <n v="8"/>
  </r>
  <r>
    <s v="South"/>
    <s v="PO2_South1"/>
    <s v="Đồng Tháp"/>
    <s v="Tiền Giang"/>
    <s v="TGCY28"/>
    <x v="331"/>
    <s v="Swap"/>
    <s v="Single-Band"/>
    <n v="3"/>
    <s v="New"/>
    <s v="PS mới 5G C"/>
    <n v="106.14243999999999"/>
    <n v="10.41461"/>
    <s v="TX Cai Lay"/>
    <n v="0"/>
    <s v="Swap_L18 + NR 2.6 32T"/>
    <s v="Outdoor"/>
    <s v="Swap_0"/>
    <n v="48090"/>
    <x v="27"/>
    <m/>
    <e v="#N/A"/>
    <s v="CRAN"/>
    <x v="1"/>
    <n v="8"/>
  </r>
  <r>
    <s v="South"/>
    <s v="PO2_South1"/>
    <s v="Đồng Tháp"/>
    <s v="Tiền Giang"/>
    <s v="TGCY31"/>
    <x v="331"/>
    <s v="Swap"/>
    <s v="Dual-band"/>
    <n v="4"/>
    <s v="New"/>
    <s v="PS mới 5G C"/>
    <n v="106.1620291"/>
    <n v="10.4024894"/>
    <s v="TX Cai Lay"/>
    <n v="0"/>
    <s v="Swap_L18 + L21 + NR 2.6 32T"/>
    <s v="Outdoor"/>
    <s v="Swap_0"/>
    <n v="48090"/>
    <x v="27"/>
    <m/>
    <e v="#N/A"/>
    <s v="CRAN"/>
    <x v="1"/>
    <n v="8"/>
  </r>
  <r>
    <s v="South"/>
    <s v="PO2_South1"/>
    <s v="Đồng Tháp"/>
    <s v="Tiền Giang"/>
    <s v="TGCY32"/>
    <x v="331"/>
    <s v="Swap"/>
    <s v="Single-Band"/>
    <n v="3"/>
    <m/>
    <m/>
    <n v="106.1062757"/>
    <n v="10.388037199999999"/>
    <s v="TX Cai Lay"/>
    <n v="0"/>
    <s v="Swap_L18"/>
    <s v="Outdoor"/>
    <s v="Swap_0"/>
    <n v="48090"/>
    <x v="27"/>
    <m/>
    <e v="#N/A"/>
    <s v="CRAN"/>
    <x v="1"/>
    <n v="8"/>
  </r>
  <r>
    <s v="South"/>
    <s v="PO2_South1"/>
    <s v="Đồng Tháp"/>
    <s v="Tiền Giang"/>
    <s v="TGCY06"/>
    <x v="332"/>
    <s v="Swap"/>
    <s v="Dual-band"/>
    <n v="3"/>
    <s v="Swap"/>
    <s v="Swap (PS mới 5G B)"/>
    <n v="106.18237000000001"/>
    <n v="10.402010000000001"/>
    <s v="TX Cai Lay"/>
    <n v="0"/>
    <s v="Swap_L18 + L21 + NR 2.6 64T + NR 3.8"/>
    <s v="Outdoor"/>
    <s v="Swap_0"/>
    <n v="48090"/>
    <x v="27"/>
    <m/>
    <e v="#N/A"/>
    <s v="Macro"/>
    <x v="0"/>
    <n v="3"/>
  </r>
  <r>
    <s v="South"/>
    <s v="PO2_South1"/>
    <s v="Đồng Tháp"/>
    <s v="Tiền Giang"/>
    <s v="TGCY11"/>
    <x v="332"/>
    <s v="Swap"/>
    <s v="Single-Band"/>
    <n v="3"/>
    <s v="New"/>
    <s v="PS mới 5G C"/>
    <n v="106.18555000000001"/>
    <n v="10.38036"/>
    <s v="TX Cai Lay"/>
    <n v="0"/>
    <s v="Swap_L18 + NR 2.6 32T"/>
    <s v="Outdoor"/>
    <s v="Swap_0"/>
    <n v="48090"/>
    <x v="27"/>
    <m/>
    <e v="#N/A"/>
    <s v="CRAN"/>
    <x v="1"/>
    <n v="3"/>
  </r>
  <r>
    <s v="South"/>
    <s v="PO2_South1"/>
    <s v="Đồng Tháp"/>
    <s v="Tiền Giang"/>
    <s v="TGCY25"/>
    <x v="332"/>
    <s v="Swap"/>
    <s v="Single-Band"/>
    <n v="3"/>
    <s v="New"/>
    <s v="PS mới 5G C"/>
    <n v="106.17225000000001"/>
    <n v="10.386620000000001"/>
    <s v="TX Cai Lay"/>
    <n v="0"/>
    <s v="Swap_L18 + NR 2.6 32T"/>
    <s v="Outdoor"/>
    <s v="Swap_0"/>
    <n v="48090"/>
    <x v="27"/>
    <m/>
    <e v="#N/A"/>
    <s v="CRAN"/>
    <x v="1"/>
    <n v="3"/>
  </r>
  <r>
    <s v="South"/>
    <s v="PO2_South1"/>
    <s v="Đồng Tháp"/>
    <s v="Tiền Giang"/>
    <s v="TGCY07"/>
    <x v="333"/>
    <s v="Swap"/>
    <s v="Single-Band"/>
    <n v="3"/>
    <m/>
    <m/>
    <n v="106.15228"/>
    <n v="10.465579999999999"/>
    <s v="TX Cai Lay"/>
    <n v="0"/>
    <s v="Swap_L18"/>
    <s v="Outdoor"/>
    <s v="Swap_0"/>
    <n v="48090"/>
    <x v="35"/>
    <m/>
    <e v="#N/A"/>
    <s v="Macro"/>
    <x v="2"/>
    <n v="1"/>
  </r>
  <r>
    <s v="South"/>
    <s v="PO2_South1"/>
    <s v="Đồng Tháp"/>
    <s v="Tiền Giang"/>
    <s v="TGCY19"/>
    <x v="334"/>
    <s v="Swap"/>
    <s v="Single-Band"/>
    <n v="4"/>
    <m/>
    <m/>
    <n v="106.13708"/>
    <n v="10.433249999999999"/>
    <s v="TX Cai Lay"/>
    <n v="0"/>
    <s v="Swap_L18"/>
    <s v="Outdoor"/>
    <s v="Swap_0"/>
    <n v="48090"/>
    <x v="35"/>
    <m/>
    <s v="OK"/>
    <s v="CRAN"/>
    <x v="1"/>
    <n v="5"/>
  </r>
  <r>
    <s v="South"/>
    <s v="PO2_South1"/>
    <s v="Đồng Tháp"/>
    <s v="Tiền Giang"/>
    <s v="TGCY39"/>
    <x v="334"/>
    <s v="Swap"/>
    <s v="Single-Band"/>
    <n v="3"/>
    <m/>
    <m/>
    <n v="106.116"/>
    <n v="10.413410000000001"/>
    <s v="TX Cai Lay"/>
    <n v="0"/>
    <s v="Swap_L18"/>
    <s v="Outdoor"/>
    <s v="Swap_0"/>
    <n v="48090"/>
    <x v="27"/>
    <m/>
    <s v="OK"/>
    <s v="CRAN"/>
    <x v="1"/>
    <n v="5"/>
  </r>
  <r>
    <s v="South"/>
    <s v="PO2_South1"/>
    <s v="Đồng Tháp"/>
    <s v="Tiền Giang"/>
    <s v="TGCY09"/>
    <x v="334"/>
    <s v="Swap"/>
    <s v="Single-Band"/>
    <n v="3"/>
    <s v="New"/>
    <s v="PS mới 5G C"/>
    <n v="106.11899"/>
    <n v="10.420730000000001"/>
    <s v="TX Cai Lay"/>
    <n v="0"/>
    <s v="Swap_L18 + NR 2.6 32T"/>
    <s v="Outdoor"/>
    <s v="Swap_0"/>
    <n v="48090"/>
    <x v="27"/>
    <m/>
    <e v="#N/A"/>
    <s v="Macro"/>
    <x v="0"/>
    <n v="5"/>
  </r>
  <r>
    <s v="South"/>
    <s v="PO2_South1"/>
    <s v="Đồng Tháp"/>
    <s v="Tiền Giang"/>
    <s v="TGCY36"/>
    <x v="334"/>
    <s v="Swap"/>
    <s v="Single-Band"/>
    <n v="3"/>
    <m/>
    <m/>
    <n v="106.11354"/>
    <n v="10.39615"/>
    <s v="TX Cai Lay"/>
    <n v="0"/>
    <s v="Swap_L18"/>
    <s v="Outdoor"/>
    <s v="Swap_0"/>
    <n v="48090"/>
    <x v="27"/>
    <m/>
    <e v="#N/A"/>
    <s v="CRAN"/>
    <x v="1"/>
    <n v="5"/>
  </r>
  <r>
    <s v="South"/>
    <s v="PO2_South1"/>
    <s v="Đồng Tháp"/>
    <s v="Tiền Giang"/>
    <s v="TGCYX0"/>
    <x v="334"/>
    <s v="Swap"/>
    <s v="Single-Band"/>
    <n v="3"/>
    <s v="New"/>
    <s v="PS mới 5G C"/>
    <n v="106.13"/>
    <n v="10.4109"/>
    <s v="TX Cai Lay"/>
    <n v="0"/>
    <s v="Swap_L18 + NR 7 + L9"/>
    <s v="Outdoor"/>
    <s v="Swap_0"/>
    <n v="48090"/>
    <x v="27"/>
    <m/>
    <e v="#N/A"/>
    <s v="CRAN"/>
    <x v="1"/>
    <n v="5"/>
  </r>
  <r>
    <s v="South"/>
    <s v="PO2_South1"/>
    <s v="Đồng Tháp"/>
    <s v="Tiền Giang"/>
    <s v="TGCY10"/>
    <x v="335"/>
    <s v="Swap"/>
    <s v="Single-Band"/>
    <n v="3"/>
    <m/>
    <m/>
    <n v="106.15671"/>
    <n v="10.438280000000001"/>
    <s v="TX Cai Lay"/>
    <n v="0"/>
    <s v="Swap_L18 + NR 2.6 32T"/>
    <s v="Outdoor"/>
    <s v="Swap_0"/>
    <n v="48090"/>
    <x v="35"/>
    <m/>
    <e v="#N/A"/>
    <s v="Macro"/>
    <x v="2"/>
    <n v="1"/>
  </r>
  <r>
    <s v="South"/>
    <s v="PO2_South1"/>
    <s v="Đồng Tháp"/>
    <s v="Tiền Giang"/>
    <s v="TGCY13"/>
    <x v="336"/>
    <s v="Swap"/>
    <s v="Single-Band"/>
    <n v="3"/>
    <m/>
    <m/>
    <n v="106.12201"/>
    <n v="10.48959"/>
    <s v="TX Cai Lay"/>
    <n v="0"/>
    <s v="Swap_L18"/>
    <s v="Outdoor"/>
    <s v="Swap_0"/>
    <n v="48090"/>
    <x v="35"/>
    <m/>
    <e v="#N/A"/>
    <s v="Macro"/>
    <x v="2"/>
    <n v="1"/>
  </r>
  <r>
    <s v="South"/>
    <s v="PO2_South1"/>
    <s v="Đồng Tháp"/>
    <s v="Tiền Giang"/>
    <s v="TGCY16"/>
    <x v="337"/>
    <s v="Swap"/>
    <s v="Single-Band"/>
    <n v="3"/>
    <m/>
    <m/>
    <n v="106.11015999999999"/>
    <n v="10.40977"/>
    <s v="TX Cai Lay"/>
    <n v="0"/>
    <s v="Swap_L18"/>
    <s v="Outdoor"/>
    <s v="Swap_0"/>
    <n v="48090"/>
    <x v="27"/>
    <m/>
    <e v="#N/A"/>
    <s v="Macro"/>
    <x v="2"/>
    <n v="1"/>
  </r>
  <r>
    <s v="South"/>
    <s v="PO2_South1"/>
    <s v="Đồng Tháp"/>
    <s v="Tiền Giang"/>
    <s v="TGCY17"/>
    <x v="338"/>
    <s v="Swap"/>
    <s v="Dual-band"/>
    <n v="3"/>
    <s v="New"/>
    <s v="PS mới 5G C"/>
    <n v="106.12358999999999"/>
    <n v="10.372170000000001"/>
    <s v="TX Cai Lay"/>
    <n v="0"/>
    <s v="Swap_L18 + L21 + NR 2.6 32T"/>
    <s v="Outdoor"/>
    <s v="Swap_0"/>
    <n v="48090"/>
    <x v="27"/>
    <m/>
    <e v="#N/A"/>
    <s v="Macro"/>
    <x v="2"/>
    <n v="1"/>
  </r>
  <r>
    <s v="South"/>
    <s v="PO2_South1"/>
    <s v="Đồng Tháp"/>
    <s v="Tiền Giang"/>
    <s v="TGCY18"/>
    <x v="339"/>
    <s v="Swap"/>
    <s v="Single-Band"/>
    <n v="3"/>
    <m/>
    <m/>
    <n v="106.17944"/>
    <n v="10.453760000000001"/>
    <s v="TX Cai Lay"/>
    <n v="0"/>
    <s v="Swap_L18"/>
    <s v="Outdoor"/>
    <s v="Swap_0"/>
    <n v="48090"/>
    <x v="35"/>
    <m/>
    <e v="#N/A"/>
    <s v="Macro"/>
    <x v="2"/>
    <n v="1"/>
  </r>
  <r>
    <s v="South"/>
    <s v="PO2_South1"/>
    <s v="Đồng Tháp"/>
    <s v="Tiền Giang"/>
    <s v="TGCY21"/>
    <x v="340"/>
    <s v="Swap"/>
    <s v="Dual-band"/>
    <n v="3"/>
    <s v="Swap"/>
    <s v="Swap (PS mới 5G B)"/>
    <n v="106.13122"/>
    <n v="10.40625"/>
    <s v="TX Cai Lay"/>
    <n v="0"/>
    <s v="Swap_L18 + L21 + NR 2.6 64T + NR 3.8"/>
    <s v="Outdoor"/>
    <s v="Swap_0"/>
    <n v="48090"/>
    <x v="27"/>
    <m/>
    <e v="#N/A"/>
    <s v="Macro"/>
    <x v="2"/>
    <n v="1"/>
  </r>
  <r>
    <s v="South"/>
    <s v="PO2_South1"/>
    <s v="Đồng Tháp"/>
    <s v="Tiền Giang"/>
    <s v="TGCY22"/>
    <x v="341"/>
    <s v="Swap"/>
    <s v="Dual-band"/>
    <n v="4"/>
    <s v="New"/>
    <s v="PS mới 5G C"/>
    <n v="106.1180914"/>
    <n v="10.4037881"/>
    <s v="TX Cai Lay"/>
    <n v="0"/>
    <s v="Swap_L18 + L21 + NR 2.6 32T"/>
    <s v="Outdoor"/>
    <s v="Swap_0"/>
    <n v="48090"/>
    <x v="27"/>
    <m/>
    <e v="#N/A"/>
    <s v="Macro"/>
    <x v="2"/>
    <n v="1"/>
  </r>
  <r>
    <s v="South"/>
    <s v="PO2_South1"/>
    <s v="Đồng Tháp"/>
    <s v="Tiền Giang"/>
    <s v="TGCY23"/>
    <x v="342"/>
    <s v="Swap"/>
    <s v="Dual-band"/>
    <n v="4"/>
    <s v="New"/>
    <s v="PS mới 5G C"/>
    <n v="106.12367"/>
    <n v="10.413779999999999"/>
    <s v="TX Cai Lay"/>
    <n v="0"/>
    <s v="Swap_L18 + L21 + NR 2.6 32T"/>
    <s v="Outdoor"/>
    <s v="Swap_0"/>
    <n v="48090"/>
    <x v="27"/>
    <m/>
    <e v="#N/A"/>
    <s v="Macro"/>
    <x v="2"/>
    <n v="1"/>
  </r>
  <r>
    <s v="South"/>
    <s v="PO2_South1"/>
    <s v="Đồng Tháp"/>
    <s v="Tiền Giang"/>
    <s v="TGCY27"/>
    <x v="343"/>
    <s v="Swap"/>
    <s v="Single-Band"/>
    <n v="3"/>
    <m/>
    <m/>
    <n v="106.14133"/>
    <n v="10.39249"/>
    <s v="TX Cai Lay"/>
    <n v="0"/>
    <s v="Swap_L18 + NR 7 + L9"/>
    <s v="Outdoor"/>
    <s v="Swap_0"/>
    <n v="48090"/>
    <x v="27"/>
    <m/>
    <e v="#N/A"/>
    <s v="Macro"/>
    <x v="2"/>
    <n v="1"/>
  </r>
  <r>
    <s v="South"/>
    <s v="PO2_South1"/>
    <s v="Đồng Tháp"/>
    <s v="Tiền Giang"/>
    <s v="TGCY29"/>
    <x v="344"/>
    <s v="Swap"/>
    <s v="Dual-band"/>
    <n v="4"/>
    <s v="Swap"/>
    <s v="Swap (PS mới 5G B)"/>
    <n v="106.0974284"/>
    <n v="10.4116135"/>
    <s v="TX Cai Lay"/>
    <n v="0"/>
    <s v="Swap_L18 + L21 + NR 2.6 64T + NR 3.8"/>
    <s v="Outdoor"/>
    <s v="Swap_0"/>
    <n v="48090"/>
    <x v="27"/>
    <m/>
    <e v="#N/A"/>
    <s v="Macro"/>
    <x v="2"/>
    <n v="1"/>
  </r>
  <r>
    <s v="South"/>
    <s v="PO2_South1"/>
    <s v="Đồng Tháp"/>
    <s v="Tiền Giang"/>
    <s v="TGCY35"/>
    <x v="345"/>
    <s v="Swap"/>
    <s v="Single-Band"/>
    <n v="3"/>
    <m/>
    <m/>
    <n v="106.17106"/>
    <n v="10.469889999999999"/>
    <s v="TX Cai Lay"/>
    <n v="0"/>
    <s v="Swap_L18"/>
    <s v="Outdoor"/>
    <s v="Swap_0"/>
    <n v="48090"/>
    <x v="35"/>
    <m/>
    <e v="#N/A"/>
    <s v="Macro"/>
    <x v="2"/>
    <n v="1"/>
  </r>
  <r>
    <s v="South"/>
    <s v="PO2_South1"/>
    <s v="Đồng Tháp"/>
    <s v="Tiền Giang"/>
    <s v="TGCY43"/>
    <x v="346"/>
    <s v="Swap"/>
    <s v="Single-Band"/>
    <n v="3"/>
    <m/>
    <m/>
    <n v="106.13679999999999"/>
    <n v="10.458399999999999"/>
    <s v="TX Cai Lay"/>
    <n v="0"/>
    <s v="Swap_L18"/>
    <s v="Outdoor"/>
    <s v="Swap_0"/>
    <n v="48090"/>
    <x v="35"/>
    <m/>
    <e v="#N/A"/>
    <s v="Macro"/>
    <x v="2"/>
    <n v="1"/>
  </r>
  <r>
    <s v="South"/>
    <s v="PO2_South1"/>
    <s v="Đồng Tháp"/>
    <s v="Tiền Giang"/>
    <s v="TGGC01"/>
    <x v="347"/>
    <s v="Swap"/>
    <s v="Dual-band"/>
    <n v="4"/>
    <s v="New"/>
    <s v="PS mới 5G A"/>
    <n v="106.6755484"/>
    <n v="10.362019500000001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02"/>
    <x v="348"/>
    <s v="Swap"/>
    <s v="Dual-band"/>
    <n v="3"/>
    <s v="New"/>
    <s v="PS mới 5G C"/>
    <n v="106.682749"/>
    <n v="10.3618881"/>
    <s v="Go Cong"/>
    <s v="Month 2"/>
    <s v="Swap_L18 + L21 + NR 2.6 32T"/>
    <s v="Outdoor"/>
    <s v="Swap_Month 2"/>
    <n v="48030"/>
    <x v="37"/>
    <m/>
    <e v="#N/A"/>
    <s v="CRAN"/>
    <x v="1"/>
    <n v="3"/>
  </r>
  <r>
    <s v="South"/>
    <s v="PO2_South1"/>
    <s v="Đồng Tháp"/>
    <s v="Tiền Giang"/>
    <s v="TGGC03"/>
    <x v="348"/>
    <s v="Swap"/>
    <s v="Single-Band"/>
    <n v="3"/>
    <s v="New"/>
    <s v="PS mới 5G C"/>
    <n v="106.6856497"/>
    <n v="10.350479699999999"/>
    <s v="Go Cong"/>
    <s v="Month 2"/>
    <s v="Swap_L18 + NR 2.6 32T"/>
    <s v="Outdoor"/>
    <s v="Swap_Month 2"/>
    <n v="48030"/>
    <x v="37"/>
    <m/>
    <e v="#N/A"/>
    <s v="Macro"/>
    <x v="0"/>
    <n v="3"/>
  </r>
  <r>
    <s v="South"/>
    <s v="PO2_South1"/>
    <s v="Đồng Tháp"/>
    <s v="Tiền Giang"/>
    <s v="TGGD40"/>
    <x v="348"/>
    <s v="Swap"/>
    <s v="Single-Band"/>
    <n v="3"/>
    <m/>
    <m/>
    <n v="106.69085990000001"/>
    <n v="10.341678699999999"/>
    <s v="Go Cong Dong"/>
    <s v="Month 2"/>
    <s v="Swap_L18"/>
    <s v="Outdoor"/>
    <s v="Swap_Month 2"/>
    <n v="48040"/>
    <x v="37"/>
    <m/>
    <e v="#N/A"/>
    <s v="CRAN"/>
    <x v="1"/>
    <n v="3"/>
  </r>
  <r>
    <s v="South"/>
    <s v="PO2_South1"/>
    <s v="Đồng Tháp"/>
    <s v="Tiền Giang"/>
    <s v="TGGC04"/>
    <x v="349"/>
    <s v="Swap"/>
    <s v="Dual-band"/>
    <n v="4"/>
    <s v="New"/>
    <s v="PS mới 5G C"/>
    <n v="106.67931"/>
    <n v="10.36816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06"/>
    <x v="350"/>
    <s v="Swap"/>
    <s v="Single-Band"/>
    <n v="3"/>
    <s v="New"/>
    <s v="PS mới 5G C"/>
    <n v="106.66700160000001"/>
    <n v="10.427435300000001"/>
    <s v="Go Cong"/>
    <s v="Month 2"/>
    <s v="Swap_L18 + NR 2.6 32T"/>
    <s v="Outdoor"/>
    <s v="Swap_Month 2"/>
    <n v="48030"/>
    <x v="38"/>
    <m/>
    <e v="#N/A"/>
    <s v="Macro"/>
    <x v="0"/>
    <n v="2"/>
  </r>
  <r>
    <s v="South"/>
    <s v="PO2_South1"/>
    <s v="Đồng Tháp"/>
    <s v="Tiền Giang"/>
    <s v="TGGC32"/>
    <x v="350"/>
    <s v="Swap"/>
    <s v="Single-Band"/>
    <n v="3"/>
    <m/>
    <m/>
    <n v="106.64339"/>
    <n v="10.43754"/>
    <s v="Go Cong"/>
    <s v="Month 2"/>
    <s v="Swap_L18"/>
    <s v="Outdoor"/>
    <s v="Swap_Month 2"/>
    <n v="48030"/>
    <x v="38"/>
    <m/>
    <e v="#N/A"/>
    <s v="CRAN"/>
    <x v="1"/>
    <n v="2"/>
  </r>
  <r>
    <s v="South"/>
    <s v="PO2_South1"/>
    <s v="Đồng Tháp"/>
    <s v="Tiền Giang"/>
    <s v="TGGC07"/>
    <x v="351"/>
    <s v="Swap"/>
    <s v="Dual-band"/>
    <n v="3"/>
    <s v="New"/>
    <s v="PS mới 5G C"/>
    <n v="106.67521000000001"/>
    <n v="10.39987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08"/>
    <x v="352"/>
    <s v="Swap"/>
    <s v="Single-Band"/>
    <n v="3"/>
    <m/>
    <m/>
    <n v="106.651393"/>
    <n v="10.3775409"/>
    <s v="Go Cong"/>
    <s v="Month 2"/>
    <s v="Swap_L18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09"/>
    <x v="353"/>
    <s v="Swap"/>
    <s v="Single-Band"/>
    <n v="3"/>
    <m/>
    <m/>
    <n v="106.69392689999999"/>
    <n v="10.3670022"/>
    <s v="Go Cong"/>
    <s v="Month 2"/>
    <s v="Swap_L18"/>
    <s v="Outdoor"/>
    <s v="Swap_Month 2"/>
    <n v="48030"/>
    <x v="37"/>
    <m/>
    <e v="#N/A"/>
    <s v="Macro"/>
    <x v="0"/>
    <n v="3"/>
  </r>
  <r>
    <s v="South"/>
    <s v="PO2_South1"/>
    <s v="Đồng Tháp"/>
    <s v="Tiền Giang"/>
    <s v="TGGC13"/>
    <x v="353"/>
    <s v="Swap"/>
    <s v="Single-Band"/>
    <n v="3"/>
    <m/>
    <m/>
    <n v="106.70491"/>
    <n v="10.361330000000001"/>
    <s v="Go Cong"/>
    <s v="Month 2"/>
    <s v="Swap_L18"/>
    <s v="Outdoor"/>
    <s v="Swap_Month 2"/>
    <n v="48030"/>
    <x v="37"/>
    <m/>
    <e v="#N/A"/>
    <s v="CRAN"/>
    <x v="1"/>
    <n v="3"/>
  </r>
  <r>
    <s v="South"/>
    <s v="PO2_South1"/>
    <s v="Đồng Tháp"/>
    <s v="Tiền Giang"/>
    <s v="TGGC28"/>
    <x v="353"/>
    <s v="Swap"/>
    <s v="Dual-band"/>
    <n v="3"/>
    <s v="New"/>
    <s v="PS mới 5G C"/>
    <n v="106.69437859999999"/>
    <n v="10.3765819"/>
    <s v="Go Cong"/>
    <s v="Month 2"/>
    <s v="Swap_L18 + L21 + NR 2.6 32T"/>
    <s v="Outdoor"/>
    <s v="Swap_Month 2"/>
    <n v="48030"/>
    <x v="37"/>
    <m/>
    <s v="OK"/>
    <s v="CRAN"/>
    <x v="1"/>
    <n v="3"/>
  </r>
  <r>
    <s v="South"/>
    <s v="PO2_South1"/>
    <s v="Đồng Tháp"/>
    <s v="Tiền Giang"/>
    <s v="TGGC10"/>
    <x v="354"/>
    <s v="Swap"/>
    <s v="Single-Band"/>
    <n v="3"/>
    <s v="New"/>
    <s v="PS mới 5G C"/>
    <n v="106.62772"/>
    <n v="10.427049999999999"/>
    <s v="Go Cong"/>
    <s v="Month 2"/>
    <s v="Swap_L18 + NR 2.6 32T"/>
    <s v="Outdoor"/>
    <s v="Swap_Month 2"/>
    <n v="48030"/>
    <x v="38"/>
    <m/>
    <e v="#N/A"/>
    <s v="Macro"/>
    <x v="2"/>
    <n v="1"/>
  </r>
  <r>
    <s v="South"/>
    <s v="PO2_South1"/>
    <s v="Đồng Tháp"/>
    <s v="Tiền Giang"/>
    <s v="TGGC11"/>
    <x v="355"/>
    <s v="Swap"/>
    <s v="Dual-band"/>
    <n v="3"/>
    <s v="New"/>
    <s v="PS mới 5G C"/>
    <n v="106.6598104"/>
    <n v="10.3592589"/>
    <s v="Go Cong"/>
    <s v="Month 2"/>
    <s v="Swap_L18 + L21 + NR 2.6 32T"/>
    <s v="Outdoor"/>
    <s v="Swap_Month 2"/>
    <n v="48030"/>
    <x v="37"/>
    <m/>
    <e v="#N/A"/>
    <s v="Macro"/>
    <x v="0"/>
    <n v="2"/>
  </r>
  <r>
    <s v="South"/>
    <s v="PO2_South1"/>
    <s v="Đồng Tháp"/>
    <s v="Tiền Giang"/>
    <s v="TGGC24"/>
    <x v="355"/>
    <s v="Swap"/>
    <s v="Dual-band"/>
    <n v="3"/>
    <m/>
    <m/>
    <n v="106.664947"/>
    <n v="10.356858000000001"/>
    <s v="Go Cong"/>
    <s v="Month 2"/>
    <s v="Swap_L18 + L21"/>
    <s v="Outdoor"/>
    <s v="Swap_Month 2"/>
    <n v="48030"/>
    <x v="37"/>
    <m/>
    <e v="#N/A"/>
    <s v="CRAN"/>
    <x v="1"/>
    <n v="2"/>
  </r>
  <r>
    <s v="South"/>
    <s v="PO2_South1"/>
    <s v="Đồng Tháp"/>
    <s v="Tiền Giang"/>
    <s v="TGGC12"/>
    <x v="356"/>
    <s v="Swap"/>
    <s v="Dual-band"/>
    <n v="3"/>
    <s v="New"/>
    <s v="PS mới 5G C"/>
    <n v="106.68273929999999"/>
    <n v="10.3829949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14"/>
    <x v="357"/>
    <s v="Swap"/>
    <s v="Single-Band"/>
    <n v="3"/>
    <m/>
    <m/>
    <n v="106.63282"/>
    <n v="10.4038"/>
    <s v="Go Cong"/>
    <s v="Month 2"/>
    <s v="Swap_L18 + NR 7 + L9"/>
    <s v="Outdoor"/>
    <s v="Swap_Month 2"/>
    <n v="48030"/>
    <x v="38"/>
    <m/>
    <e v="#N/A"/>
    <s v="Macro"/>
    <x v="2"/>
    <n v="1"/>
  </r>
  <r>
    <s v="South"/>
    <s v="PO2_South1"/>
    <s v="Đồng Tháp"/>
    <s v="Tiền Giang"/>
    <s v="TGGC16"/>
    <x v="358"/>
    <s v="Swap"/>
    <s v="Single-Band"/>
    <n v="3"/>
    <m/>
    <m/>
    <n v="106.65470999999999"/>
    <n v="10.440469999999999"/>
    <s v="Go Cong"/>
    <s v="Month 2"/>
    <s v="Swap_L18"/>
    <s v="Outdoor"/>
    <s v="Swap_Month 2"/>
    <n v="48030"/>
    <x v="38"/>
    <m/>
    <e v="#N/A"/>
    <s v="Macro"/>
    <x v="2"/>
    <n v="1"/>
  </r>
  <r>
    <s v="South"/>
    <s v="PO2_South1"/>
    <s v="Đồng Tháp"/>
    <s v="Tiền Giang"/>
    <s v="TGGC17"/>
    <x v="359"/>
    <s v="Swap"/>
    <s v="Dual-band"/>
    <n v="4"/>
    <s v="New"/>
    <s v="PS mới 5G C"/>
    <n v="106.67119099999999"/>
    <n v="10.3640905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18"/>
    <x v="360"/>
    <s v="Swap"/>
    <s v="Single-Band"/>
    <n v="3"/>
    <m/>
    <m/>
    <n v="106.61481000000001"/>
    <n v="10.416"/>
    <s v="Go Cong"/>
    <s v="Month 2"/>
    <s v="Swap_L18"/>
    <s v="Outdoor"/>
    <s v="Swap_Month 2"/>
    <n v="48030"/>
    <x v="38"/>
    <m/>
    <e v="#N/A"/>
    <s v="Macro"/>
    <x v="2"/>
    <n v="1"/>
  </r>
  <r>
    <s v="South"/>
    <s v="PO2_South1"/>
    <s v="Đồng Tháp"/>
    <s v="Tiền Giang"/>
    <s v="TGGC15"/>
    <x v="361"/>
    <s v="Swap"/>
    <s v="Single-Band"/>
    <n v="3"/>
    <m/>
    <m/>
    <n v="106.6715384"/>
    <n v="10.3465167"/>
    <s v="Go Cong"/>
    <s v="Month 2"/>
    <s v="Swap_L18"/>
    <s v="Outdoor"/>
    <s v="Swap_Month 2"/>
    <n v="48030"/>
    <x v="37"/>
    <m/>
    <e v="#N/A"/>
    <s v="CRAN"/>
    <x v="1"/>
    <n v="2"/>
  </r>
  <r>
    <s v="South"/>
    <s v="PO2_South1"/>
    <s v="Đồng Tháp"/>
    <s v="Tiền Giang"/>
    <s v="TGGC19"/>
    <x v="361"/>
    <s v="Swap"/>
    <s v="Dual-band"/>
    <n v="3"/>
    <m/>
    <m/>
    <n v="106.6766616"/>
    <n v="10.3523716"/>
    <s v="Go Cong"/>
    <s v="Month 2"/>
    <s v="Swap_L18 + L21"/>
    <s v="Outdoor"/>
    <s v="Swap_Month 2"/>
    <n v="48030"/>
    <x v="37"/>
    <m/>
    <e v="#N/A"/>
    <s v="Macro"/>
    <x v="0"/>
    <n v="2"/>
  </r>
  <r>
    <s v="South"/>
    <s v="PO2_South1"/>
    <s v="Đồng Tháp"/>
    <s v="Tiền Giang"/>
    <s v="TGGC20"/>
    <x v="362"/>
    <s v="Swap"/>
    <s v="Dual-band"/>
    <n v="3"/>
    <s v="New"/>
    <s v="PS mới 5G C"/>
    <n v="106.67270929999999"/>
    <n v="10.370312200000001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21"/>
    <x v="363"/>
    <s v="Swap"/>
    <s v="Dual-band"/>
    <n v="4"/>
    <s v="New"/>
    <s v="PS mới 5G C"/>
    <n v="106.67744500000001"/>
    <n v="10.357284999999999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22"/>
    <x v="364"/>
    <s v="Swap"/>
    <s v="Single-Band"/>
    <n v="3"/>
    <s v="New"/>
    <s v="PS mới 5G C"/>
    <n v="106.69309"/>
    <n v="10.423870000000001"/>
    <s v="Go Cong"/>
    <n v="0"/>
    <s v="Swap_L18 + NR 2.6 32T"/>
    <s v="Outdoor"/>
    <s v="Swap_0"/>
    <n v="48030"/>
    <x v="39"/>
    <m/>
    <e v="#N/A"/>
    <s v="Macro"/>
    <x v="2"/>
    <n v="1"/>
  </r>
  <r>
    <s v="South"/>
    <s v="PO2_South1"/>
    <s v="Đồng Tháp"/>
    <s v="Tiền Giang"/>
    <s v="TGGC23"/>
    <x v="365"/>
    <s v="Swap"/>
    <s v="Single-Band"/>
    <n v="3"/>
    <m/>
    <m/>
    <n v="106.6422647"/>
    <n v="10.467040600000001"/>
    <s v="Go Cong"/>
    <s v="Month 2"/>
    <s v="Swap_L18"/>
    <s v="Outdoor"/>
    <s v="Swap_Month 2"/>
    <n v="48030"/>
    <x v="38"/>
    <m/>
    <e v="#N/A"/>
    <s v="Macro"/>
    <x v="2"/>
    <n v="1"/>
  </r>
  <r>
    <s v="South"/>
    <s v="PO2_South1"/>
    <s v="Đồng Tháp"/>
    <s v="Tiền Giang"/>
    <s v="TGGC26"/>
    <x v="366"/>
    <s v="Swap"/>
    <s v="Single-Band"/>
    <n v="3"/>
    <m/>
    <m/>
    <n v="106.69407"/>
    <n v="10.36115"/>
    <s v="Go Cong"/>
    <s v="Month 2"/>
    <s v="Swap_L18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27"/>
    <x v="367"/>
    <s v="Swap"/>
    <s v="Dual-band"/>
    <n v="3"/>
    <m/>
    <m/>
    <n v="106.6524869"/>
    <n v="10.3582635"/>
    <s v="Go Cong"/>
    <s v="Month 2"/>
    <s v="Swap_L18 + L21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29"/>
    <x v="368"/>
    <s v="Swap"/>
    <s v="Dual-band"/>
    <n v="3"/>
    <m/>
    <m/>
    <n v="106.67516999999999"/>
    <n v="10.416130000000001"/>
    <s v="Go Cong"/>
    <s v="Month 2"/>
    <s v="Swap_L18 + L21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30"/>
    <x v="369"/>
    <s v="Swap"/>
    <s v="Dual-band"/>
    <n v="3"/>
    <s v="New"/>
    <s v="PS mới 5G C"/>
    <n v="106.6092397"/>
    <n v="10.436410800000001"/>
    <s v="Go Cong"/>
    <s v="Month 2"/>
    <s v="Swap_L18 + L21 + NR 2.6 32T"/>
    <s v="Outdoor"/>
    <s v="Swap_Month 2"/>
    <n v="48030"/>
    <x v="38"/>
    <m/>
    <e v="#N/A"/>
    <s v="Macro"/>
    <x v="2"/>
    <n v="1"/>
  </r>
  <r>
    <s v="South"/>
    <s v="PO2_South1"/>
    <s v="Đồng Tháp"/>
    <s v="Tiền Giang"/>
    <s v="TGGC33"/>
    <x v="370"/>
    <s v="Swap"/>
    <s v="Dual-band"/>
    <n v="3"/>
    <s v="New"/>
    <s v="PS mới 5G C"/>
    <n v="106.67064999999999"/>
    <n v="10.35594"/>
    <s v="Go Cong"/>
    <s v="Month 2"/>
    <s v="Swap_L18 + L21 + NR 2.6 32T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C05"/>
    <x v="371"/>
    <s v="Swap"/>
    <s v="Dual-band"/>
    <n v="3"/>
    <m/>
    <m/>
    <n v="106.63755"/>
    <n v="10.45654"/>
    <s v="Go Cong"/>
    <s v="Month 2"/>
    <s v="Swap_L18 + L21"/>
    <s v="Outdoor"/>
    <s v="Swap_Month 2"/>
    <n v="48030"/>
    <x v="38"/>
    <m/>
    <e v="#N/A"/>
    <s v="CRAN"/>
    <x v="1"/>
    <n v="2"/>
  </r>
  <r>
    <s v="South"/>
    <s v="PO2_South1"/>
    <s v="Đồng Tháp"/>
    <s v="Tiền Giang"/>
    <s v="TGGC34"/>
    <x v="371"/>
    <s v="Swap"/>
    <s v="Single-Band"/>
    <n v="3"/>
    <s v="New"/>
    <s v="PS mới 5G C"/>
    <n v="106.64886"/>
    <n v="10.45172"/>
    <s v="Go Cong"/>
    <s v="Month 2"/>
    <s v="Swap_L18 + NR 2.6 32T"/>
    <s v="Outdoor"/>
    <s v="Swap_Month 2"/>
    <n v="48030"/>
    <x v="38"/>
    <m/>
    <e v="#N/A"/>
    <s v="Macro"/>
    <x v="0"/>
    <n v="2"/>
  </r>
  <r>
    <s v="South"/>
    <s v="PO2_South1"/>
    <s v="Đồng Tháp"/>
    <s v="Tiền Giang"/>
    <s v="TGGC35"/>
    <x v="372"/>
    <s v="Swap"/>
    <s v="Single-Band"/>
    <n v="3"/>
    <m/>
    <m/>
    <n v="106.654597"/>
    <n v="10.397194000000001"/>
    <s v="Go Cong"/>
    <s v="Month 2"/>
    <s v="Swap_L18"/>
    <s v="Outdoor"/>
    <s v="Swap_Month 2"/>
    <n v="48030"/>
    <x v="37"/>
    <m/>
    <e v="#N/A"/>
    <s v="Macro"/>
    <x v="2"/>
    <n v="1"/>
  </r>
  <r>
    <s v="South"/>
    <s v="PO2_South1"/>
    <s v="Đồng Tháp"/>
    <s v="Tiền Giang"/>
    <s v="TGGD01"/>
    <x v="373"/>
    <s v="Swap"/>
    <s v="Dual-band"/>
    <n v="3"/>
    <s v="New"/>
    <s v="PS mới 5G C"/>
    <n v="106.7127539"/>
    <n v="10.319948999999999"/>
    <s v="Go Cong Dong"/>
    <s v="Month 2"/>
    <s v="Swap_L18 + L21 + NR 2.6 32T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02"/>
    <x v="374"/>
    <s v="Swap"/>
    <s v="Single-Band"/>
    <n v="3"/>
    <m/>
    <m/>
    <n v="106.72176"/>
    <n v="10.360099999999999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05"/>
    <x v="375"/>
    <s v="Swap"/>
    <s v="Single-Band"/>
    <n v="3"/>
    <m/>
    <m/>
    <n v="106.73349"/>
    <n v="10.27725"/>
    <s v="Go Cong Dong"/>
    <s v="Month 2"/>
    <s v="Swap_L18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06"/>
    <x v="376"/>
    <s v="Swap"/>
    <s v="Single-Band"/>
    <n v="3"/>
    <s v="New"/>
    <s v="PS mới 5G C"/>
    <n v="106.77599120000001"/>
    <n v="10.288743800000001"/>
    <s v="Go Cong Dong"/>
    <s v="Month 2"/>
    <s v="Swap_L18 + NR 2.6 32T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X0"/>
    <x v="377"/>
    <s v="Swap"/>
    <s v="Single-Band"/>
    <n v="3"/>
    <m/>
    <m/>
    <n v="106.78039"/>
    <n v="10.358712000000001"/>
    <s v="Go Cong Dong"/>
    <s v="Month 2"/>
    <s v="Swap_L18"/>
    <s v="Outdoor"/>
    <s v="Swap_Month 2"/>
    <n v="48040"/>
    <x v="41"/>
    <m/>
    <e v="#N/A"/>
    <s v="CRAN"/>
    <x v="1"/>
    <n v="2"/>
  </r>
  <r>
    <s v="South"/>
    <s v="PO2_South1"/>
    <s v="Đồng Tháp"/>
    <s v="Tiền Giang"/>
    <s v="TGGD08"/>
    <x v="377"/>
    <s v="Swap"/>
    <s v="Single-Band"/>
    <n v="3"/>
    <m/>
    <m/>
    <n v="106.7573"/>
    <n v="10.3515"/>
    <s v="Go Cong Dong"/>
    <s v="Month 2"/>
    <s v="Swap_L18 + NR 7 + L9"/>
    <s v="Outdoor"/>
    <s v="Swap_Month 2"/>
    <n v="48040"/>
    <x v="41"/>
    <m/>
    <e v="#N/A"/>
    <s v="Macro"/>
    <x v="0"/>
    <n v="2"/>
  </r>
  <r>
    <s v="South"/>
    <s v="PO2_South1"/>
    <s v="Đồng Tháp"/>
    <s v="Tiền Giang"/>
    <s v="TGGD09"/>
    <x v="378"/>
    <s v="Swap"/>
    <s v="Single-Band"/>
    <n v="3"/>
    <s v="New"/>
    <s v="PS mới 5G C"/>
    <n v="106.71036599999999"/>
    <n v="10.443583200000001"/>
    <s v="Go Cong Dong"/>
    <n v="0"/>
    <s v="Swap_L18 + NR 2.6 32T"/>
    <s v="Outdoor"/>
    <s v="Swap_0"/>
    <n v="48040"/>
    <x v="39"/>
    <m/>
    <e v="#N/A"/>
    <s v="Macro"/>
    <x v="2"/>
    <n v="1"/>
  </r>
  <r>
    <s v="South"/>
    <s v="PO2_South1"/>
    <s v="Đồng Tháp"/>
    <s v="Tiền Giang"/>
    <s v="TGGD10"/>
    <x v="379"/>
    <s v="Swap"/>
    <s v="Dual-band"/>
    <n v="3"/>
    <s v="New"/>
    <s v="PS mới 5G C"/>
    <n v="106.71598"/>
    <n v="10.401059999999999"/>
    <s v="Go Cong Dong"/>
    <s v="Month 2"/>
    <s v="Swap_L18 + L21 + NR 2.6 32T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11"/>
    <x v="380"/>
    <s v="Swap"/>
    <s v="Single-Band"/>
    <n v="3"/>
    <m/>
    <m/>
    <n v="106.75774"/>
    <n v="10.408099999999999"/>
    <s v="Go Cong Dong"/>
    <s v="Month 2"/>
    <s v="Swap_L18"/>
    <s v="Outdoor"/>
    <s v="Swap_Month 2"/>
    <n v="48040"/>
    <x v="41"/>
    <m/>
    <e v="#N/A"/>
    <s v="Macro"/>
    <x v="0"/>
    <n v="2"/>
  </r>
  <r>
    <s v="South"/>
    <s v="PO2_South1"/>
    <s v="Đồng Tháp"/>
    <s v="Tiền Giang"/>
    <s v="TGGD41"/>
    <x v="380"/>
    <s v="Swap"/>
    <s v="Single-Band"/>
    <n v="3"/>
    <m/>
    <m/>
    <n v="106.7648513"/>
    <n v="10.410625"/>
    <s v="Go Cong Dong"/>
    <s v="Month 2"/>
    <s v="Swap_L18"/>
    <s v="Outdoor"/>
    <s v="Swap_Month 2"/>
    <n v="48040"/>
    <x v="41"/>
    <m/>
    <e v="#N/A"/>
    <s v="CRAN"/>
    <x v="1"/>
    <n v="2"/>
  </r>
  <r>
    <s v="South"/>
    <s v="PO2_South1"/>
    <s v="Đồng Tháp"/>
    <s v="Tiền Giang"/>
    <s v="TGGD12"/>
    <x v="381"/>
    <s v="Swap"/>
    <s v="Single-Band"/>
    <n v="3"/>
    <s v="New"/>
    <s v="PS mới 5G C"/>
    <n v="106.7427193"/>
    <n v="10.3935861"/>
    <s v="Go Cong Dong"/>
    <s v="Month 2"/>
    <s v="Swap_L18 + NR 2.6 32T"/>
    <s v="Outdoor"/>
    <s v="Swap_Month 2"/>
    <n v="48040"/>
    <x v="41"/>
    <m/>
    <e v="#N/A"/>
    <s v="Macro"/>
    <x v="0"/>
    <n v="3"/>
  </r>
  <r>
    <s v="South"/>
    <s v="PO2_South1"/>
    <s v="Đồng Tháp"/>
    <s v="Tiền Giang"/>
    <s v="TGGD22"/>
    <x v="381"/>
    <s v="Swap"/>
    <s v="Single-Band"/>
    <n v="3"/>
    <m/>
    <m/>
    <n v="106.7610023"/>
    <n v="10.381358799999999"/>
    <s v="Go Cong Dong"/>
    <s v="Month 2"/>
    <s v="Swap_L18"/>
    <s v="Outdoor"/>
    <s v="Swap_Month 2"/>
    <n v="48040"/>
    <x v="41"/>
    <m/>
    <s v="OK"/>
    <s v="CRAN"/>
    <x v="1"/>
    <n v="3"/>
  </r>
  <r>
    <s v="South"/>
    <s v="PO2_South1"/>
    <s v="Đồng Tháp"/>
    <s v="Tiền Giang"/>
    <s v="TGGD36"/>
    <x v="381"/>
    <s v="Swap"/>
    <s v="Single-Band"/>
    <n v="3"/>
    <m/>
    <m/>
    <n v="106.74520630000001"/>
    <n v="10.3961215"/>
    <s v="Go Cong Dong"/>
    <s v="Month 2"/>
    <s v="Swap_L18"/>
    <s v="Outdoor"/>
    <s v="Swap_Month 2"/>
    <n v="48040"/>
    <x v="41"/>
    <m/>
    <s v="OK"/>
    <s v="CRAN"/>
    <x v="1"/>
    <n v="3"/>
  </r>
  <r>
    <s v="South"/>
    <s v="PO2_South1"/>
    <s v="Đồng Tháp"/>
    <s v="Tiền Giang"/>
    <s v="TGGD14"/>
    <x v="382"/>
    <s v="Swap"/>
    <s v="Single-Band"/>
    <n v="3"/>
    <m/>
    <m/>
    <n v="106.72858100000001"/>
    <n v="10.337308800000001"/>
    <s v="Go Cong Dong"/>
    <s v="Month 2"/>
    <s v="Swap_L18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15"/>
    <x v="383"/>
    <s v="Swap"/>
    <s v="Single-Band"/>
    <n v="3"/>
    <m/>
    <m/>
    <n v="106.73780050000001"/>
    <n v="10.358418800000001"/>
    <s v="Go Cong Dong"/>
    <s v="Month 2"/>
    <s v="Swap_L18 + NR 7 + L9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07"/>
    <x v="384"/>
    <s v="Swap"/>
    <s v="Single-Band"/>
    <n v="3"/>
    <m/>
    <m/>
    <n v="106.705789"/>
    <n v="10.292809"/>
    <s v="Go Cong Dong"/>
    <s v="Month 2"/>
    <s v="Swap_L18"/>
    <s v="Outdoor"/>
    <s v="Swap_Month 2"/>
    <n v="48040"/>
    <x v="40"/>
    <m/>
    <e v="#N/A"/>
    <s v="CRAN"/>
    <x v="1"/>
    <n v="2"/>
  </r>
  <r>
    <s v="South"/>
    <s v="PO2_South1"/>
    <s v="Đồng Tháp"/>
    <s v="Tiền Giang"/>
    <s v="TGGD16"/>
    <x v="384"/>
    <s v="Swap"/>
    <s v="Single-Band"/>
    <n v="3"/>
    <s v="New"/>
    <s v="PS mới 5G C"/>
    <n v="106.7176539"/>
    <n v="10.302466000000001"/>
    <s v="Go Cong Dong"/>
    <s v="Month 2"/>
    <s v="Swap_L18 + NR 2.6 32T"/>
    <s v="Outdoor"/>
    <s v="Swap_Month 2"/>
    <n v="48040"/>
    <x v="40"/>
    <m/>
    <e v="#N/A"/>
    <s v="Macro"/>
    <x v="0"/>
    <n v="2"/>
  </r>
  <r>
    <s v="South"/>
    <s v="PO2_South1"/>
    <s v="Đồng Tháp"/>
    <s v="Tiền Giang"/>
    <s v="TGGD17"/>
    <x v="385"/>
    <s v="Swap"/>
    <s v="Dual-band"/>
    <n v="3"/>
    <s v="New"/>
    <s v="PS mới 5G C"/>
    <n v="106.7705996"/>
    <n v="10.4123123"/>
    <s v="Go Cong Dong"/>
    <s v="Month 2"/>
    <s v="Swap_L18 + L21 + NR 2.6 32T"/>
    <s v="Outdoor"/>
    <s v="Swap_Month 2"/>
    <n v="48040"/>
    <x v="41"/>
    <m/>
    <e v="#N/A"/>
    <s v="Macro"/>
    <x v="0"/>
    <n v="2"/>
  </r>
  <r>
    <s v="South"/>
    <s v="PO2_South1"/>
    <s v="Đồng Tháp"/>
    <s v="Tiền Giang"/>
    <s v="TGGD46"/>
    <x v="385"/>
    <s v="Swap"/>
    <s v="Single-Band"/>
    <n v="3"/>
    <m/>
    <m/>
    <n v="106.75818"/>
    <n v="10.42258"/>
    <s v="Go Cong Dong"/>
    <n v="0"/>
    <s v="Swap_L18"/>
    <s v="Outdoor"/>
    <s v="Swap_0"/>
    <n v="48040"/>
    <x v="41"/>
    <m/>
    <e v="#N/A"/>
    <s v="CRAN"/>
    <x v="1"/>
    <n v="2"/>
  </r>
  <r>
    <s v="South"/>
    <s v="PO2_South1"/>
    <s v="Đồng Tháp"/>
    <s v="Tiền Giang"/>
    <s v="TGGD20"/>
    <x v="386"/>
    <s v="Swap"/>
    <s v="Single-Band"/>
    <n v="3"/>
    <m/>
    <m/>
    <n v="106.7061953"/>
    <n v="10.386372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21"/>
    <x v="387"/>
    <s v="Swap"/>
    <s v="Single-Band"/>
    <n v="3"/>
    <m/>
    <m/>
    <n v="106.739469"/>
    <n v="10.370230899999999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24"/>
    <x v="388"/>
    <s v="Swap"/>
    <s v="Single-Band"/>
    <n v="3"/>
    <m/>
    <m/>
    <n v="106.7545521"/>
    <n v="10.3386862"/>
    <s v="Go Cong Dong"/>
    <s v="Month 2"/>
    <s v="Swap_L18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27"/>
    <x v="389"/>
    <s v="Swap"/>
    <s v="Single-Band"/>
    <n v="3"/>
    <m/>
    <m/>
    <n v="106.6995196"/>
    <n v="10.4039032"/>
    <s v="Go Cong Dong"/>
    <n v="0"/>
    <s v="Swap_L18"/>
    <s v="Outdoor"/>
    <s v="Swap_0"/>
    <n v="48040"/>
    <x v="39"/>
    <m/>
    <e v="#N/A"/>
    <s v="Macro"/>
    <x v="2"/>
    <n v="1"/>
  </r>
  <r>
    <s v="South"/>
    <s v="PO2_South1"/>
    <s v="Đồng Tháp"/>
    <s v="Tiền Giang"/>
    <s v="TGGD03"/>
    <x v="390"/>
    <s v="Swap"/>
    <s v="Single-Band"/>
    <n v="3"/>
    <m/>
    <m/>
    <n v="106.69696"/>
    <n v="10.33497"/>
    <s v="Go Cong Dong"/>
    <s v="Month 2"/>
    <s v="Swap_L18"/>
    <s v="Outdoor"/>
    <s v="Swap_Month 2"/>
    <n v="48040"/>
    <x v="40"/>
    <m/>
    <e v="#N/A"/>
    <s v="CRAN"/>
    <x v="1"/>
    <n v="2"/>
  </r>
  <r>
    <s v="South"/>
    <s v="PO2_South1"/>
    <s v="Đồng Tháp"/>
    <s v="Tiền Giang"/>
    <s v="TGGD28"/>
    <x v="390"/>
    <s v="Swap"/>
    <s v="Single-Band"/>
    <n v="3"/>
    <m/>
    <m/>
    <n v="106.7115713"/>
    <n v="10.349454"/>
    <s v="Go Cong Dong"/>
    <s v="Month 2"/>
    <s v="Swap_L18"/>
    <s v="Outdoor"/>
    <s v="Swap_Month 2"/>
    <n v="48040"/>
    <x v="40"/>
    <m/>
    <e v="#N/A"/>
    <s v="Macro"/>
    <x v="0"/>
    <n v="2"/>
  </r>
  <r>
    <s v="South"/>
    <s v="PO2_South1"/>
    <s v="Đồng Tháp"/>
    <s v="Tiền Giang"/>
    <s v="TGGD29"/>
    <x v="391"/>
    <s v="Swap"/>
    <s v="Single-Band"/>
    <n v="3"/>
    <m/>
    <m/>
    <n v="106.74311299999999"/>
    <n v="10.297205999999999"/>
    <s v="Go Cong Dong"/>
    <s v="Month 2"/>
    <s v="Swap_L18"/>
    <s v="Outdoor"/>
    <s v="Swap_Month 2"/>
    <n v="48040"/>
    <x v="40"/>
    <m/>
    <e v="#N/A"/>
    <s v="CRAN"/>
    <x v="1"/>
    <n v="5"/>
  </r>
  <r>
    <s v="South"/>
    <s v="PO2_South1"/>
    <s v="Đồng Tháp"/>
    <s v="Tiền Giang"/>
    <s v="TGGD30"/>
    <x v="391"/>
    <s v="Swap"/>
    <s v="Single-Band"/>
    <n v="3"/>
    <m/>
    <m/>
    <n v="106.76405"/>
    <n v="10.30341"/>
    <s v="Go Cong Dong"/>
    <s v="Month 2"/>
    <s v="Swap_L18"/>
    <s v="Outdoor"/>
    <s v="Swap_Month 2"/>
    <n v="48040"/>
    <x v="40"/>
    <m/>
    <e v="#N/A"/>
    <s v="Macro"/>
    <x v="0"/>
    <n v="5"/>
  </r>
  <r>
    <s v="South"/>
    <s v="PO2_South1"/>
    <s v="Đồng Tháp"/>
    <s v="Tiền Giang"/>
    <s v="TGGD44"/>
    <x v="391"/>
    <s v="Swap"/>
    <s v="Single-Band"/>
    <n v="3"/>
    <m/>
    <m/>
    <n v="106.7793092"/>
    <n v="10.3220683"/>
    <s v="Go Cong Dong"/>
    <s v="Month 2"/>
    <s v="Swap_L18"/>
    <s v="Outdoor"/>
    <s v="Swap_Month 2"/>
    <n v="48040"/>
    <x v="40"/>
    <m/>
    <e v="#N/A"/>
    <s v="CRAN"/>
    <x v="1"/>
    <n v="5"/>
  </r>
  <r>
    <s v="South"/>
    <s v="PO2_South1"/>
    <s v="Đồng Tháp"/>
    <s v="Tiền Giang"/>
    <s v="TGGD04"/>
    <x v="391"/>
    <s v="Swap"/>
    <s v="Single-Band"/>
    <n v="3"/>
    <s v="New"/>
    <s v="PS mới 5G C"/>
    <n v="106.75063"/>
    <n v="10.317259999999999"/>
    <s v="Go Cong Dong"/>
    <s v="Month 2"/>
    <s v="Swap_L18 + NR 2.6 32T"/>
    <s v="Outdoor"/>
    <s v="Swap_Month 2"/>
    <n v="48040"/>
    <x v="40"/>
    <m/>
    <s v="OK"/>
    <s v="CRAN"/>
    <x v="1"/>
    <n v="5"/>
  </r>
  <r>
    <s v="South"/>
    <s v="PO2_South1"/>
    <s v="Đồng Tháp"/>
    <s v="Tiền Giang"/>
    <s v="TGGD18"/>
    <x v="391"/>
    <s v="Swap"/>
    <s v="Single-Band"/>
    <n v="3"/>
    <m/>
    <m/>
    <n v="106.7609156"/>
    <n v="10.2765285"/>
    <s v="Go Cong Dong"/>
    <s v="Month 2"/>
    <s v="Swap_L18"/>
    <s v="Outdoor"/>
    <s v="Swap_Month 2"/>
    <n v="48040"/>
    <x v="40"/>
    <m/>
    <s v="OK"/>
    <s v="CRAN"/>
    <x v="1"/>
    <n v="5"/>
  </r>
  <r>
    <s v="South"/>
    <s v="PO2_South1"/>
    <s v="Đồng Tháp"/>
    <s v="Tiền Giang"/>
    <s v="TGGD26"/>
    <x v="392"/>
    <s v="Swap"/>
    <s v="Single-Band"/>
    <n v="3"/>
    <m/>
    <m/>
    <n v="106.73997129999999"/>
    <n v="10.419915700000001"/>
    <s v="Go Cong Dong"/>
    <n v="0"/>
    <s v="Swap_L18"/>
    <s v="Outdoor"/>
    <s v="Swap_0"/>
    <n v="48040"/>
    <x v="39"/>
    <m/>
    <s v="OK"/>
    <s v="CRAN"/>
    <x v="1"/>
    <n v="3"/>
  </r>
  <r>
    <s v="South"/>
    <s v="PO2_South1"/>
    <s v="Đồng Tháp"/>
    <s v="Tiền Giang"/>
    <s v="TGGD25"/>
    <x v="392"/>
    <s v="Swap"/>
    <s v="Single-Band"/>
    <n v="3"/>
    <m/>
    <m/>
    <n v="106.7131991"/>
    <n v="10.4668755"/>
    <s v="Go Cong Dong"/>
    <n v="0"/>
    <s v="Swap_L18"/>
    <s v="Outdoor"/>
    <s v="Swap_0"/>
    <n v="48040"/>
    <x v="39"/>
    <m/>
    <e v="#N/A"/>
    <s v="CRAN"/>
    <x v="1"/>
    <n v="3"/>
  </r>
  <r>
    <s v="South"/>
    <s v="PO2_South1"/>
    <s v="Đồng Tháp"/>
    <s v="Tiền Giang"/>
    <s v="TGGD31"/>
    <x v="392"/>
    <s v="Swap"/>
    <s v="Single-Band"/>
    <n v="3"/>
    <s v="New"/>
    <s v="PS mới 5G C"/>
    <n v="106.7170308"/>
    <n v="10.423196900000001"/>
    <s v="Go Cong Dong"/>
    <n v="0"/>
    <s v="Swap_L18 + NR 2.6 32T"/>
    <s v="Outdoor"/>
    <s v="Swap_0"/>
    <n v="48040"/>
    <x v="39"/>
    <m/>
    <e v="#N/A"/>
    <s v="Macro"/>
    <x v="0"/>
    <n v="3"/>
  </r>
  <r>
    <s v="South"/>
    <s v="PO2_South1"/>
    <s v="Đồng Tháp"/>
    <s v="Tiền Giang"/>
    <s v="TGGD32"/>
    <x v="393"/>
    <s v="Swap"/>
    <s v="Dual-band"/>
    <n v="3"/>
    <s v="New"/>
    <s v="PS mới 5G C"/>
    <n v="106.72844499999999"/>
    <n v="10.4423482"/>
    <s v="Go Cong Dong"/>
    <n v="0"/>
    <s v="Swap_L18 + L21 + NR 2.6 32T"/>
    <s v="Outdoor"/>
    <s v="Swap_0"/>
    <n v="48040"/>
    <x v="39"/>
    <m/>
    <e v="#N/A"/>
    <s v="Macro"/>
    <x v="2"/>
    <n v="1"/>
  </r>
  <r>
    <s v="South"/>
    <s v="PO2_South1"/>
    <s v="Đồng Tháp"/>
    <s v="Tiền Giang"/>
    <s v="TGGD34"/>
    <x v="394"/>
    <s v="Swap"/>
    <s v="Single-Band"/>
    <n v="3"/>
    <m/>
    <m/>
    <n v="106.7307359"/>
    <n v="10.3181639"/>
    <s v="Go Cong Dong"/>
    <s v="Month 2"/>
    <s v="Swap_L18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35"/>
    <x v="395"/>
    <s v="Swap"/>
    <s v="Single-Band"/>
    <n v="3"/>
    <m/>
    <m/>
    <n v="106.749325"/>
    <n v="10.272679"/>
    <s v="Go Cong Dong"/>
    <s v="Month 2"/>
    <s v="Swap_L18"/>
    <s v="Outdoor"/>
    <s v="Swap_Month 2"/>
    <n v="48040"/>
    <x v="40"/>
    <m/>
    <e v="#N/A"/>
    <s v="Macro"/>
    <x v="2"/>
    <n v="1"/>
  </r>
  <r>
    <s v="South"/>
    <s v="PO2_South1"/>
    <s v="Đồng Tháp"/>
    <s v="Tiền Giang"/>
    <s v="TGGD33"/>
    <x v="396"/>
    <s v="Swap"/>
    <s v="Single-Band"/>
    <n v="3"/>
    <m/>
    <m/>
    <n v="106.70901550000001"/>
    <n v="10.3144011"/>
    <s v="Go Cong Dong"/>
    <s v="Month 2"/>
    <s v="Swap_L18"/>
    <s v="Outdoor"/>
    <s v="Swap_Month 2"/>
    <n v="48040"/>
    <x v="40"/>
    <m/>
    <e v="#N/A"/>
    <s v="CRAN"/>
    <x v="1"/>
    <n v="3"/>
  </r>
  <r>
    <s v="South"/>
    <s v="PO2_South1"/>
    <s v="Đồng Tháp"/>
    <s v="Tiền Giang"/>
    <s v="TGGD37"/>
    <x v="396"/>
    <s v="Swap"/>
    <s v="Single-Band"/>
    <n v="3"/>
    <m/>
    <m/>
    <n v="106.703576"/>
    <n v="10.322753000000001"/>
    <s v="Go Cong Dong"/>
    <s v="Month 2"/>
    <s v="Swap_L18"/>
    <s v="Outdoor"/>
    <s v="Swap_Month 2"/>
    <n v="48040"/>
    <x v="40"/>
    <m/>
    <e v="#N/A"/>
    <s v="Macro"/>
    <x v="0"/>
    <n v="3"/>
  </r>
  <r>
    <s v="South"/>
    <s v="PO2_South1"/>
    <s v="Đồng Tháp"/>
    <s v="Tiền Giang"/>
    <s v="TGGD13"/>
    <x v="396"/>
    <s v="Swap"/>
    <s v="Single-Band"/>
    <n v="3"/>
    <m/>
    <m/>
    <n v="106.6877253"/>
    <n v="10.312784199999999"/>
    <s v="Go Cong Dong"/>
    <s v="Month 2"/>
    <s v="Swap_L18"/>
    <s v="Outdoor"/>
    <s v="Swap_Month 2"/>
    <n v="48040"/>
    <x v="40"/>
    <m/>
    <s v="OK"/>
    <s v="CRAN"/>
    <x v="1"/>
    <n v="3"/>
  </r>
  <r>
    <s v="South"/>
    <s v="PO2_South1"/>
    <s v="Đồng Tháp"/>
    <s v="Tiền Giang"/>
    <s v="TGGD38"/>
    <x v="397"/>
    <s v="Swap"/>
    <s v="Single-Band"/>
    <n v="3"/>
    <m/>
    <m/>
    <n v="106.728323"/>
    <n v="10.394338299999999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42"/>
    <x v="398"/>
    <s v="Swap"/>
    <s v="Single-Band"/>
    <n v="3"/>
    <m/>
    <m/>
    <n v="106.72077"/>
    <n v="10.37716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47"/>
    <x v="399"/>
    <s v="Swap"/>
    <s v="Single-Band"/>
    <n v="3"/>
    <m/>
    <m/>
    <n v="106.76036000000001"/>
    <n v="10.366400000000001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49"/>
    <x v="400"/>
    <s v="Swap"/>
    <s v="Dual-band"/>
    <n v="3"/>
    <s v="New"/>
    <s v="PS mới 5G C"/>
    <n v="106.7450893"/>
    <n v="10.447417700000001"/>
    <s v="Go Cong Dong"/>
    <n v="0"/>
    <s v="Swap_L18 + L21 + NR 2.6 32T"/>
    <s v="Outdoor"/>
    <s v="Swap_0"/>
    <n v="48040"/>
    <x v="39"/>
    <m/>
    <e v="#N/A"/>
    <s v="Macro"/>
    <x v="2"/>
    <n v="1"/>
  </r>
  <r>
    <s v="South"/>
    <s v="PO2_South1"/>
    <s v="Đồng Tháp"/>
    <s v="Tiền Giang"/>
    <s v="TGGD50"/>
    <x v="401"/>
    <s v="Swap"/>
    <s v="Single-Band"/>
    <n v="3"/>
    <m/>
    <m/>
    <n v="106.76622"/>
    <n v="10.290158999999999"/>
    <s v="Go Cong Dong"/>
    <s v="Month 2"/>
    <s v="Swap_L18"/>
    <s v="Outdoor"/>
    <s v="Swap_Month 2"/>
    <n v="48000"/>
    <x v="40"/>
    <m/>
    <e v="#N/A"/>
    <s v="Macro"/>
    <x v="2"/>
    <n v="1"/>
  </r>
  <r>
    <s v="South"/>
    <s v="PO2_South1"/>
    <s v="Đồng Tháp"/>
    <s v="Tiền Giang"/>
    <s v="TGGD51"/>
    <x v="402"/>
    <s v="Swap"/>
    <s v="Single-Band"/>
    <n v="3"/>
    <m/>
    <m/>
    <n v="106.74666000000001"/>
    <n v="10.382621"/>
    <s v="Go Cong Dong"/>
    <s v="Month 2"/>
    <s v="Swap_L18"/>
    <s v="Outdoor"/>
    <s v="Swap_Month 2"/>
    <n v="48040"/>
    <x v="41"/>
    <m/>
    <e v="#N/A"/>
    <s v="Macro"/>
    <x v="2"/>
    <n v="1"/>
  </r>
  <r>
    <s v="South"/>
    <s v="PO2_South1"/>
    <s v="Đồng Tháp"/>
    <s v="Tiền Giang"/>
    <s v="TGGD52"/>
    <x v="403"/>
    <s v="Swap"/>
    <s v="Single-Band"/>
    <n v="3"/>
    <m/>
    <m/>
    <n v="106.74034"/>
    <n v="10.404714999999999"/>
    <s v="Go Cong Dong"/>
    <s v="Month 2"/>
    <s v="Swap_L18"/>
    <s v="Outdoor"/>
    <s v="Swap_Month 2"/>
    <n v="48040"/>
    <x v="39"/>
    <m/>
    <e v="#N/A"/>
    <s v="Macro"/>
    <x v="2"/>
    <n v="1"/>
  </r>
  <r>
    <s v="South"/>
    <s v="PO2_South1"/>
    <s v="Đồng Tháp"/>
    <s v="Tiền Giang"/>
    <s v="TGGD53"/>
    <x v="404"/>
    <s v="Swap"/>
    <s v="Single-Band"/>
    <n v="3"/>
    <m/>
    <m/>
    <n v="106.72091"/>
    <n v="10.45871"/>
    <s v="Go Cong Dong"/>
    <n v="0"/>
    <s v="Swap_L18"/>
    <s v="Outdoor"/>
    <s v="Swap_0"/>
    <n v="48040"/>
    <x v="39"/>
    <m/>
    <e v="#N/A"/>
    <s v="Macro"/>
    <x v="2"/>
    <n v="1"/>
  </r>
  <r>
    <s v="South"/>
    <s v="PO2_South1"/>
    <s v="Đồng Tháp"/>
    <s v="Tiền Giang"/>
    <s v="TGGT01"/>
    <x v="405"/>
    <s v="Swap"/>
    <s v="Dual-band"/>
    <n v="3"/>
    <s v="New"/>
    <s v="PS mới 5G C"/>
    <n v="106.58063"/>
    <n v="10.34451"/>
    <s v="Go Cong Tay"/>
    <s v="Month 2"/>
    <s v="Swap_L18 + L21 + NR 2.6 32T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02"/>
    <x v="406"/>
    <s v="Swap"/>
    <s v="Single-Band"/>
    <n v="3"/>
    <m/>
    <m/>
    <n v="106.64551"/>
    <n v="10.357810000000001"/>
    <s v="Go Cong Tay"/>
    <s v="Month 2"/>
    <s v="Swap_L18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03"/>
    <x v="407"/>
    <s v="Swap"/>
    <s v="Single-Band"/>
    <n v="3"/>
    <s v="New"/>
    <s v="PS mới 5G C"/>
    <n v="106.59724"/>
    <n v="10.403169999999999"/>
    <s v="Go Cong Tay"/>
    <s v="Month 2"/>
    <s v="Swap_L18 + NR 2.6 32T"/>
    <s v="Outdoor"/>
    <s v="Swap_Month 2"/>
    <n v="48041"/>
    <x v="38"/>
    <m/>
    <e v="#N/A"/>
    <s v="Macro"/>
    <x v="2"/>
    <n v="1"/>
  </r>
  <r>
    <s v="South"/>
    <s v="PO2_South1"/>
    <s v="Đồng Tháp"/>
    <s v="Tiền Giang"/>
    <s v="TGGT04"/>
    <x v="408"/>
    <s v="Swap"/>
    <s v="Dual-band"/>
    <n v="3"/>
    <s v="New"/>
    <s v="PS mới 5G C"/>
    <n v="106.65952"/>
    <n v="10.33029"/>
    <s v="Go Cong Tay"/>
    <s v="Month 2"/>
    <s v="Swap_L18 + L21 + NR 7 + L9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05"/>
    <x v="409"/>
    <s v="Swap"/>
    <s v="Dual-band"/>
    <n v="3"/>
    <s v="New"/>
    <s v="PS mới 5G C"/>
    <n v="106.65164"/>
    <n v="10.31132"/>
    <s v="Go Cong Tay"/>
    <s v="Month 2"/>
    <s v="Swap_L18 + L21 + NR 7 + L9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06"/>
    <x v="410"/>
    <s v="Swap"/>
    <s v="Dual-band"/>
    <n v="4"/>
    <s v="New"/>
    <s v="PS mới 5G C"/>
    <n v="106.57655"/>
    <n v="10.394349999999999"/>
    <s v="Go Cong Tay"/>
    <s v="Month 2"/>
    <s v="Swap_L18 + L21 + NR 2.6 32T"/>
    <s v="Outdoor"/>
    <s v="Swap_Month 2"/>
    <n v="48041"/>
    <x v="38"/>
    <m/>
    <e v="#N/A"/>
    <s v="Macro"/>
    <x v="2"/>
    <n v="1"/>
  </r>
  <r>
    <s v="South"/>
    <s v="PO2_South1"/>
    <s v="Đồng Tháp"/>
    <s v="Tiền Giang"/>
    <s v="TGGT07"/>
    <x v="411"/>
    <s v="Swap"/>
    <s v="Single-Band"/>
    <n v="3"/>
    <s v="New"/>
    <s v="PS mới 5G C"/>
    <n v="106.62607"/>
    <n v="10.30077"/>
    <s v="Go Cong Tay"/>
    <s v="Month 2"/>
    <s v="Swap_L18 + NR 2.6 32T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08"/>
    <x v="412"/>
    <s v="Swap"/>
    <s v="Single-Band"/>
    <n v="3"/>
    <m/>
    <m/>
    <n v="106.61160630000001"/>
    <n v="10.317372799999999"/>
    <s v="Go Cong Tay"/>
    <s v="Month 2"/>
    <s v="Swap_L18"/>
    <s v="Outdoor"/>
    <s v="Swap_Month 2"/>
    <n v="48041"/>
    <x v="42"/>
    <m/>
    <e v="#N/A"/>
    <s v="Macro"/>
    <x v="0"/>
    <n v="2"/>
  </r>
  <r>
    <s v="South"/>
    <s v="PO2_South1"/>
    <s v="Đồng Tháp"/>
    <s v="Tiền Giang"/>
    <s v="TGGT21"/>
    <x v="412"/>
    <s v="Swap"/>
    <s v="Single-Band"/>
    <n v="3"/>
    <m/>
    <m/>
    <n v="106.59220999999999"/>
    <n v="10.30621"/>
    <s v="Go Cong Tay"/>
    <s v="Month 2"/>
    <s v="Swap_L18"/>
    <s v="Outdoor"/>
    <s v="Swap_Month 2"/>
    <n v="48041"/>
    <x v="42"/>
    <m/>
    <e v="#N/A"/>
    <s v="CRAN"/>
    <x v="1"/>
    <n v="2"/>
  </r>
  <r>
    <s v="South"/>
    <s v="PO2_South1"/>
    <s v="Đồng Tháp"/>
    <s v="Tiền Giang"/>
    <s v="TGGT09"/>
    <x v="413"/>
    <s v="Swap"/>
    <s v="Single-Band"/>
    <n v="3"/>
    <m/>
    <m/>
    <n v="106.63276"/>
    <n v="10.380649999999999"/>
    <s v="Go Cong Tay"/>
    <s v="Month 2"/>
    <s v="Swap_L18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10"/>
    <x v="414"/>
    <s v="Swap"/>
    <s v="Dual-band"/>
    <n v="3"/>
    <m/>
    <m/>
    <n v="106.52986"/>
    <n v="10.35721"/>
    <s v="Go Cong Tay"/>
    <s v="Month 2"/>
    <s v="Swap_L18 + L21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13"/>
    <x v="415"/>
    <s v="Swap"/>
    <s v="Dual-band"/>
    <n v="4"/>
    <s v="New"/>
    <s v="PS mới 5G C"/>
    <n v="106.5278"/>
    <n v="10.41314"/>
    <s v="Go Cong Tay"/>
    <s v="Month 2"/>
    <s v="Swap_L18 + L21 + NR 2.6 32T"/>
    <s v="Outdoor"/>
    <s v="Swap_Month 2"/>
    <n v="48041"/>
    <x v="38"/>
    <m/>
    <e v="#N/A"/>
    <s v="Macro"/>
    <x v="2"/>
    <n v="1"/>
  </r>
  <r>
    <s v="South"/>
    <s v="PO2_South1"/>
    <s v="Đồng Tháp"/>
    <s v="Tiền Giang"/>
    <s v="TGGT14"/>
    <x v="416"/>
    <s v="Swap"/>
    <s v="Single-Band"/>
    <n v="3"/>
    <m/>
    <m/>
    <n v="106.5862616"/>
    <n v="10.324335700000001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15"/>
    <x v="417"/>
    <s v="Swap"/>
    <s v="Dual-band"/>
    <n v="3"/>
    <s v="New"/>
    <s v="PS mới 5G C"/>
    <n v="106.57648"/>
    <n v="10.35876"/>
    <s v="Go Cong Tay"/>
    <s v="Month 2"/>
    <s v="Swap_L18 + L21 + NR 2.6 32T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17"/>
    <x v="418"/>
    <s v="Swap"/>
    <s v="Dual-band"/>
    <n v="3"/>
    <s v="New"/>
    <s v="PS mới 5G C"/>
    <n v="106.55189"/>
    <n v="10.35467"/>
    <s v="Go Cong Tay"/>
    <s v="Month 2"/>
    <s v="Swap_L18 + L21 + NR 2.6 32T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18"/>
    <x v="419"/>
    <s v="Swap"/>
    <s v="Single-Band"/>
    <n v="3"/>
    <m/>
    <m/>
    <n v="106.55931"/>
    <n v="10.372859999999999"/>
    <s v="Go Cong Tay"/>
    <s v="Month 2"/>
    <s v="Swap_L18"/>
    <s v="Outdoor"/>
    <s v="Swap_Month 2"/>
    <n v="48041"/>
    <x v="43"/>
    <m/>
    <e v="#N/A"/>
    <s v="Macro"/>
    <x v="0"/>
    <n v="3"/>
  </r>
  <r>
    <s v="South"/>
    <s v="PO2_South1"/>
    <s v="Đồng Tháp"/>
    <s v="Tiền Giang"/>
    <s v="TGGT44"/>
    <x v="419"/>
    <s v="Swap"/>
    <s v="Single-Band"/>
    <n v="3"/>
    <m/>
    <m/>
    <n v="106.54008"/>
    <n v="10.37172"/>
    <s v="Go Cong Tay"/>
    <s v="Month 2"/>
    <s v="Swap_L18 + NR 7 + L9"/>
    <s v="Outdoor"/>
    <s v="Swap_Month 2"/>
    <n v="48041"/>
    <x v="43"/>
    <m/>
    <e v="#N/A"/>
    <s v="CRAN"/>
    <x v="1"/>
    <n v="3"/>
  </r>
  <r>
    <s v="South"/>
    <s v="PO2_South1"/>
    <s v="Đồng Tháp"/>
    <s v="Tiền Giang"/>
    <s v="TGGT43"/>
    <x v="419"/>
    <s v="Swap"/>
    <s v="Single-Band"/>
    <n v="3"/>
    <m/>
    <m/>
    <n v="106.55177999999999"/>
    <n v="10.39123"/>
    <s v="Go Cong Tay"/>
    <s v="Month 2"/>
    <s v="Swap_L18"/>
    <s v="Outdoor"/>
    <s v="Swap_Month 2"/>
    <n v="48041"/>
    <x v="38"/>
    <m/>
    <s v="OK"/>
    <s v="CRAN"/>
    <x v="1"/>
    <n v="3"/>
  </r>
  <r>
    <s v="South"/>
    <s v="PO2_South1"/>
    <s v="Đồng Tháp"/>
    <s v="Tiền Giang"/>
    <s v="TGGT19"/>
    <x v="420"/>
    <s v="Swap"/>
    <s v="Single-Band"/>
    <n v="3"/>
    <m/>
    <m/>
    <n v="106.60927"/>
    <n v="10.385669999999999"/>
    <s v="Go Cong Tay"/>
    <s v="Month 2"/>
    <s v="Swap_L18"/>
    <s v="Outdoor"/>
    <s v="Swap_Month 2"/>
    <n v="48041"/>
    <x v="38"/>
    <m/>
    <e v="#N/A"/>
    <s v="Macro"/>
    <x v="0"/>
    <n v="3"/>
  </r>
  <r>
    <s v="South"/>
    <s v="PO2_South1"/>
    <s v="Đồng Tháp"/>
    <s v="Tiền Giang"/>
    <s v="TGGT42"/>
    <x v="420"/>
    <s v="Swap"/>
    <s v="Single-Band"/>
    <n v="3"/>
    <m/>
    <m/>
    <n v="106.61684"/>
    <n v="10.396380000000001"/>
    <s v="Go Cong Tay"/>
    <s v="Month 2"/>
    <s v="Swap_L18"/>
    <s v="Outdoor"/>
    <s v="Swap_Month 2"/>
    <n v="48041"/>
    <x v="38"/>
    <m/>
    <e v="#N/A"/>
    <s v="CRAN"/>
    <x v="1"/>
    <n v="3"/>
  </r>
  <r>
    <s v="South"/>
    <s v="PO2_South1"/>
    <s v="Đồng Tháp"/>
    <s v="Tiền Giang"/>
    <s v="TGGT48"/>
    <x v="420"/>
    <s v="Swap"/>
    <s v="Single-Band"/>
    <n v="3"/>
    <m/>
    <m/>
    <n v="106.59217"/>
    <n v="10.38883"/>
    <s v="Go Cong Tay"/>
    <s v="Month 2"/>
    <s v="Swap_L18"/>
    <s v="Outdoor"/>
    <s v="Swap_Month 2"/>
    <n v="48041"/>
    <x v="38"/>
    <m/>
    <e v="#N/A"/>
    <s v="CRAN"/>
    <x v="1"/>
    <n v="3"/>
  </r>
  <r>
    <s v="South"/>
    <s v="PO2_South1"/>
    <s v="Đồng Tháp"/>
    <s v="Tiền Giang"/>
    <s v="TGGT20"/>
    <x v="421"/>
    <s v="Swap"/>
    <s v="Single-Band"/>
    <n v="3"/>
    <m/>
    <m/>
    <n v="106.5561"/>
    <n v="10.33658"/>
    <s v="Go Cong Tay"/>
    <s v="Month 2"/>
    <s v="Swap_L18"/>
    <s v="Outdoor"/>
    <s v="Swap_Month 2"/>
    <n v="48041"/>
    <x v="42"/>
    <m/>
    <e v="#N/A"/>
    <s v="Macro"/>
    <x v="0"/>
    <n v="3"/>
  </r>
  <r>
    <s v="South"/>
    <s v="PO2_South1"/>
    <s v="Đồng Tháp"/>
    <s v="Tiền Giang"/>
    <s v="TGGT29"/>
    <x v="421"/>
    <s v="Swap"/>
    <s v="Single-Band"/>
    <n v="3"/>
    <m/>
    <m/>
    <n v="106.56469"/>
    <n v="10.31648"/>
    <s v="Go Cong Tay"/>
    <s v="Month 2"/>
    <s v="Swap_L18"/>
    <s v="Outdoor"/>
    <s v="Swap_Month 2"/>
    <n v="48041"/>
    <x v="42"/>
    <m/>
    <e v="#N/A"/>
    <s v="CRAN"/>
    <x v="1"/>
    <n v="3"/>
  </r>
  <r>
    <s v="South"/>
    <s v="PO2_South1"/>
    <s v="Đồng Tháp"/>
    <s v="Tiền Giang"/>
    <s v="TGGT45"/>
    <x v="421"/>
    <s v="Swap"/>
    <s v="Single-Band"/>
    <n v="3"/>
    <m/>
    <m/>
    <n v="106.56874999999999"/>
    <n v="10.343859999999999"/>
    <s v="Go Cong Tay"/>
    <s v="Month 2"/>
    <s v="Swap_L18"/>
    <s v="Outdoor"/>
    <s v="Swap_Month 2"/>
    <n v="48041"/>
    <x v="42"/>
    <m/>
    <e v="#N/A"/>
    <s v="CRAN"/>
    <x v="1"/>
    <n v="3"/>
  </r>
  <r>
    <s v="South"/>
    <s v="PO2_South1"/>
    <s v="Đồng Tháp"/>
    <s v="Tiền Giang"/>
    <s v="TGGT22"/>
    <x v="422"/>
    <s v="Swap"/>
    <s v="Single-Band"/>
    <n v="3"/>
    <m/>
    <m/>
    <n v="106.64394"/>
    <n v="10.34174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23"/>
    <x v="423"/>
    <s v="Swap"/>
    <s v="Single-Band"/>
    <n v="3"/>
    <m/>
    <m/>
    <n v="106.62069"/>
    <n v="10.33789"/>
    <s v="Go Cong Tay"/>
    <s v="Month 2"/>
    <s v="Swap_L18"/>
    <s v="Outdoor"/>
    <s v="Swap_Month 2"/>
    <n v="48041"/>
    <x v="42"/>
    <m/>
    <e v="#N/A"/>
    <s v="Macro"/>
    <x v="0"/>
    <n v="2"/>
  </r>
  <r>
    <s v="South"/>
    <s v="PO2_South1"/>
    <s v="Đồng Tháp"/>
    <s v="Tiền Giang"/>
    <s v="TGGT25"/>
    <x v="423"/>
    <s v="Swap"/>
    <s v="Single-Band"/>
    <n v="3"/>
    <m/>
    <m/>
    <n v="106.59734"/>
    <n v="10.343389999999999"/>
    <s v="Go Cong Tay"/>
    <s v="Month 2"/>
    <s v="Swap_L18"/>
    <s v="Outdoor"/>
    <s v="Swap_Month 2"/>
    <n v="48041"/>
    <x v="42"/>
    <m/>
    <e v="#N/A"/>
    <s v="CRAN"/>
    <x v="1"/>
    <n v="2"/>
  </r>
  <r>
    <s v="South"/>
    <s v="PO2_South1"/>
    <s v="Đồng Tháp"/>
    <s v="Tiền Giang"/>
    <s v="TGGT24"/>
    <x v="424"/>
    <s v="Swap"/>
    <s v="Single-Band"/>
    <n v="3"/>
    <m/>
    <m/>
    <n v="106.65337"/>
    <n v="10.29161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26"/>
    <x v="425"/>
    <s v="Swap"/>
    <s v="Single-Band"/>
    <n v="3"/>
    <m/>
    <m/>
    <n v="106.59643"/>
    <n v="10.373430000000001"/>
    <s v="Go Cong Tay"/>
    <s v="Month 2"/>
    <s v="Swap_L18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27"/>
    <x v="426"/>
    <s v="Swap"/>
    <s v="Single-Band"/>
    <n v="3"/>
    <m/>
    <m/>
    <n v="106.6335729"/>
    <n v="10.318162299999999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28"/>
    <x v="427"/>
    <s v="Swap"/>
    <s v="Single-Band"/>
    <n v="3"/>
    <m/>
    <m/>
    <n v="106.5504632"/>
    <n v="10.3006606"/>
    <s v="Go Cong Tay"/>
    <s v="Month 2"/>
    <s v="Swap_L18"/>
    <s v="Outdoor"/>
    <s v="Swap_Month 2"/>
    <n v="48041"/>
    <x v="42"/>
    <m/>
    <e v="#N/A"/>
    <s v="Macro"/>
    <x v="0"/>
    <n v="3"/>
  </r>
  <r>
    <s v="South"/>
    <s v="PO2_South1"/>
    <s v="Đồng Tháp"/>
    <s v="Tiền Giang"/>
    <s v="TGCG61"/>
    <x v="427"/>
    <s v="Swap"/>
    <s v="Single-Band"/>
    <n v="3"/>
    <m/>
    <m/>
    <n v="106.55119999999999"/>
    <n v="10.317500000000001"/>
    <s v="Cho Gao"/>
    <s v="Month 2"/>
    <s v="Swap_L18"/>
    <s v="Outdoor"/>
    <s v="Swap_Month 2"/>
    <n v="48020"/>
    <x v="21"/>
    <m/>
    <e v="#N/A"/>
    <s v="CRAN"/>
    <x v="1"/>
    <n v="3"/>
  </r>
  <r>
    <s v="South"/>
    <s v="PO2_South1"/>
    <s v="Đồng Tháp"/>
    <s v="Tiền Giang"/>
    <s v="TGGT12"/>
    <x v="427"/>
    <s v="Swap"/>
    <s v="Single-Band"/>
    <n v="3"/>
    <m/>
    <m/>
    <n v="106.57035999999999"/>
    <n v="10.29616"/>
    <s v="Go Cong Tay"/>
    <s v="Month 2"/>
    <s v="Swap_L18"/>
    <s v="Outdoor"/>
    <s v="Swap_Month 2"/>
    <n v="48041"/>
    <x v="42"/>
    <m/>
    <s v="OK"/>
    <s v="CRAN"/>
    <x v="1"/>
    <n v="3"/>
  </r>
  <r>
    <s v="South"/>
    <s v="PO2_South1"/>
    <s v="Đồng Tháp"/>
    <s v="Tiền Giang"/>
    <s v="TGGT30"/>
    <x v="428"/>
    <s v="Swap"/>
    <s v="Dual-band"/>
    <n v="3"/>
    <s v="New"/>
    <s v="PS mới 5G C"/>
    <n v="106.57087"/>
    <n v="10.40936"/>
    <s v="Go Cong Tay"/>
    <s v="Month 2"/>
    <s v="Swap_L18 + L21 + NR 2.6 32T"/>
    <s v="Outdoor"/>
    <s v="Swap_Month 2"/>
    <n v="48041"/>
    <x v="38"/>
    <m/>
    <e v="#N/A"/>
    <s v="Macro"/>
    <x v="2"/>
    <n v="1"/>
  </r>
  <r>
    <s v="South"/>
    <s v="PO2_South1"/>
    <s v="Đồng Tháp"/>
    <s v="Tiền Giang"/>
    <s v="TGGT31"/>
    <x v="429"/>
    <s v="Swap"/>
    <s v="Dual-band"/>
    <n v="3"/>
    <s v="New"/>
    <s v="PS mới 5G C"/>
    <n v="106.59022"/>
    <n v="10.422029999999999"/>
    <s v="Go Cong Tay"/>
    <s v="Month 2"/>
    <s v="Swap_L18 + L21 + NR 2.6 32T"/>
    <s v="Outdoor"/>
    <s v="Swap_Month 2"/>
    <n v="48041"/>
    <x v="38"/>
    <m/>
    <e v="#N/A"/>
    <s v="Macro"/>
    <x v="2"/>
    <n v="1"/>
  </r>
  <r>
    <s v="South"/>
    <s v="PO2_South1"/>
    <s v="Đồng Tháp"/>
    <s v="Tiền Giang"/>
    <s v="TGGT32"/>
    <x v="430"/>
    <s v="Swap"/>
    <s v="Single-Band"/>
    <n v="3"/>
    <m/>
    <m/>
    <n v="106.67794000000001"/>
    <n v="10.335610000000001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33"/>
    <x v="431"/>
    <s v="Swap"/>
    <s v="Dual-band"/>
    <n v="3"/>
    <s v="New"/>
    <s v="PS mới 5G C"/>
    <n v="106.54949999999999"/>
    <n v="10.4116"/>
    <s v="Go Cong Tay"/>
    <s v="Month 2"/>
    <s v="Swap_L18 + L21 + NR 2.6 32T"/>
    <s v="Outdoor"/>
    <s v="Swap_Month 2"/>
    <n v="48041"/>
    <x v="38"/>
    <m/>
    <e v="#N/A"/>
    <s v="Macro"/>
    <x v="2"/>
    <n v="1"/>
  </r>
  <r>
    <s v="South"/>
    <s v="PO2_South1"/>
    <s v="Đồng Tháp"/>
    <s v="Tiền Giang"/>
    <s v="TGGT36"/>
    <x v="432"/>
    <s v="Swap"/>
    <s v="Single-Band"/>
    <n v="3"/>
    <m/>
    <m/>
    <n v="106.564673"/>
    <n v="10.357923"/>
    <s v="Go Cong Tay"/>
    <s v="Month 2"/>
    <s v="Swap_L18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37"/>
    <x v="433"/>
    <s v="Swap"/>
    <s v="Single-Band"/>
    <n v="3"/>
    <m/>
    <m/>
    <n v="106.5947"/>
    <n v="10.29162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39"/>
    <x v="434"/>
    <s v="Swap"/>
    <s v="Single-Band"/>
    <n v="3"/>
    <m/>
    <m/>
    <n v="106.57741"/>
    <n v="10.37515"/>
    <s v="Go Cong Tay"/>
    <s v="Month 2"/>
    <s v="Swap_L18"/>
    <s v="Outdoor"/>
    <s v="Swap_Month 2"/>
    <n v="48041"/>
    <x v="43"/>
    <m/>
    <e v="#N/A"/>
    <s v="Macro"/>
    <x v="2"/>
    <n v="1"/>
  </r>
  <r>
    <s v="South"/>
    <s v="PO2_South1"/>
    <s v="Đồng Tháp"/>
    <s v="Tiền Giang"/>
    <s v="TGGT11"/>
    <x v="435"/>
    <s v="Swap"/>
    <s v="Single-Band"/>
    <n v="3"/>
    <m/>
    <m/>
    <n v="106.6109462"/>
    <n v="10.352687599999999"/>
    <s v="Go Cong Tay"/>
    <s v="Month 2"/>
    <s v="Swap_L18"/>
    <s v="Outdoor"/>
    <s v="Swap_Month 2"/>
    <n v="48041"/>
    <x v="43"/>
    <m/>
    <e v="#N/A"/>
    <s v="CRAN"/>
    <x v="1"/>
    <n v="5"/>
  </r>
  <r>
    <s v="South"/>
    <s v="PO2_South1"/>
    <s v="Đồng Tháp"/>
    <s v="Tiền Giang"/>
    <s v="TGGT38"/>
    <x v="435"/>
    <s v="Swap"/>
    <s v="Single-Band"/>
    <n v="3"/>
    <m/>
    <m/>
    <n v="106.594294"/>
    <n v="10.359244"/>
    <s v="Go Cong Tay"/>
    <s v="Month 2"/>
    <s v="Swap_L18"/>
    <s v="Outdoor"/>
    <s v="Swap_Month 2"/>
    <n v="48041"/>
    <x v="43"/>
    <m/>
    <e v="#N/A"/>
    <s v="CRAN"/>
    <x v="1"/>
    <n v="5"/>
  </r>
  <r>
    <s v="South"/>
    <s v="PO2_South1"/>
    <s v="Đồng Tháp"/>
    <s v="Tiền Giang"/>
    <s v="TGGT40"/>
    <x v="435"/>
    <s v="Swap"/>
    <s v="Single-Band"/>
    <n v="3"/>
    <s v="New"/>
    <s v="PS mới 5G C"/>
    <n v="106.62381999999999"/>
    <n v="10.35744"/>
    <s v="Go Cong Tay"/>
    <s v="Month 2"/>
    <s v="Swap_L18 + NR 2.6 32T"/>
    <s v="Outdoor"/>
    <s v="Swap_Month 2"/>
    <n v="48041"/>
    <x v="43"/>
    <m/>
    <e v="#N/A"/>
    <s v="Macro"/>
    <x v="0"/>
    <n v="5"/>
  </r>
  <r>
    <s v="South"/>
    <s v="PO2_South1"/>
    <s v="Đồng Tháp"/>
    <s v="Tiền Giang"/>
    <s v="TGGT47"/>
    <x v="435"/>
    <s v="Swap"/>
    <s v="Single-Band"/>
    <n v="3"/>
    <m/>
    <m/>
    <n v="106.61312"/>
    <n v="10.36974"/>
    <s v="Go Cong Tay"/>
    <s v="Month 2"/>
    <s v="Swap_L18"/>
    <s v="Outdoor"/>
    <s v="Swap_Month 2"/>
    <n v="48041"/>
    <x v="43"/>
    <m/>
    <e v="#N/A"/>
    <s v="CRAN"/>
    <x v="1"/>
    <n v="5"/>
  </r>
  <r>
    <s v="South"/>
    <s v="PO2_South1"/>
    <s v="Đồng Tháp"/>
    <s v="Tiền Giang"/>
    <s v="TGGT16"/>
    <x v="435"/>
    <s v="Swap"/>
    <s v="Single-Band"/>
    <n v="3"/>
    <m/>
    <m/>
    <n v="106.63086"/>
    <n v="10.34909"/>
    <s v="Go Cong Tay"/>
    <s v="Month 2"/>
    <s v="Swap_L18"/>
    <s v="Outdoor"/>
    <s v="Swap_Month 2"/>
    <n v="48041"/>
    <x v="42"/>
    <m/>
    <s v="OK"/>
    <s v="CRAN"/>
    <x v="1"/>
    <n v="5"/>
  </r>
  <r>
    <s v="South"/>
    <s v="PO2_South1"/>
    <s v="Đồng Tháp"/>
    <s v="Tiền Giang"/>
    <s v="TGGT46"/>
    <x v="436"/>
    <s v="Swap"/>
    <s v="Single-Band"/>
    <n v="3"/>
    <m/>
    <m/>
    <n v="106.67068999999999"/>
    <n v="10.31526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GT50"/>
    <x v="437"/>
    <s v="Swap"/>
    <s v="Single-Band"/>
    <n v="3"/>
    <m/>
    <m/>
    <n v="106.61"/>
    <n v="10.292199999999999"/>
    <s v="Go Cong Tay"/>
    <s v="Month 2"/>
    <s v="Swap_L18"/>
    <s v="Outdoor"/>
    <s v="Swap_Month 2"/>
    <n v="48041"/>
    <x v="42"/>
    <m/>
    <e v="#N/A"/>
    <s v="Macro"/>
    <x v="2"/>
    <n v="1"/>
  </r>
  <r>
    <s v="South"/>
    <s v="PO2_South1"/>
    <s v="Đồng Tháp"/>
    <s v="Tiền Giang"/>
    <s v="TGMT14"/>
    <x v="438"/>
    <s v="Swap"/>
    <s v="Dual-band"/>
    <n v="3"/>
    <s v="New"/>
    <s v="PS mới 5G B+"/>
    <n v="106.36672"/>
    <n v="10.360910000000001"/>
    <s v="My Tho"/>
    <s v="Month 2"/>
    <s v="Swap_L18 + L21 + NR 2.6 64T + NR 3.8"/>
    <s v="Outdoor"/>
    <s v="Swap_Month 2"/>
    <n v="48050"/>
    <x v="44"/>
    <m/>
    <s v="done"/>
    <s v="CRAN"/>
    <x v="1"/>
    <n v="3"/>
  </r>
  <r>
    <s v="South"/>
    <s v="PO2_South1"/>
    <s v="Đồng Tháp"/>
    <s v="Tiền Giang"/>
    <s v="TGMT01"/>
    <x v="438"/>
    <s v="Swap"/>
    <s v="Single-Band"/>
    <n v="3"/>
    <s v="Swap"/>
    <s v="Swap (PS mới 5G B)"/>
    <n v="106.36602000000001"/>
    <n v="10.35324"/>
    <s v="My Tho"/>
    <s v="Month 2"/>
    <s v="Swap_L18 + NR 2.6 64T + NR 3.8"/>
    <s v="Outdoor"/>
    <s v="Swap_Month 2"/>
    <n v="48050"/>
    <x v="44"/>
    <m/>
    <e v="#N/A"/>
    <s v="Macro"/>
    <x v="0"/>
    <n v="3"/>
  </r>
  <r>
    <s v="South"/>
    <s v="PO2_South1"/>
    <s v="Đồng Tháp"/>
    <s v="Tiền Giang"/>
    <s v="TGMT45"/>
    <x v="438"/>
    <s v="Swap"/>
    <s v="Dual-band"/>
    <n v="3"/>
    <s v="New"/>
    <s v="PS mới 5G B+"/>
    <n v="106.36767"/>
    <n v="10.356579999999999"/>
    <s v="My Tho"/>
    <s v="Month 2"/>
    <s v="Swap_L18 + L21 + NR 2.6 64T + NR 3.8"/>
    <s v="Outdoor"/>
    <s v="Swap_Month 2"/>
    <n v="48050"/>
    <x v="44"/>
    <m/>
    <e v="#N/A"/>
    <s v="CRAN"/>
    <x v="1"/>
    <n v="3"/>
  </r>
  <r>
    <s v="South"/>
    <s v="PO2_South1"/>
    <s v="Đồng Tháp"/>
    <s v="Tiền Giang"/>
    <s v="TGMT02"/>
    <x v="439"/>
    <s v="Swap"/>
    <s v="Dual-band"/>
    <n v="3"/>
    <s v="New"/>
    <s v="PS mới 5G A"/>
    <n v="106.35733999999999"/>
    <n v="10.36462"/>
    <s v="My Tho"/>
    <s v="Month 2"/>
    <s v="Swap_L18 + L21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85"/>
    <x v="440"/>
    <s v="Swap"/>
    <s v="Single-Band"/>
    <n v="3"/>
    <m/>
    <m/>
    <n v="106.31641999999999"/>
    <n v="10.37297"/>
    <s v="My Tho"/>
    <n v="0"/>
    <s v="Swap_L18"/>
    <s v="Outdoor"/>
    <s v="Swap_0"/>
    <n v="48050"/>
    <x v="36"/>
    <m/>
    <e v="#N/A"/>
    <s v="CRAN"/>
    <x v="1"/>
    <n v="2"/>
  </r>
  <r>
    <s v="South"/>
    <s v="PO2_South1"/>
    <s v="Đồng Tháp"/>
    <s v="Tiền Giang"/>
    <s v="TGMT03"/>
    <x v="440"/>
    <s v="Swap"/>
    <s v="Dual-band"/>
    <n v="4"/>
    <s v="New"/>
    <s v="PS mới 5G B"/>
    <n v="106.30689"/>
    <n v="10.36036"/>
    <s v="My Tho"/>
    <n v="0"/>
    <s v="Swap_L18 + L21 + NR 2.6 32T"/>
    <s v="Outdoor"/>
    <s v="Swap_0"/>
    <n v="48050"/>
    <x v="36"/>
    <m/>
    <e v="#N/A"/>
    <s v="Macro"/>
    <x v="0"/>
    <n v="2"/>
  </r>
  <r>
    <s v="South"/>
    <s v="PO2_South1"/>
    <s v="Đồng Tháp"/>
    <s v="Tiền Giang"/>
    <s v="TGMT04"/>
    <x v="441"/>
    <s v="Swap"/>
    <s v="Dual-band"/>
    <n v="3"/>
    <s v="New"/>
    <s v="PS mới 5G B"/>
    <n v="106.34350000000001"/>
    <n v="10.37565"/>
    <s v="My Tho"/>
    <n v="0"/>
    <s v="Swap_L18 + L21 + NR 2.6 32T"/>
    <s v="Outdoor"/>
    <s v="Swap_0"/>
    <n v="48050"/>
    <x v="45"/>
    <m/>
    <e v="#N/A"/>
    <s v="Macro"/>
    <x v="2"/>
    <n v="1"/>
  </r>
  <r>
    <s v="South"/>
    <s v="PO2_South1"/>
    <s v="Đồng Tháp"/>
    <s v="Tiền Giang"/>
    <s v="TGMT05"/>
    <x v="442"/>
    <s v="Swap"/>
    <s v="Dual-band"/>
    <n v="3"/>
    <s v="New"/>
    <s v="PS mới 5G B"/>
    <n v="106.35681"/>
    <n v="10.36918"/>
    <s v="My Tho"/>
    <s v="Month 2"/>
    <s v="Swap_L18 + L21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73"/>
    <x v="443"/>
    <s v="Swap"/>
    <s v="Single-Band"/>
    <n v="3"/>
    <s v="Swap"/>
    <s v="Swap (PS mới 5G B)"/>
    <n v="106.35201000000001"/>
    <n v="10.354850000000001"/>
    <s v="My Tho"/>
    <s v="Month 2"/>
    <s v="Swap_L18 + NR 2.6 64T + NR 3.8"/>
    <s v="Outdoor"/>
    <s v="Swap_Month 2"/>
    <n v="48050"/>
    <x v="45"/>
    <m/>
    <e v="#N/A"/>
    <s v="CRAN"/>
    <x v="1"/>
    <n v="2"/>
  </r>
  <r>
    <s v="South"/>
    <s v="PO2_South1"/>
    <s v="Đồng Tháp"/>
    <s v="Tiền Giang"/>
    <s v="TGMT06"/>
    <x v="443"/>
    <s v="Swap"/>
    <s v="Single-Band"/>
    <n v="3"/>
    <s v="New"/>
    <s v="PS mới 5G B+"/>
    <n v="106.34627999999999"/>
    <n v="10.356"/>
    <s v="My Tho"/>
    <n v="0"/>
    <s v="Swap_L18 + NR 2.6 64T"/>
    <s v="Outdoor"/>
    <s v="Swap_0"/>
    <n v="48050"/>
    <x v="45"/>
    <m/>
    <e v="#N/A"/>
    <s v="Macro"/>
    <x v="0"/>
    <n v="2"/>
  </r>
  <r>
    <s v="South"/>
    <s v="PO2_South1"/>
    <s v="Đồng Tháp"/>
    <s v="Tiền Giang"/>
    <s v="TGMT07"/>
    <x v="444"/>
    <s v="Swap"/>
    <s v="Dual-band"/>
    <n v="4"/>
    <s v="Swap"/>
    <s v="Swap (PS mới 5G B)"/>
    <n v="106.36257000000001"/>
    <n v="10.35797"/>
    <s v="My Tho"/>
    <s v="Month 2"/>
    <s v="Swap_L18 + L21 + NR 2.6 64T + NR 3.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08"/>
    <x v="445"/>
    <s v="Swap"/>
    <s v="Single-Band"/>
    <n v="3"/>
    <s v="Swap"/>
    <s v="Swap (PS mới 5G B)"/>
    <n v="106.35522"/>
    <n v="10.352499999999999"/>
    <s v="My Tho"/>
    <s v="Month 2"/>
    <s v="Swap_L18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09"/>
    <x v="446"/>
    <s v="Swap"/>
    <s v="Dual-band"/>
    <n v="3"/>
    <s v="New"/>
    <s v="PS mới 5G B+"/>
    <n v="106.38921000000001"/>
    <n v="10.35153"/>
    <s v="My Tho"/>
    <s v="Month 2"/>
    <s v="Swap_L18 + L21 + NR 2.6 64T + NR 3.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10"/>
    <x v="447"/>
    <s v="Swap"/>
    <s v="Dual-band"/>
    <n v="3"/>
    <s v="New"/>
    <s v="PS mới 5G B+"/>
    <n v="106.38173999999999"/>
    <n v="10.358890000000001"/>
    <s v="My Tho"/>
    <s v="Month 2"/>
    <s v="Swap_L18 + L21 + NR 2.6 64T + NR 3.8"/>
    <s v="Outdoor"/>
    <s v="Swap_Month 2"/>
    <n v="48050"/>
    <x v="44"/>
    <m/>
    <e v="#N/A"/>
    <s v="Macro"/>
    <x v="0"/>
    <n v="2"/>
  </r>
  <r>
    <s v="South"/>
    <s v="PO2_South1"/>
    <s v="Đồng Tháp"/>
    <s v="Tiền Giang"/>
    <s v="TGMT61"/>
    <x v="447"/>
    <s v="Swap"/>
    <s v="Single-Band"/>
    <n v="3"/>
    <s v="New"/>
    <s v="PS mới 5G B+"/>
    <n v="106.37645999999999"/>
    <n v="10.35488"/>
    <s v="My Tho"/>
    <s v="Month 2"/>
    <s v="Swap_L18 + NR 2.6 64T"/>
    <s v="Outdoor"/>
    <s v="Swap_Month 2"/>
    <n v="48050"/>
    <x v="44"/>
    <m/>
    <e v="#N/A"/>
    <s v="CRAN"/>
    <x v="1"/>
    <n v="2"/>
  </r>
  <r>
    <s v="South"/>
    <s v="PO2_South1"/>
    <s v="Đồng Tháp"/>
    <s v="Tiền Giang"/>
    <s v="TGMT11"/>
    <x v="448"/>
    <s v="Swap"/>
    <s v="Dual-band"/>
    <n v="3"/>
    <s v="New"/>
    <s v="PS mới 5G B+"/>
    <n v="106.35431"/>
    <n v="10.359629999999999"/>
    <s v="My Tho"/>
    <s v="Month 2"/>
    <s v="Swap_L18 + L21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12"/>
    <x v="449"/>
    <s v="Swap"/>
    <s v="Dual-band"/>
    <n v="3"/>
    <s v="New"/>
    <s v="PS mới 5G B+"/>
    <n v="106.35702000000001"/>
    <n v="10.357570000000001"/>
    <s v="My Tho"/>
    <s v="Month 2"/>
    <s v="Swap_L18 + L21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13"/>
    <x v="450"/>
    <s v="Swap"/>
    <s v="Single-Band"/>
    <n v="3"/>
    <s v="New"/>
    <s v="PS mới 5G B+"/>
    <n v="106.37463"/>
    <n v="10.35181"/>
    <s v="My Tho"/>
    <s v="Month 2"/>
    <s v="Swap_L18 + NR 2.6 64T"/>
    <s v="Outdoor"/>
    <s v="Swap_Month 2"/>
    <n v="48050"/>
    <x v="44"/>
    <m/>
    <e v="#N/A"/>
    <s v="Macro"/>
    <x v="0"/>
    <n v="2"/>
  </r>
  <r>
    <s v="South"/>
    <s v="PO2_South1"/>
    <s v="Đồng Tháp"/>
    <s v="Tiền Giang"/>
    <s v="TGMTX0"/>
    <x v="450"/>
    <s v="Swap"/>
    <s v="Dual-band"/>
    <n v="3"/>
    <s v="New"/>
    <s v="PS mới 5G B+"/>
    <n v="106.371803"/>
    <n v="10.361242000000001"/>
    <s v="My Tho"/>
    <s v="Month 2"/>
    <s v="Swap_L18 + L21 + NR 2.6 64T + NR 3.8"/>
    <s v="Outdoor"/>
    <s v="Swap_Month 2"/>
    <n v="48050"/>
    <x v="44"/>
    <m/>
    <e v="#N/A"/>
    <s v="CRAN"/>
    <x v="1"/>
    <n v="2"/>
  </r>
  <r>
    <s v="South"/>
    <s v="PO2_South1"/>
    <s v="Đồng Tháp"/>
    <s v="Tiền Giang"/>
    <s v="TGMT15"/>
    <x v="451"/>
    <s v="Swap"/>
    <s v="Dual-band"/>
    <n v="3"/>
    <s v="New"/>
    <s v="PS mới 5G B+"/>
    <n v="106.39848000000001"/>
    <n v="10.35294"/>
    <s v="My Tho"/>
    <s v="Month 2"/>
    <s v="Swap_L18 + L21 + NR 2.6 64T + NR 3.8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16"/>
    <x v="452"/>
    <s v="Swap"/>
    <s v="Dual-band"/>
    <n v="3"/>
    <s v="New"/>
    <s v="PS mới 5G B"/>
    <n v="106.34756"/>
    <n v="10.36148"/>
    <s v="My Tho"/>
    <n v="0"/>
    <s v="Swap_L18 + L21 + NR 2.6 32T"/>
    <s v="Outdoor"/>
    <s v="Swap_0"/>
    <n v="48050"/>
    <x v="45"/>
    <m/>
    <e v="#N/A"/>
    <s v="Macro"/>
    <x v="2"/>
    <n v="1"/>
  </r>
  <r>
    <s v="South"/>
    <s v="PO2_South1"/>
    <s v="Đồng Tháp"/>
    <s v="Tiền Giang"/>
    <s v="TGMT17"/>
    <x v="453"/>
    <s v="Swap"/>
    <s v="Dual-band"/>
    <n v="3"/>
    <s v="New"/>
    <s v="PS mới 5G B+"/>
    <n v="106.37867"/>
    <n v="10.35744"/>
    <s v="My Tho"/>
    <s v="Month 2"/>
    <s v="Swap_L18 + L21 + NR 2.6 64T + NR 3.8"/>
    <s v="Outdoor"/>
    <s v="Swap_Month 2"/>
    <n v="48050"/>
    <x v="44"/>
    <m/>
    <s v="OK"/>
    <s v="CRAN"/>
    <x v="1"/>
    <n v="3"/>
  </r>
  <r>
    <s v="South"/>
    <s v="PO2_South1"/>
    <s v="Đồng Tháp"/>
    <s v="Tiền Giang"/>
    <s v="TGMT18"/>
    <x v="454"/>
    <s v="Swap"/>
    <s v="Dual-band"/>
    <n v="3"/>
    <s v="Swap"/>
    <s v="Swap (PS mới 5G B)"/>
    <n v="106.34014000000001"/>
    <n v="10.36013"/>
    <s v="My Tho"/>
    <n v="0"/>
    <s v="Swap_L18 + L21 + NR 2.6 64T + NR 3.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19"/>
    <x v="455"/>
    <s v="Swap"/>
    <s v="Single-Band"/>
    <n v="3"/>
    <s v="New"/>
    <s v="PS mới 5G B"/>
    <n v="106.3335"/>
    <n v="10.36468"/>
    <s v="My Tho"/>
    <n v="0"/>
    <s v="Swap_L18 + NR 2.6 64T"/>
    <s v="Outdoor"/>
    <s v="Swap_0"/>
    <n v="48050"/>
    <x v="45"/>
    <m/>
    <e v="#N/A"/>
    <s v="Macro"/>
    <x v="0"/>
    <n v="3"/>
  </r>
  <r>
    <s v="South"/>
    <s v="PO2_South1"/>
    <s v="Đồng Tháp"/>
    <s v="Tiền Giang"/>
    <s v="TGMT68"/>
    <x v="455"/>
    <s v="Swap"/>
    <s v="Single-Band"/>
    <n v="3"/>
    <s v="New"/>
    <s v="PS mới 5G B"/>
    <n v="106.34784999999999"/>
    <n v="10.36777"/>
    <s v="My Tho"/>
    <n v="0"/>
    <s v="Swap_L18 + NR 2.6 32T"/>
    <s v="Outdoor"/>
    <s v="Swap_0"/>
    <n v="48050"/>
    <x v="45"/>
    <m/>
    <e v="#N/A"/>
    <s v="CRAN"/>
    <x v="1"/>
    <n v="3"/>
  </r>
  <r>
    <s v="South"/>
    <s v="PO2_South1"/>
    <s v="Đồng Tháp"/>
    <s v="Tiền Giang"/>
    <s v="TGMT88"/>
    <x v="455"/>
    <s v="Swap"/>
    <s v="Dual-band"/>
    <n v="3"/>
    <m/>
    <m/>
    <n v="106.3258"/>
    <n v="10.365819999999999"/>
    <s v="My Tho"/>
    <n v="0"/>
    <s v="Swap_L18 + L21"/>
    <s v="Outdoor"/>
    <s v="Swap_0"/>
    <n v="48050"/>
    <x v="36"/>
    <m/>
    <e v="#N/A"/>
    <s v="CRAN"/>
    <x v="1"/>
    <n v="3"/>
  </r>
  <r>
    <s v="South"/>
    <s v="PO2_South1"/>
    <s v="Đồng Tháp"/>
    <s v="Tiền Giang"/>
    <s v="TGMT20"/>
    <x v="456"/>
    <s v="Swap"/>
    <s v="Single-Band"/>
    <n v="3"/>
    <s v="New"/>
    <s v="PS mới 5G B"/>
    <n v="106.36651999999999"/>
    <n v="10.371029999999999"/>
    <s v="My Tho"/>
    <s v="Month 2"/>
    <s v="Swap_L18 + NR 2.6 64T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21"/>
    <x v="457"/>
    <s v="Swap"/>
    <s v="Dual-band"/>
    <n v="3"/>
    <s v="New"/>
    <s v="PS mới 5G B"/>
    <n v="106.32458"/>
    <n v="10.373810000000001"/>
    <s v="My Tho"/>
    <n v="0"/>
    <s v="Swap_L18 + L21 + NR 2.6 32T"/>
    <s v="Outdoor"/>
    <s v="Swap_0"/>
    <n v="48050"/>
    <x v="45"/>
    <m/>
    <e v="#N/A"/>
    <s v="Macro"/>
    <x v="2"/>
    <n v="1"/>
  </r>
  <r>
    <s v="South"/>
    <s v="PO2_South1"/>
    <s v="Đồng Tháp"/>
    <s v="Tiền Giang"/>
    <s v="TGMT22"/>
    <x v="458"/>
    <s v="Swap"/>
    <s v="Dual-band"/>
    <n v="3"/>
    <s v="New"/>
    <s v="PS mới 5G B"/>
    <n v="106.34054999999999"/>
    <n v="10.38467"/>
    <s v="My Tho"/>
    <n v="0"/>
    <s v="Swap_L18 + L21 + NR 2.6 32T"/>
    <s v="Outdoor"/>
    <s v="Swap_0"/>
    <n v="48050"/>
    <x v="45"/>
    <m/>
    <e v="#N/A"/>
    <s v="Macro"/>
    <x v="2"/>
    <n v="1"/>
  </r>
  <r>
    <s v="South"/>
    <s v="PO2_South1"/>
    <s v="Đồng Tháp"/>
    <s v="Tiền Giang"/>
    <s v="TGMT23"/>
    <x v="459"/>
    <s v="Swap"/>
    <s v="Single-Band"/>
    <n v="3"/>
    <m/>
    <m/>
    <n v="106.349592"/>
    <n v="10.379813"/>
    <s v="My Tho"/>
    <n v="0"/>
    <s v="Swap_L18"/>
    <s v="Outdoor"/>
    <s v="Swap_0"/>
    <n v="48050"/>
    <x v="45"/>
    <m/>
    <e v="#N/A"/>
    <s v="CRAN"/>
    <x v="1"/>
    <n v="2"/>
  </r>
  <r>
    <s v="South"/>
    <s v="PO2_South1"/>
    <s v="Đồng Tháp"/>
    <s v="Tiền Giang"/>
    <s v="TGMT24"/>
    <x v="459"/>
    <s v="Swap"/>
    <s v="Dual-band"/>
    <n v="3"/>
    <s v="New"/>
    <s v="PS mới 5G B+"/>
    <n v="106.35252"/>
    <n v="10.36619"/>
    <s v="My Tho"/>
    <n v="0"/>
    <s v="Swap_L18 + L21 + NR 2.6 64T + NR 3.8"/>
    <s v="Outdoor"/>
    <s v="Swap_0"/>
    <n v="48050"/>
    <x v="45"/>
    <m/>
    <e v="#N/A"/>
    <s v="Macro"/>
    <x v="0"/>
    <n v="2"/>
  </r>
  <r>
    <s v="South"/>
    <s v="PO2_South1"/>
    <s v="Đồng Tháp"/>
    <s v="Tiền Giang"/>
    <s v="TGMT25"/>
    <x v="460"/>
    <s v="Swap"/>
    <s v="Dual-band"/>
    <n v="3"/>
    <s v="New"/>
    <s v="PS mới 5G B"/>
    <n v="106.35053000000001"/>
    <n v="10.390040000000001"/>
    <s v="My Tho"/>
    <n v="0"/>
    <s v="Swap_L18 + L21 + NR 2.6 32T"/>
    <s v="Outdoor"/>
    <s v="Swap_0"/>
    <n v="48050"/>
    <x v="45"/>
    <m/>
    <e v="#N/A"/>
    <s v="Macro"/>
    <x v="2"/>
    <n v="1"/>
  </r>
  <r>
    <s v="South"/>
    <s v="PO2_South1"/>
    <s v="Đồng Tháp"/>
    <s v="Tiền Giang"/>
    <s v="TGMT26"/>
    <x v="461"/>
    <s v="Swap"/>
    <s v="Dual-band"/>
    <n v="3"/>
    <s v="New"/>
    <s v="PS mới 5G B"/>
    <n v="106.32764"/>
    <n v="10.357419999999999"/>
    <s v="My Tho"/>
    <n v="0"/>
    <s v="Swap_L18 + L21 + NR 2.6 32T"/>
    <s v="Outdoor"/>
    <s v="Swap_0"/>
    <n v="48050"/>
    <x v="36"/>
    <m/>
    <e v="#N/A"/>
    <s v="Macro"/>
    <x v="2"/>
    <n v="1"/>
  </r>
  <r>
    <s v="South"/>
    <s v="PO2_South1"/>
    <s v="Đồng Tháp"/>
    <s v="Tiền Giang"/>
    <s v="TGMT28"/>
    <x v="462"/>
    <s v="Swap"/>
    <s v="Dual-band"/>
    <n v="3"/>
    <m/>
    <m/>
    <n v="106.34177"/>
    <n v="10.36979"/>
    <s v="My Tho"/>
    <n v="0"/>
    <s v="Swap_L18 + L21"/>
    <s v="Outdoor"/>
    <s v="Swap_0"/>
    <n v="48050"/>
    <x v="45"/>
    <m/>
    <e v="#N/A"/>
    <s v="Macro"/>
    <x v="2"/>
    <n v="1"/>
  </r>
  <r>
    <s v="South"/>
    <s v="PO2_South1"/>
    <s v="Đồng Tháp"/>
    <s v="Tiền Giang"/>
    <s v="TGMT29"/>
    <x v="463"/>
    <s v="Swap"/>
    <s v="Dual-band"/>
    <n v="4"/>
    <s v="New"/>
    <s v="PS mới 5G A"/>
    <n v="106.3627"/>
    <n v="10.363300000000001"/>
    <s v="My Tho"/>
    <s v="Month 2"/>
    <s v="Swap_L18 + L21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CG62"/>
    <x v="464"/>
    <s v="Swap"/>
    <s v="Single-Band"/>
    <n v="3"/>
    <m/>
    <m/>
    <n v="106.4323"/>
    <n v="10.3621"/>
    <s v="Cho Gao"/>
    <s v="Month 2"/>
    <s v="Swap_L18"/>
    <s v="Outdoor"/>
    <s v="Swap_Month 2"/>
    <n v="48020"/>
    <x v="23"/>
    <m/>
    <e v="#N/A"/>
    <s v="CRAN"/>
    <x v="1"/>
    <n v="3"/>
  </r>
  <r>
    <s v="South"/>
    <s v="PO2_South1"/>
    <s v="Đồng Tháp"/>
    <s v="Tiền Giang"/>
    <s v="TGMT30"/>
    <x v="464"/>
    <s v="Swap"/>
    <s v="Single-Band"/>
    <n v="3"/>
    <s v="New"/>
    <s v="PS mới 5G C"/>
    <n v="106.40965"/>
    <n v="10.367240000000001"/>
    <s v="My Tho"/>
    <s v="Month 2"/>
    <s v="Swap_L18 + NR 2.6 32T"/>
    <s v="Outdoor"/>
    <s v="Swap_Month 2"/>
    <n v="48050"/>
    <x v="24"/>
    <m/>
    <e v="#N/A"/>
    <s v="Macro"/>
    <x v="0"/>
    <n v="3"/>
  </r>
  <r>
    <s v="South"/>
    <s v="PO2_South1"/>
    <s v="Đồng Tháp"/>
    <s v="Tiền Giang"/>
    <s v="TGMT77"/>
    <x v="464"/>
    <s v="Swap"/>
    <s v="Single-Band"/>
    <n v="3"/>
    <m/>
    <m/>
    <n v="106.3997"/>
    <n v="10.371"/>
    <s v="My Tho"/>
    <s v="Month 2"/>
    <s v="Swap_L18"/>
    <s v="Outdoor"/>
    <s v="Swap_Month 2"/>
    <n v="48050"/>
    <x v="24"/>
    <m/>
    <s v="OK"/>
    <s v="CRAN"/>
    <x v="1"/>
    <n v="3"/>
  </r>
  <r>
    <s v="South"/>
    <s v="PO2_South1"/>
    <s v="Đồng Tháp"/>
    <s v="Tiền Giang"/>
    <s v="TGMT31"/>
    <x v="465"/>
    <s v="Swap"/>
    <s v="Dual-band"/>
    <n v="4"/>
    <s v="New"/>
    <s v="PS mới 5G B"/>
    <n v="106.34938"/>
    <n v="10.339919999999999"/>
    <s v="My Tho"/>
    <n v="0"/>
    <s v="Swap_L18 + L21 + NR 2.6 32T"/>
    <s v="Outdoor"/>
    <s v="Swap_0"/>
    <n v="48050"/>
    <x v="36"/>
    <m/>
    <e v="#N/A"/>
    <s v="Macro"/>
    <x v="2"/>
    <n v="1"/>
  </r>
  <r>
    <s v="South"/>
    <s v="PO2_South1"/>
    <s v="Đồng Tháp"/>
    <s v="Tiền Giang"/>
    <s v="TGMT32"/>
    <x v="466"/>
    <s v="Swap"/>
    <s v="Single-Band"/>
    <n v="3"/>
    <s v="New"/>
    <s v="PS mới 5G B"/>
    <n v="106.38564"/>
    <n v="10.355460000000001"/>
    <s v="My Tho"/>
    <s v="Month 2"/>
    <s v="Swap_L18 + NR 2.6 64T"/>
    <s v="Outdoor"/>
    <s v="Swap_Month 2"/>
    <n v="48050"/>
    <x v="44"/>
    <m/>
    <e v="#N/A"/>
    <s v="Macro"/>
    <x v="0"/>
    <n v="3"/>
  </r>
  <r>
    <s v="South"/>
    <s v="PO2_South1"/>
    <s v="Đồng Tháp"/>
    <s v="Tiền Giang"/>
    <s v="TGMTP1"/>
    <x v="466"/>
    <s v="Swap"/>
    <s v="Dual-band"/>
    <n v="3"/>
    <s v="New"/>
    <s v="PS mới 5G B"/>
    <n v="106.3823"/>
    <n v="10.352399999999999"/>
    <s v="My Tho"/>
    <s v="Month 2"/>
    <s v="Swap_L18 + L21 + NR 2.6 32T"/>
    <s v="Outdoor"/>
    <s v="Swap_Month 2"/>
    <n v="48050"/>
    <x v="44"/>
    <m/>
    <e v="#N/A"/>
    <s v="CRAN"/>
    <x v="1"/>
    <n v="3"/>
  </r>
  <r>
    <s v="South"/>
    <s v="PO2_South1"/>
    <s v="Đồng Tháp"/>
    <s v="Tiền Giang"/>
    <s v="TGMT39"/>
    <x v="466"/>
    <s v="Swap"/>
    <s v="Single-Band"/>
    <n v="3"/>
    <m/>
    <m/>
    <n v="106.39532"/>
    <n v="10.360049999999999"/>
    <s v="My Tho"/>
    <s v="Month 2"/>
    <s v="Swap_L18"/>
    <s v="Outdoor"/>
    <s v="Swap_Month 2"/>
    <n v="48050"/>
    <x v="24"/>
    <m/>
    <s v="OK"/>
    <s v="CRAN"/>
    <x v="1"/>
    <n v="3"/>
  </r>
  <r>
    <s v="South"/>
    <s v="PO2_South1"/>
    <s v="Đồng Tháp"/>
    <s v="Tiền Giang"/>
    <s v="TGMT33"/>
    <x v="467"/>
    <s v="Swap"/>
    <s v="Dual-band"/>
    <n v="3"/>
    <s v="New"/>
    <s v="PS mới 5G A"/>
    <n v="106.33463999999999"/>
    <n v="10.35196"/>
    <s v="My Tho"/>
    <n v="0"/>
    <s v="Swap_L18 + L21 + NR 2.6 64T + NR 3.8"/>
    <s v="Outdoor"/>
    <s v="Swap_0"/>
    <n v="48050"/>
    <x v="36"/>
    <m/>
    <e v="#N/A"/>
    <s v="Macro"/>
    <x v="0"/>
    <n v="2"/>
  </r>
  <r>
    <s v="South"/>
    <s v="PO2_South1"/>
    <s v="Đồng Tháp"/>
    <s v="Tiền Giang"/>
    <s v="TGMT71"/>
    <x v="467"/>
    <s v="Swap"/>
    <s v="Dual-band"/>
    <n v="3"/>
    <s v="New"/>
    <s v="PS mới 5G B+"/>
    <n v="106.32850999999999"/>
    <n v="10.35027"/>
    <s v="My Tho"/>
    <n v="0"/>
    <s v="Swap_L18 + L21 + NR 2.6 64T + NR 3.8"/>
    <s v="Outdoor"/>
    <s v="Swap_0"/>
    <n v="48050"/>
    <x v="36"/>
    <m/>
    <e v="#N/A"/>
    <s v="CRAN"/>
    <x v="1"/>
    <n v="2"/>
  </r>
  <r>
    <s v="South"/>
    <s v="PO2_South1"/>
    <s v="Đồng Tháp"/>
    <s v="Tiền Giang"/>
    <s v="TGMT34"/>
    <x v="468"/>
    <s v="Swap"/>
    <s v="Dual-band"/>
    <n v="4"/>
    <s v="New"/>
    <s v="PS mới 5G B"/>
    <n v="106.34031"/>
    <n v="10.34915"/>
    <s v="My Tho"/>
    <n v="0"/>
    <s v="Swap_L18 + L21 + NR 2.6 32T"/>
    <s v="Outdoor"/>
    <s v="Swap_0"/>
    <n v="48050"/>
    <x v="36"/>
    <m/>
    <e v="#N/A"/>
    <s v="Macro"/>
    <x v="0"/>
    <n v="2"/>
  </r>
  <r>
    <s v="South"/>
    <s v="PO2_South1"/>
    <s v="Đồng Tháp"/>
    <s v="Tiền Giang"/>
    <s v="TGMT89"/>
    <x v="468"/>
    <s v="Swap"/>
    <s v="Dual-band"/>
    <n v="3"/>
    <s v="New"/>
    <s v="PS mới 5G B"/>
    <n v="106.34238000000001"/>
    <n v="10.354979999999999"/>
    <s v="My Tho"/>
    <n v="0"/>
    <s v="Swap_L18 + L21 + NR 2.6 64T + NR 3.8"/>
    <s v="Outdoor"/>
    <s v="Swap_0"/>
    <n v="48050"/>
    <x v="36"/>
    <m/>
    <e v="#N/A"/>
    <s v="CRAN"/>
    <x v="1"/>
    <n v="2"/>
  </r>
  <r>
    <s v="South"/>
    <s v="PO2_South1"/>
    <s v="Đồng Tháp"/>
    <s v="Tiền Giang"/>
    <s v="TGMT35"/>
    <x v="469"/>
    <s v="Swap"/>
    <s v="Single-Band"/>
    <n v="3"/>
    <m/>
    <m/>
    <n v="106.39865"/>
    <n v="10.38984"/>
    <s v="My Tho"/>
    <s v="Month 2"/>
    <s v="Swap_L18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36"/>
    <x v="470"/>
    <s v="Swap"/>
    <s v="Dual-band"/>
    <n v="3"/>
    <s v="New"/>
    <s v="PS mới 5G B+"/>
    <n v="106.37242999999999"/>
    <n v="10.35772"/>
    <s v="My Tho"/>
    <s v="Month 2"/>
    <s v="Swap_L18 + L21 + NR 2.6 64T + NR 3.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37"/>
    <x v="471"/>
    <s v="Swap"/>
    <s v="Dual-band"/>
    <n v="3"/>
    <s v="New"/>
    <s v="PS mới 5G B+"/>
    <n v="106.32418"/>
    <n v="10.347340000000001"/>
    <s v="My Tho"/>
    <n v="0"/>
    <s v="Swap_L18 + L21 + NR 2.6 64T + NR 3.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38"/>
    <x v="472"/>
    <s v="Swap"/>
    <s v="Dual-band"/>
    <n v="4"/>
    <s v="New"/>
    <s v="PS mới 5G C"/>
    <n v="106.362061"/>
    <n v="10.35366"/>
    <s v="My Tho"/>
    <s v="Month 2"/>
    <s v="Swap_L18 + L21 + NR 2.6 64T + NR 3.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40"/>
    <x v="473"/>
    <s v="Swap"/>
    <s v="Single-Band"/>
    <n v="3"/>
    <s v="New"/>
    <s v="PS mới 5G B+"/>
    <n v="106.36960000000001"/>
    <n v="10.348520000000001"/>
    <s v="My Tho"/>
    <s v="Month 2"/>
    <s v="Swap_L18 + NR 2.6 64T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41"/>
    <x v="474"/>
    <s v="Swap"/>
    <s v="Single-Band"/>
    <n v="3"/>
    <m/>
    <m/>
    <n v="106.37797"/>
    <n v="10.380380000000001"/>
    <s v="My Tho"/>
    <s v="Month 2"/>
    <s v="Swap_L18"/>
    <s v="Outdoor"/>
    <s v="Swap_Month 2"/>
    <n v="48050"/>
    <x v="24"/>
    <m/>
    <e v="#N/A"/>
    <s v="Macro"/>
    <x v="0"/>
    <n v="2"/>
  </r>
  <r>
    <s v="South"/>
    <s v="PO2_South1"/>
    <s v="Đồng Tháp"/>
    <s v="Tiền Giang"/>
    <s v="TGMT86"/>
    <x v="474"/>
    <s v="Swap"/>
    <s v="Single-Band"/>
    <n v="3"/>
    <m/>
    <m/>
    <n v="106.38402000000001"/>
    <n v="10.39213"/>
    <s v="My Tho"/>
    <s v="Month 2"/>
    <s v="Swap_L18"/>
    <s v="Outdoor"/>
    <s v="Swap_Month 2"/>
    <n v="48050"/>
    <x v="24"/>
    <m/>
    <e v="#N/A"/>
    <s v="CRAN"/>
    <x v="1"/>
    <n v="2"/>
  </r>
  <r>
    <s v="South"/>
    <s v="PO2_South1"/>
    <s v="Đồng Tháp"/>
    <s v="Tiền Giang"/>
    <s v="TGMT42"/>
    <x v="475"/>
    <s v="Swap"/>
    <s v="Single-Band"/>
    <n v="3"/>
    <m/>
    <m/>
    <n v="106.35677"/>
    <n v="10.376860000000001"/>
    <s v="My Tho"/>
    <s v="Month 2"/>
    <s v="Swap_L1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43"/>
    <x v="476"/>
    <s v="Swap"/>
    <s v="Dual-band"/>
    <n v="3"/>
    <s v="New"/>
    <s v="PS mới 5G B"/>
    <n v="106.38822999999999"/>
    <n v="10.361470000000001"/>
    <s v="My Tho"/>
    <s v="Month 2"/>
    <s v="Swap_L18 + L21 + NR 2.6 32T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44"/>
    <x v="477"/>
    <s v="Swap"/>
    <s v="Dual-band"/>
    <n v="3"/>
    <s v="New"/>
    <s v="PS mới 5G B+"/>
    <n v="106.34987"/>
    <n v="10.35162"/>
    <s v="My Tho"/>
    <n v="0"/>
    <s v="Swap_L18 + L21 + NR 2.6 64T + NR 3.8"/>
    <s v="Outdoor"/>
    <s v="Swap_0"/>
    <n v="48050"/>
    <x v="45"/>
    <m/>
    <e v="#N/A"/>
    <s v="Macro"/>
    <x v="2"/>
    <n v="1"/>
  </r>
  <r>
    <s v="South"/>
    <s v="PO2_South1"/>
    <s v="Đồng Tháp"/>
    <s v="Tiền Giang"/>
    <s v="TGMT46"/>
    <x v="478"/>
    <s v="Swap"/>
    <s v="Dual-band"/>
    <n v="4"/>
    <s v="New"/>
    <s v="PS mới 5G B"/>
    <n v="106.31502999999999"/>
    <n v="10.33267"/>
    <s v="My Tho"/>
    <n v="0"/>
    <s v="Swap_L18 + L21 + NR 2.6 32T"/>
    <s v="Outdoor"/>
    <s v="Swap_0"/>
    <n v="48050"/>
    <x v="36"/>
    <m/>
    <e v="#N/A"/>
    <s v="Macro"/>
    <x v="2"/>
    <n v="1"/>
  </r>
  <r>
    <s v="South"/>
    <s v="PO2_South1"/>
    <s v="Đồng Tháp"/>
    <s v="Tiền Giang"/>
    <s v="TGMT47"/>
    <x v="479"/>
    <s v="Swap"/>
    <s v="Dual-band"/>
    <n v="3"/>
    <s v="Swap"/>
    <s v="Swap (PS mới 5G B)"/>
    <n v="106.34878"/>
    <n v="10.371930000000001"/>
    <s v="My Tho"/>
    <n v="0"/>
    <s v="Swap_L18 + L21 + NR 2.6 64T + NR 3.8"/>
    <s v="Outdoor"/>
    <s v="Swap_0"/>
    <n v="48050"/>
    <x v="45"/>
    <m/>
    <e v="#N/A"/>
    <s v="Macro"/>
    <x v="2"/>
    <n v="1"/>
  </r>
  <r>
    <s v="South"/>
    <s v="PO2_South1"/>
    <s v="Đồng Tháp"/>
    <s v="Tiền Giang"/>
    <s v="TGMT48"/>
    <x v="480"/>
    <s v="Swap"/>
    <s v="Single-Band"/>
    <n v="3"/>
    <s v="New"/>
    <s v="PS mới 5G C"/>
    <n v="106.3353"/>
    <n v="10.37011"/>
    <s v="My Tho"/>
    <n v="0"/>
    <s v="Swap_L18 + NR 2.6 32T"/>
    <s v="Outdoor"/>
    <s v="Swap_0"/>
    <n v="48050"/>
    <x v="45"/>
    <m/>
    <e v="#N/A"/>
    <s v="Macro"/>
    <x v="2"/>
    <n v="1"/>
  </r>
  <r>
    <s v="South"/>
    <s v="PO2_South1"/>
    <s v="Đồng Tháp"/>
    <s v="Tiền Giang"/>
    <s v="TGMT49"/>
    <x v="481"/>
    <s v="Swap"/>
    <s v="Single-Band"/>
    <n v="3"/>
    <m/>
    <m/>
    <n v="106.36959"/>
    <n v="10.353289999999999"/>
    <s v="My Tho"/>
    <s v="Month 2"/>
    <s v="Swap_L1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50"/>
    <x v="482"/>
    <s v="Swap"/>
    <s v="Single-Band"/>
    <n v="3"/>
    <m/>
    <m/>
    <n v="106.33435"/>
    <n v="10.33437"/>
    <s v="My Tho"/>
    <n v="0"/>
    <s v="Swap_L1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51"/>
    <x v="483"/>
    <s v="Swap"/>
    <s v="Single-Band"/>
    <n v="3"/>
    <s v="Swap"/>
    <s v="Swap (PS mới 5G B)"/>
    <n v="106.37161"/>
    <n v="10.3644"/>
    <s v="My Tho"/>
    <s v="Month 2"/>
    <s v="Swap_L18 + NR 2.6 64T + NR 3.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52"/>
    <x v="453"/>
    <s v="Swap"/>
    <s v="Dual-band"/>
    <n v="4"/>
    <s v="New"/>
    <s v="PS mới 5G B"/>
    <n v="106.3812667"/>
    <n v="10.3516405"/>
    <s v="My Tho"/>
    <s v="Month 2"/>
    <s v="Swap_L18 + L21 + NR 2.6 32T"/>
    <s v="Outdoor"/>
    <s v="Swap_Month 2"/>
    <n v="48050"/>
    <x v="44"/>
    <m/>
    <e v="#N/A"/>
    <s v="Macro"/>
    <x v="0"/>
    <n v="3"/>
  </r>
  <r>
    <s v="South"/>
    <s v="PO2_South1"/>
    <s v="Đồng Tháp"/>
    <s v="Tiền Giang"/>
    <s v="TGMT76"/>
    <x v="453"/>
    <s v="Swap"/>
    <s v="Single-Band"/>
    <n v="3"/>
    <s v="New"/>
    <s v="PS mới 5G B"/>
    <n v="106.3954"/>
    <n v="10.350149999999999"/>
    <s v="My Tho"/>
    <s v="Month 2"/>
    <s v="Swap_L18 + NR 2.6 64T"/>
    <s v="Outdoor"/>
    <s v="Swap_Month 2"/>
    <n v="48050"/>
    <x v="44"/>
    <m/>
    <e v="#N/A"/>
    <s v="CRAN"/>
    <x v="1"/>
    <n v="3"/>
  </r>
  <r>
    <s v="South"/>
    <s v="PO2_South1"/>
    <s v="Đồng Tháp"/>
    <s v="Tiền Giang"/>
    <s v="TGMT53"/>
    <x v="484"/>
    <s v="Swap"/>
    <s v="Single-Band"/>
    <n v="3"/>
    <m/>
    <m/>
    <n v="106.38319"/>
    <n v="10.344720000000001"/>
    <s v="My Tho"/>
    <s v="Month 2"/>
    <s v="Swap_L1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54"/>
    <x v="485"/>
    <s v="Swap"/>
    <s v="Dual-band"/>
    <n v="3"/>
    <s v="Swap"/>
    <s v="Swap (PS mới 5G B)"/>
    <n v="106.36418"/>
    <n v="10.367380000000001"/>
    <s v="My Tho"/>
    <s v="Month 2"/>
    <s v="Swap_L18 + L21 + NR 2.6 64T + NR 3.8"/>
    <s v="Outdoor"/>
    <s v="Swap_Month 2"/>
    <n v="48050"/>
    <x v="45"/>
    <m/>
    <e v="#N/A"/>
    <s v="Macro"/>
    <x v="0"/>
    <n v="3"/>
  </r>
  <r>
    <s v="South"/>
    <s v="PO2_South1"/>
    <s v="Đồng Tháp"/>
    <s v="Tiền Giang"/>
    <s v="TGMT27"/>
    <x v="485"/>
    <s v="Swap"/>
    <s v="Single-Band"/>
    <n v="3"/>
    <m/>
    <m/>
    <n v="106.3626"/>
    <n v="10.37443"/>
    <s v="My Tho"/>
    <s v="Month 2"/>
    <s v="Swap_L18"/>
    <s v="Outdoor"/>
    <s v="Swap_Month 2"/>
    <n v="48050"/>
    <x v="45"/>
    <m/>
    <e v="#N/A"/>
    <s v="CRAN"/>
    <x v="1"/>
    <n v="3"/>
  </r>
  <r>
    <s v="South"/>
    <s v="PO2_South1"/>
    <s v="Đồng Tháp"/>
    <s v="Tiền Giang"/>
    <s v="TGMT87"/>
    <x v="485"/>
    <s v="Swap"/>
    <s v="Single-Band"/>
    <n v="3"/>
    <m/>
    <m/>
    <n v="106.367226"/>
    <n v="10.366111"/>
    <s v="My Tho"/>
    <s v="Month 2"/>
    <s v="Swap_L18"/>
    <s v="Outdoor"/>
    <s v="Swap_Month 2"/>
    <n v="48050"/>
    <x v="45"/>
    <m/>
    <e v="#N/A"/>
    <s v="CRAN"/>
    <x v="1"/>
    <n v="3"/>
  </r>
  <r>
    <s v="South"/>
    <s v="PO2_South1"/>
    <s v="Đồng Tháp"/>
    <s v="Tiền Giang"/>
    <s v="TGMT56"/>
    <x v="486"/>
    <s v="Swap"/>
    <s v="Dual-band"/>
    <n v="3"/>
    <m/>
    <m/>
    <n v="106.36091999999999"/>
    <n v="10.385160000000001"/>
    <s v="My Tho"/>
    <s v="Month 2"/>
    <s v="Swap_L18 + L21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57"/>
    <x v="487"/>
    <s v="Swap"/>
    <s v="Dual-band"/>
    <n v="3"/>
    <s v="New"/>
    <s v="PS mới 5G B"/>
    <n v="106.38086"/>
    <n v="10.370939999999999"/>
    <s v="My Tho"/>
    <s v="Month 2"/>
    <s v="Swap_L18 + L21 + NR 2.6 32T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58"/>
    <x v="488"/>
    <s v="Swap"/>
    <s v="Single-Band"/>
    <n v="3"/>
    <m/>
    <m/>
    <n v="106.39511"/>
    <n v="10.34557"/>
    <s v="My Tho"/>
    <s v="Month 2"/>
    <s v="Swap_L18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62"/>
    <x v="489"/>
    <s v="Swap"/>
    <s v="Single-Band"/>
    <n v="3"/>
    <m/>
    <m/>
    <n v="106.35468"/>
    <n v="10.35582"/>
    <s v="My Tho"/>
    <s v="Month 2"/>
    <s v="Swap_L1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63"/>
    <x v="490"/>
    <s v="Swap"/>
    <s v="Single-Band"/>
    <n v="3"/>
    <m/>
    <m/>
    <n v="106.33166"/>
    <n v="10.39324"/>
    <s v="My Tho"/>
    <n v="0"/>
    <s v="Swap_L18"/>
    <s v="Outdoor"/>
    <s v="Swap_0"/>
    <n v="48050"/>
    <x v="45"/>
    <m/>
    <e v="#N/A"/>
    <s v="Macro"/>
    <x v="2"/>
    <n v="1"/>
  </r>
  <r>
    <s v="South"/>
    <s v="PO2_South1"/>
    <s v="Đồng Tháp"/>
    <s v="Tiền Giang"/>
    <s v="TGMT67"/>
    <x v="491"/>
    <s v="Swap"/>
    <s v="Single-Band"/>
    <n v="3"/>
    <m/>
    <m/>
    <n v="106.33150999999999"/>
    <n v="10.38"/>
    <s v="My Tho"/>
    <n v="0"/>
    <s v="Swap_L18"/>
    <s v="Outdoor"/>
    <s v="Swap_0"/>
    <n v="48050"/>
    <x v="45"/>
    <m/>
    <e v="#N/A"/>
    <s v="Macro"/>
    <x v="2"/>
    <n v="1"/>
  </r>
  <r>
    <s v="South"/>
    <s v="PO2_South1"/>
    <s v="Đồng Tháp"/>
    <s v="Tiền Giang"/>
    <s v="TGMT69"/>
    <x v="492"/>
    <s v="Swap"/>
    <s v="Dual-band"/>
    <n v="4"/>
    <s v="New"/>
    <s v="PS mới 5G B"/>
    <n v="106.33598000000001"/>
    <n v="10.35685"/>
    <s v="My Tho"/>
    <n v="0"/>
    <s v="Swap_L18 + L21 + NR 2.6 64T + NR 3.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70"/>
    <x v="493"/>
    <s v="Swap"/>
    <s v="Dual-band"/>
    <n v="3"/>
    <s v="New"/>
    <s v="PS mới 5G B+"/>
    <n v="106.35959"/>
    <n v="10.359080000000001"/>
    <s v="My Tho"/>
    <s v="Month 2"/>
    <s v="Swap_L18 + L21 + NR 2.6 64T + NR 3.8"/>
    <s v="Outdoor"/>
    <s v="Swap_Month 2"/>
    <n v="48050"/>
    <x v="45"/>
    <m/>
    <e v="#N/A"/>
    <s v="Macro"/>
    <x v="2"/>
    <n v="1"/>
  </r>
  <r>
    <s v="South"/>
    <s v="PO2_South1"/>
    <s v="Đồng Tháp"/>
    <s v="Tiền Giang"/>
    <s v="TGMT72"/>
    <x v="494"/>
    <s v="Swap"/>
    <s v="Dual-band"/>
    <n v="4"/>
    <s v="Swap"/>
    <s v="Swap (PS mới 5G B)"/>
    <n v="106.33137000000001"/>
    <n v="10.347860000000001"/>
    <s v="My Tho"/>
    <n v="0"/>
    <s v="Swap_L18 + L21 + NR 2.6 64T + NR 3.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74"/>
    <x v="495"/>
    <s v="Swap"/>
    <s v="Dual-band"/>
    <n v="4"/>
    <s v="New"/>
    <s v="PS mới 5G B+"/>
    <n v="106.3682"/>
    <n v="10.375859999999999"/>
    <s v="My Tho"/>
    <s v="Month 2"/>
    <s v="Swap_L18 + L21 + NR 2.6 64T + NR 3.8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75"/>
    <x v="496"/>
    <s v="Swap"/>
    <s v="Single-Band"/>
    <n v="3"/>
    <m/>
    <m/>
    <n v="106.33663"/>
    <n v="10.36248"/>
    <s v="My Tho"/>
    <n v="0"/>
    <s v="Swap_L1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78"/>
    <x v="497"/>
    <s v="Swap"/>
    <s v="Dual-band"/>
    <n v="3"/>
    <s v="Swap"/>
    <s v="Swap (PS mới 5G B)"/>
    <n v="106.36450000000001"/>
    <n v="10.3797"/>
    <s v="My Tho"/>
    <s v="Month 2"/>
    <s v="Swap_L18 + L21 + NR 2.6 64T + NR 3.8"/>
    <s v="Outdoor"/>
    <s v="Swap_Month 2"/>
    <n v="48050"/>
    <x v="24"/>
    <m/>
    <e v="#N/A"/>
    <s v="Macro"/>
    <x v="2"/>
    <n v="1"/>
  </r>
  <r>
    <s v="South"/>
    <s v="PO2_South1"/>
    <s v="Đồng Tháp"/>
    <s v="Tiền Giang"/>
    <s v="TGMTX1"/>
    <x v="498"/>
    <s v="Swap"/>
    <s v="Dual-band"/>
    <n v="3"/>
    <s v="Swap"/>
    <s v="Swap (PS mới 5G A)"/>
    <n v="106.31187"/>
    <n v="10.39293"/>
    <s v="My Tho"/>
    <n v="0"/>
    <s v="Swap_L18 + L21 + NR 2.6 64T + NR 3.8"/>
    <s v="Outdoor"/>
    <s v="Swap_0"/>
    <n v="48050"/>
    <x v="32"/>
    <m/>
    <e v="#N/A"/>
    <s v="CRAN"/>
    <x v="1"/>
    <n v="4"/>
  </r>
  <r>
    <s v="South"/>
    <s v="PO2_South1"/>
    <s v="Đồng Tháp"/>
    <s v="Tiền Giang"/>
    <s v="TGCT58"/>
    <x v="498"/>
    <s v="Swap"/>
    <s v="Single-Band"/>
    <n v="3"/>
    <s v="New"/>
    <s v="PS mới 5G C"/>
    <n v="106.32174000000001"/>
    <n v="10.40235"/>
    <s v="Chau Thanh"/>
    <n v="0"/>
    <s v="Swap_L18 + NR 7 + L9"/>
    <s v="Outdoor"/>
    <s v="Swap_0"/>
    <n v="48010"/>
    <x v="32"/>
    <m/>
    <e v="#N/A"/>
    <s v="CRAN"/>
    <x v="1"/>
    <n v="4"/>
  </r>
  <r>
    <s v="South"/>
    <s v="PO2_South1"/>
    <s v="Đồng Tháp"/>
    <s v="Tiền Giang"/>
    <s v="TGMT55"/>
    <x v="498"/>
    <s v="Swap"/>
    <s v="Single-Band"/>
    <n v="3"/>
    <s v="New"/>
    <s v="PS mới 5G C"/>
    <n v="106.322936"/>
    <n v="10.385128"/>
    <s v="My Tho"/>
    <n v="0"/>
    <s v="Swap_L18 + NR 2.6 32T"/>
    <s v="Outdoor"/>
    <s v="Swap_0"/>
    <n v="48050"/>
    <x v="32"/>
    <m/>
    <e v="#N/A"/>
    <s v="CRAN"/>
    <x v="1"/>
    <n v="4"/>
  </r>
  <r>
    <s v="South"/>
    <s v="PO2_South1"/>
    <s v="Đồng Tháp"/>
    <s v="Tiền Giang"/>
    <s v="TGMT80"/>
    <x v="498"/>
    <s v="Swap"/>
    <s v="Dual-band"/>
    <n v="3"/>
    <s v="New"/>
    <s v="PS mới 5G B+"/>
    <n v="106.317072"/>
    <n v="10.391266999999999"/>
    <s v="My Tho"/>
    <n v="0"/>
    <s v="Swap_L18 + L21 + NR 2.6 64T + NR 3.8"/>
    <s v="Outdoor"/>
    <s v="Swap_0"/>
    <n v="48050"/>
    <x v="32"/>
    <m/>
    <e v="#N/A"/>
    <s v="Macro"/>
    <x v="0"/>
    <n v="4"/>
  </r>
  <r>
    <s v="South"/>
    <s v="PO2_South1"/>
    <s v="Đồng Tháp"/>
    <s v="Tiền Giang"/>
    <s v="TGCG58"/>
    <x v="499"/>
    <s v="Swap"/>
    <s v="Single-Band"/>
    <n v="3"/>
    <m/>
    <m/>
    <n v="106.36518"/>
    <n v="10.40484"/>
    <s v="Cho Gao"/>
    <s v="Month 2"/>
    <s v="Swap_L18 + NR 7 + L9"/>
    <s v="Outdoor"/>
    <s v="Swap_Month 2"/>
    <n v="48020"/>
    <x v="22"/>
    <m/>
    <e v="#N/A"/>
    <s v="CRAN"/>
    <x v="1"/>
    <n v="3"/>
  </r>
  <r>
    <s v="South"/>
    <s v="PO2_South1"/>
    <s v="Đồng Tháp"/>
    <s v="Tiền Giang"/>
    <s v="TGMT79"/>
    <x v="499"/>
    <s v="Swap"/>
    <s v="Dual-band"/>
    <n v="3"/>
    <s v="New"/>
    <s v="PS mới 5G C"/>
    <n v="106.3691"/>
    <n v="10.382999999999999"/>
    <s v="My Tho"/>
    <s v="Month 2"/>
    <s v="Swap_L18 + L21 + NR 2.6 32T"/>
    <s v="Outdoor"/>
    <s v="Swap_Month 2"/>
    <n v="48050"/>
    <x v="24"/>
    <m/>
    <e v="#N/A"/>
    <s v="CRAN"/>
    <x v="1"/>
    <n v="3"/>
  </r>
  <r>
    <s v="South"/>
    <s v="PO2_South1"/>
    <s v="Đồng Tháp"/>
    <s v="Tiền Giang"/>
    <s v="TGMT81"/>
    <x v="499"/>
    <s v="Swap"/>
    <s v="Single-Band"/>
    <n v="3"/>
    <m/>
    <m/>
    <n v="106.36732000000001"/>
    <n v="10.391590000000001"/>
    <s v="My Tho"/>
    <s v="Month 2"/>
    <s v="Swap_L18"/>
    <s v="Outdoor"/>
    <s v="Swap_Month 2"/>
    <n v="48050"/>
    <x v="24"/>
    <m/>
    <e v="#N/A"/>
    <s v="Macro"/>
    <x v="0"/>
    <n v="3"/>
  </r>
  <r>
    <s v="South"/>
    <s v="PO2_South1"/>
    <s v="Đồng Tháp"/>
    <s v="Tiền Giang"/>
    <s v="TGMT83"/>
    <x v="500"/>
    <s v="Swap"/>
    <s v="Single-Band"/>
    <n v="3"/>
    <s v="New"/>
    <s v="PS mới 5G B"/>
    <n v="106.3639"/>
    <n v="10.357355999999999"/>
    <s v="My Tho"/>
    <s v="Month 2"/>
    <s v="Swap_L18 + NR 2.6 64T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MT84"/>
    <x v="501"/>
    <s v="Swap"/>
    <s v="Single-Band"/>
    <n v="3"/>
    <m/>
    <m/>
    <n v="106.318"/>
    <n v="10.357633"/>
    <s v="My Tho"/>
    <n v="0"/>
    <s v="Swap_L18"/>
    <s v="Outdoor"/>
    <s v="Swap_0"/>
    <n v="48050"/>
    <x v="36"/>
    <m/>
    <e v="#N/A"/>
    <s v="Macro"/>
    <x v="2"/>
    <n v="1"/>
  </r>
  <r>
    <s v="South"/>
    <s v="PO2_South1"/>
    <s v="Đồng Tháp"/>
    <s v="Tiền Giang"/>
    <s v="TGMTP2"/>
    <x v="502"/>
    <s v="Swap"/>
    <s v="Dual-band"/>
    <n v="3"/>
    <s v="New"/>
    <s v="PS mới 5G A"/>
    <n v="106.3831"/>
    <n v="10.355499999999999"/>
    <s v="My Tho"/>
    <s v="Month 2"/>
    <s v="Swap_L18 + L21 + NR 2.6 32T"/>
    <s v="Outdoor"/>
    <s v="Swap_Month 2"/>
    <n v="48050"/>
    <x v="44"/>
    <m/>
    <e v="#N/A"/>
    <s v="Macro"/>
    <x v="2"/>
    <n v="1"/>
  </r>
  <r>
    <s v="South"/>
    <s v="PO2_South1"/>
    <s v="Đồng Tháp"/>
    <s v="Tiền Giang"/>
    <s v="TGTD01"/>
    <x v="503"/>
    <s v="Swap"/>
    <s v="Single-Band"/>
    <n v="3"/>
    <m/>
    <m/>
    <n v="106.69601"/>
    <n v="10.24699"/>
    <s v="Tan Phu Dong"/>
    <n v="0"/>
    <s v="Swap_L18 + NR 7 + L9"/>
    <s v="Outdoor"/>
    <s v="Swap_0"/>
    <n v="48060"/>
    <x v="46"/>
    <m/>
    <e v="#N/A"/>
    <s v="Macro"/>
    <x v="2"/>
    <n v="1"/>
  </r>
  <r>
    <s v="South"/>
    <s v="PO2_South1"/>
    <s v="Đồng Tháp"/>
    <s v="Tiền Giang"/>
    <s v="TGTD02"/>
    <x v="504"/>
    <s v="Swap"/>
    <s v="Dual-band"/>
    <n v="3"/>
    <s v="New"/>
    <s v="PS mới 5G C"/>
    <n v="106.65522"/>
    <n v="10.26998"/>
    <s v="Tan Phu Dong"/>
    <n v="0"/>
    <s v="Swap_L18 + L21 + NR 2.6 32T"/>
    <s v="Outdoor"/>
    <s v="Swap_0"/>
    <n v="48060"/>
    <x v="46"/>
    <m/>
    <e v="#N/A"/>
    <s v="Macro"/>
    <x v="2"/>
    <n v="1"/>
  </r>
  <r>
    <s v="South"/>
    <s v="PO2_South1"/>
    <s v="Đồng Tháp"/>
    <s v="Tiền Giang"/>
    <s v="TGTD03"/>
    <x v="505"/>
    <s v="Swap"/>
    <s v="Single-Band"/>
    <n v="3"/>
    <m/>
    <m/>
    <n v="106.74205000000001"/>
    <n v="10.23211"/>
    <s v="Tan Phu Dong"/>
    <n v="0"/>
    <s v="Swap_L18"/>
    <s v="Outdoor"/>
    <s v="Swap_0"/>
    <n v="48060"/>
    <x v="46"/>
    <m/>
    <e v="#N/A"/>
    <s v="Macro"/>
    <x v="0"/>
    <n v="2"/>
  </r>
  <r>
    <s v="South"/>
    <s v="PO2_South1"/>
    <s v="Đồng Tháp"/>
    <s v="Tiền Giang"/>
    <s v="TGTD10"/>
    <x v="505"/>
    <s v="Swap"/>
    <s v="Single-Band"/>
    <n v="3"/>
    <m/>
    <m/>
    <n v="106.77271"/>
    <n v="10.220890000000001"/>
    <s v="Tan Phu Dong"/>
    <n v="0"/>
    <s v="Swap_L18"/>
    <s v="Outdoor"/>
    <s v="Swap_0"/>
    <n v="48060"/>
    <x v="46"/>
    <m/>
    <s v="OK"/>
    <s v="CRAN"/>
    <x v="1"/>
    <n v="2"/>
  </r>
  <r>
    <s v="South"/>
    <s v="PO2_South1"/>
    <s v="Đồng Tháp"/>
    <s v="Tiền Giang"/>
    <s v="TGTD04"/>
    <x v="506"/>
    <s v="Swap"/>
    <s v="Single-Band"/>
    <n v="3"/>
    <m/>
    <m/>
    <n v="106.49135"/>
    <n v="10.301450000000001"/>
    <s v="Tan Phu Dong"/>
    <n v="0"/>
    <s v="Swap_L18"/>
    <s v="Outdoor"/>
    <s v="Swap_0"/>
    <n v="48060"/>
    <x v="46"/>
    <m/>
    <e v="#N/A"/>
    <s v="Macro"/>
    <x v="0"/>
    <n v="2"/>
  </r>
  <r>
    <s v="South"/>
    <s v="PO2_South1"/>
    <s v="Đồng Tháp"/>
    <s v="Tiền Giang"/>
    <s v="TGTD16"/>
    <x v="506"/>
    <s v="Swap"/>
    <s v="Single-Band"/>
    <n v="3"/>
    <m/>
    <m/>
    <n v="106.50671"/>
    <n v="10.29524"/>
    <s v="Tan Phu Dong"/>
    <n v="0"/>
    <s v="Swap_L18"/>
    <s v="Outdoor"/>
    <s v="Swap_0"/>
    <n v="48060"/>
    <x v="46"/>
    <m/>
    <s v="OK"/>
    <s v="CRAN"/>
    <x v="1"/>
    <n v="2"/>
  </r>
  <r>
    <s v="South"/>
    <s v="PO2_South1"/>
    <s v="Đồng Tháp"/>
    <s v="Tiền Giang"/>
    <s v="TGTD05"/>
    <x v="507"/>
    <s v="Swap"/>
    <s v="Single-Band"/>
    <n v="3"/>
    <m/>
    <m/>
    <n v="106.69088000000001"/>
    <n v="10.2697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D06"/>
    <x v="508"/>
    <s v="Swap"/>
    <s v="Single-Band"/>
    <n v="3"/>
    <m/>
    <m/>
    <n v="106.60311179999999"/>
    <n v="10.279422200000001"/>
    <s v="Tan Phu Dong"/>
    <n v="0"/>
    <s v="Swap_L18 + NR 2.6 32T"/>
    <s v="Outdoor"/>
    <s v="Swap_0"/>
    <n v="48060"/>
    <x v="46"/>
    <m/>
    <e v="#N/A"/>
    <s v="Macro"/>
    <x v="0"/>
    <n v="2"/>
  </r>
  <r>
    <s v="South"/>
    <s v="PO2_South1"/>
    <s v="Đồng Tháp"/>
    <s v="Tiền Giang"/>
    <s v="TGTD18"/>
    <x v="508"/>
    <s v="Swap"/>
    <s v="Single-Band"/>
    <n v="3"/>
    <m/>
    <m/>
    <n v="106.58343619999999"/>
    <n v="10.2795047"/>
    <s v="Tan Phu Dong"/>
    <n v="0"/>
    <s v="Swap_L18"/>
    <s v="Outdoor"/>
    <s v="Swap_0"/>
    <n v="48060"/>
    <x v="46"/>
    <m/>
    <e v="#N/A"/>
    <s v="CRAN"/>
    <x v="1"/>
    <n v="2"/>
  </r>
  <r>
    <s v="South"/>
    <s v="PO2_South1"/>
    <s v="Đồng Tháp"/>
    <s v="Tiền Giang"/>
    <s v="TGTD07"/>
    <x v="509"/>
    <s v="Swap"/>
    <s v="Single-Band"/>
    <n v="3"/>
    <m/>
    <m/>
    <n v="106.5636361"/>
    <n v="10.279499400000001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D08"/>
    <x v="510"/>
    <s v="Swap"/>
    <s v="Single-Band"/>
    <n v="3"/>
    <m/>
    <m/>
    <n v="106.71995"/>
    <n v="10.23563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D09"/>
    <x v="511"/>
    <s v="Swap"/>
    <s v="Single-Band"/>
    <n v="3"/>
    <m/>
    <m/>
    <n v="106.63009839999999"/>
    <n v="10.269866199999999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D11"/>
    <x v="512"/>
    <s v="Swap"/>
    <s v="Single-Band"/>
    <n v="3"/>
    <m/>
    <m/>
    <n v="106.59549"/>
    <n v="10.261279999999999"/>
    <s v="Tan Phu Dong"/>
    <n v="0"/>
    <s v="Swap_L18"/>
    <s v="Outdoor"/>
    <s v="Swap_0"/>
    <n v="48060"/>
    <x v="46"/>
    <m/>
    <e v="#N/A"/>
    <s v="Macro"/>
    <x v="0"/>
    <n v="3"/>
  </r>
  <r>
    <s v="South"/>
    <s v="PO2_South1"/>
    <s v="Đồng Tháp"/>
    <s v="Tiền Giang"/>
    <s v="TGTD21"/>
    <x v="512"/>
    <s v="Swap"/>
    <s v="Single-Band"/>
    <n v="3"/>
    <m/>
    <m/>
    <n v="106.5475"/>
    <n v="10.273300000000001"/>
    <s v="Tan Phu Dong"/>
    <n v="0"/>
    <s v="Swap_L18"/>
    <s v="Outdoor"/>
    <s v="Swap_0"/>
    <n v="48060"/>
    <x v="46"/>
    <m/>
    <e v="#N/A"/>
    <s v="CRAN"/>
    <x v="1"/>
    <n v="3"/>
  </r>
  <r>
    <s v="South"/>
    <s v="PO2_South1"/>
    <s v="Đồng Tháp"/>
    <s v="Tiền Giang"/>
    <s v="TGTD15"/>
    <x v="512"/>
    <s v="Swap"/>
    <s v="Single-Band"/>
    <n v="3"/>
    <m/>
    <m/>
    <n v="106.6405024"/>
    <n v="10.255556"/>
    <s v="Tan Phu Dong"/>
    <n v="0"/>
    <s v="Swap_L18"/>
    <s v="Outdoor"/>
    <s v="Swap_0"/>
    <n v="48060"/>
    <x v="46"/>
    <m/>
    <s v="OK"/>
    <s v="CRAN"/>
    <x v="1"/>
    <n v="3"/>
  </r>
  <r>
    <s v="South"/>
    <s v="PO2_South1"/>
    <s v="Đồng Tháp"/>
    <s v="Tiền Giang"/>
    <s v="TGTD12"/>
    <x v="513"/>
    <s v="Swap"/>
    <s v="Single-Band"/>
    <n v="3"/>
    <m/>
    <m/>
    <n v="106.5266208"/>
    <n v="10.2853233"/>
    <s v="Tan Phu Dong"/>
    <n v="0"/>
    <s v="Swap_L18 + NR 2.6 32T"/>
    <s v="Outdoor"/>
    <s v="Swap_0"/>
    <n v="48060"/>
    <x v="46"/>
    <m/>
    <e v="#N/A"/>
    <s v="Macro"/>
    <x v="2"/>
    <n v="1"/>
  </r>
  <r>
    <s v="South"/>
    <s v="PO2_South1"/>
    <s v="Đồng Tháp"/>
    <s v="Tiền Giang"/>
    <s v="TGTD13"/>
    <x v="514"/>
    <s v="Swap"/>
    <s v="Single-Band"/>
    <n v="3"/>
    <m/>
    <m/>
    <n v="106.7391411"/>
    <n v="10.257970500000001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D17"/>
    <x v="515"/>
    <s v="Swap"/>
    <s v="Dual-band"/>
    <n v="3"/>
    <m/>
    <m/>
    <n v="106.67286129999999"/>
    <n v="10.262041200000001"/>
    <s v="Tan Phu Dong"/>
    <n v="0"/>
    <s v="Swap_L18 + L21"/>
    <s v="Outdoor"/>
    <s v="Swap_0"/>
    <n v="48060"/>
    <x v="46"/>
    <m/>
    <e v="#N/A"/>
    <s v="Macro"/>
    <x v="2"/>
    <n v="1"/>
  </r>
  <r>
    <s v="South"/>
    <s v="PO2_South1"/>
    <s v="Đồng Tháp"/>
    <s v="Tiền Giang"/>
    <s v="TGTD19"/>
    <x v="516"/>
    <s v="Swap"/>
    <s v="Single-Band"/>
    <n v="3"/>
    <m/>
    <m/>
    <n v="106.5448"/>
    <n v="10.2843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D24"/>
    <x v="517"/>
    <s v="Swap"/>
    <s v="Single-Band"/>
    <n v="3"/>
    <m/>
    <m/>
    <n v="106.679829"/>
    <n v="10.281117999999999"/>
    <s v="Tan Phu Dong"/>
    <n v="0"/>
    <s v="Swap_L18"/>
    <s v="Outdoor"/>
    <s v="Swap_0"/>
    <n v="48060"/>
    <x v="46"/>
    <m/>
    <e v="#N/A"/>
    <s v="Macro"/>
    <x v="2"/>
    <n v="1"/>
  </r>
  <r>
    <s v="South"/>
    <s v="PO2_South1"/>
    <s v="Đồng Tháp"/>
    <s v="Tiền Giang"/>
    <s v="TGTP01"/>
    <x v="518"/>
    <s v="Swap"/>
    <s v="Dual-band"/>
    <n v="4"/>
    <s v="New"/>
    <s v="PS mới 5G C"/>
    <n v="106.1962"/>
    <n v="10.47369"/>
    <s v="Tan Phuoc"/>
    <n v="0"/>
    <s v="Swap_L18 + L21 + NR 2.6 32T"/>
    <s v="Outdoor"/>
    <s v="Swap_0"/>
    <n v="48070"/>
    <x v="30"/>
    <m/>
    <e v="#N/A"/>
    <s v="Macro"/>
    <x v="2"/>
    <n v="1"/>
  </r>
  <r>
    <s v="South"/>
    <s v="PO2_South1"/>
    <s v="Đồng Tháp"/>
    <s v="Tiền Giang"/>
    <s v="TGTP02"/>
    <x v="519"/>
    <s v="Swap"/>
    <s v="Single-Band"/>
    <n v="3"/>
    <s v="New"/>
    <s v="PS mới 5G C"/>
    <n v="106.33076"/>
    <n v="10.54138"/>
    <s v="Tan Phuoc"/>
    <n v="0"/>
    <s v="Swap_L18 + NR 2.6 32T"/>
    <s v="Outdoor"/>
    <s v="Swap_0"/>
    <n v="48070"/>
    <x v="30"/>
    <m/>
    <e v="#N/A"/>
    <s v="Macro"/>
    <x v="2"/>
    <n v="1"/>
  </r>
  <r>
    <s v="South"/>
    <s v="PO2_South1"/>
    <s v="Đồng Tháp"/>
    <s v="Tiền Giang"/>
    <s v="TGTP03"/>
    <x v="520"/>
    <s v="Swap"/>
    <s v="Single-Band"/>
    <n v="3"/>
    <m/>
    <m/>
    <n v="106.23900999999999"/>
    <n v="10.495039999999999"/>
    <s v="Tan Phuoc"/>
    <n v="0"/>
    <s v="Swap_L18"/>
    <s v="Outdoor"/>
    <s v="Swap_0"/>
    <n v="48070"/>
    <x v="30"/>
    <m/>
    <e v="#N/A"/>
    <s v="Macro"/>
    <x v="2"/>
    <n v="1"/>
  </r>
  <r>
    <s v="South"/>
    <s v="PO2_South1"/>
    <s v="Đồng Tháp"/>
    <s v="Tiền Giang"/>
    <s v="TGTP04"/>
    <x v="521"/>
    <s v="Swap"/>
    <s v="Single-Band"/>
    <n v="3"/>
    <s v="New"/>
    <s v="PS mới 5G C"/>
    <n v="106.33712"/>
    <n v="10.534750000000001"/>
    <s v="Tan Phuoc"/>
    <n v="0"/>
    <s v="Swap_L18 + NR 2.6 32T"/>
    <s v="Outdoor"/>
    <s v="Swap_0"/>
    <n v="48070"/>
    <x v="30"/>
    <m/>
    <e v="#N/A"/>
    <s v="Macro"/>
    <x v="0"/>
    <n v="3"/>
  </r>
  <r>
    <s v="South"/>
    <s v="PO2_South1"/>
    <s v="Đồng Tháp"/>
    <s v="Tiền Giang"/>
    <s v="TGTP45"/>
    <x v="521"/>
    <s v="Swap"/>
    <s v="Single-Band"/>
    <n v="3"/>
    <m/>
    <m/>
    <n v="106.32594"/>
    <n v="10.52181"/>
    <s v="Tan Phuoc"/>
    <n v="0"/>
    <s v="Swap_L18"/>
    <s v="Outdoor"/>
    <s v="Swap_0"/>
    <n v="48070"/>
    <x v="30"/>
    <m/>
    <e v="#N/A"/>
    <s v="CRAN"/>
    <x v="1"/>
    <n v="3"/>
  </r>
  <r>
    <s v="South"/>
    <s v="PO2_South1"/>
    <s v="Đồng Tháp"/>
    <s v="Tiền Giang"/>
    <s v="TGTP46"/>
    <x v="521"/>
    <s v="Swap"/>
    <s v="Single-Band"/>
    <n v="3"/>
    <m/>
    <m/>
    <n v="106.31619999999999"/>
    <n v="10.5572"/>
    <s v="Tan Phuoc"/>
    <n v="0"/>
    <s v="Swap_L18"/>
    <s v="Outdoor"/>
    <s v="Swap_0"/>
    <n v="48070"/>
    <x v="30"/>
    <m/>
    <e v="#N/A"/>
    <s v="CRAN"/>
    <x v="1"/>
    <n v="3"/>
  </r>
  <r>
    <s v="South"/>
    <s v="PO2_South1"/>
    <s v="Đồng Tháp"/>
    <s v="Tiền Giang"/>
    <s v="TGTP05"/>
    <x v="522"/>
    <s v="Swap"/>
    <s v="Dual-band"/>
    <n v="3"/>
    <s v="New"/>
    <s v="PS mới 5G C"/>
    <n v="106.29640000000001"/>
    <n v="10.458640000000001"/>
    <s v="Tan Phuoc"/>
    <n v="0"/>
    <s v="Swap_L18 + L21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06"/>
    <x v="523"/>
    <s v="Swap"/>
    <s v="Single-Band"/>
    <n v="3"/>
    <m/>
    <m/>
    <n v="106.23338"/>
    <n v="10.44759"/>
    <s v="Tan Phuoc"/>
    <n v="0"/>
    <s v="Swap_L18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08"/>
    <x v="524"/>
    <s v="Swap"/>
    <s v="Single-Band"/>
    <n v="3"/>
    <m/>
    <m/>
    <n v="106.1970061"/>
    <n v="10.579753699999999"/>
    <s v="Tan Phuoc"/>
    <n v="0"/>
    <s v="Swap_L18 + NR 7 + L9"/>
    <s v="Outdoor"/>
    <s v="Swap_0"/>
    <n v="48070"/>
    <x v="30"/>
    <m/>
    <e v="#N/A"/>
    <s v="Macro"/>
    <x v="2"/>
    <n v="1"/>
  </r>
  <r>
    <s v="South"/>
    <s v="PO2_South1"/>
    <s v="Đồng Tháp"/>
    <s v="Tiền Giang"/>
    <s v="TGTP09"/>
    <x v="525"/>
    <s v="Swap"/>
    <s v="Single-Band"/>
    <n v="4"/>
    <m/>
    <m/>
    <n v="106.291"/>
    <n v="10.489240000000001"/>
    <s v="Tan Phuoc"/>
    <n v="0"/>
    <s v="Swap_L18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10"/>
    <x v="526"/>
    <s v="Swap"/>
    <s v="Single-Band"/>
    <n v="3"/>
    <m/>
    <m/>
    <n v="106.26244"/>
    <n v="10.456939999999999"/>
    <s v="Tan Phuoc"/>
    <n v="0"/>
    <s v="Swap_L18"/>
    <s v="Outdoor"/>
    <s v="Swap_0"/>
    <n v="48070"/>
    <x v="34"/>
    <m/>
    <e v="#N/A"/>
    <s v="Macro"/>
    <x v="0"/>
    <n v="2"/>
  </r>
  <r>
    <s v="South"/>
    <s v="PO2_South1"/>
    <s v="Đồng Tháp"/>
    <s v="Tiền Giang"/>
    <s v="TGTP44"/>
    <x v="526"/>
    <s v="Swap"/>
    <s v="Single-Band"/>
    <n v="3"/>
    <m/>
    <m/>
    <n v="106.279014"/>
    <n v="10.447687999999999"/>
    <s v="Tan Phuoc"/>
    <n v="0"/>
    <s v="Swap_L18"/>
    <s v="Outdoor"/>
    <s v="Swap_0"/>
    <n v="48070"/>
    <x v="34"/>
    <m/>
    <s v="OK"/>
    <s v="CRAN"/>
    <x v="1"/>
    <n v="2"/>
  </r>
  <r>
    <s v="South"/>
    <s v="PO2_South1"/>
    <s v="Đồng Tháp"/>
    <s v="Tiền Giang"/>
    <s v="TGTP11"/>
    <x v="527"/>
    <s v="Swap"/>
    <s v="Single-Band"/>
    <n v="3"/>
    <s v="New"/>
    <s v="PS mới 5G C"/>
    <n v="106.28740000000001"/>
    <n v="10.52112"/>
    <s v="Tan Phuoc"/>
    <n v="0"/>
    <s v="Swap_L18 + NR 2.6 32T"/>
    <s v="Outdoor"/>
    <s v="Swap_0"/>
    <n v="48070"/>
    <x v="30"/>
    <m/>
    <e v="#N/A"/>
    <s v="Macro"/>
    <x v="2"/>
    <n v="1"/>
  </r>
  <r>
    <s v="South"/>
    <s v="PO2_South1"/>
    <s v="Đồng Tháp"/>
    <s v="Tiền Giang"/>
    <s v="TGTP12"/>
    <x v="528"/>
    <s v="Swap"/>
    <s v="Single-Band"/>
    <n v="3"/>
    <m/>
    <m/>
    <n v="106.2528367"/>
    <n v="10.5458728"/>
    <s v="Tan Phuoc"/>
    <n v="0"/>
    <s v="Swap_L18"/>
    <s v="Outdoor"/>
    <s v="Swap_0"/>
    <n v="48070"/>
    <x v="30"/>
    <m/>
    <e v="#N/A"/>
    <s v="Macro"/>
    <x v="2"/>
    <n v="1"/>
  </r>
  <r>
    <s v="South"/>
    <s v="PO2_South1"/>
    <s v="Đồng Tháp"/>
    <s v="Tiền Giang"/>
    <s v="TGTP13"/>
    <x v="529"/>
    <s v="Swap"/>
    <s v="Single-Band"/>
    <n v="3"/>
    <m/>
    <m/>
    <n v="106.32167"/>
    <n v="10.503819999999999"/>
    <s v="Tan Phuoc"/>
    <n v="0"/>
    <s v="Swap_L18"/>
    <s v="Outdoor"/>
    <s v="Swap_0"/>
    <n v="48070"/>
    <x v="34"/>
    <m/>
    <e v="#N/A"/>
    <s v="Macro"/>
    <x v="2"/>
    <n v="1"/>
  </r>
  <r>
    <s v="South"/>
    <s v="PO2_South1"/>
    <s v="Đồng Tháp"/>
    <s v="Tiền Giang"/>
    <s v="TGTP15"/>
    <x v="530"/>
    <s v="Swap"/>
    <s v="Single-Band"/>
    <n v="3"/>
    <m/>
    <m/>
    <n v="106.1940791"/>
    <n v="10.503965000000001"/>
    <s v="Tan Phuoc"/>
    <n v="0"/>
    <s v="Swap_L18"/>
    <s v="Outdoor"/>
    <s v="Swap_0"/>
    <n v="48070"/>
    <x v="30"/>
    <m/>
    <e v="#N/A"/>
    <s v="Macro"/>
    <x v="2"/>
    <n v="1"/>
  </r>
  <r>
    <s v="South"/>
    <s v="PO2_South1"/>
    <s v="Đồng Tháp"/>
    <s v="Tiền Giang"/>
    <s v="TGTP16"/>
    <x v="531"/>
    <s v="Swap"/>
    <s v="Single-Band"/>
    <n v="3"/>
    <m/>
    <m/>
    <n v="106.14979"/>
    <n v="10.485519999999999"/>
    <s v="Tan Phuoc"/>
    <n v="0"/>
    <s v="Swap_L18 + NR 7 + L9"/>
    <s v="Outdoor"/>
    <s v="Swap_0"/>
    <n v="48070"/>
    <x v="30"/>
    <m/>
    <e v="#N/A"/>
    <s v="Macro"/>
    <x v="2"/>
    <n v="1"/>
  </r>
  <r>
    <s v="South"/>
    <s v="PO2_South1"/>
    <s v="Đồng Tháp"/>
    <s v="Tiền Giang"/>
    <s v="TGTP17"/>
    <x v="532"/>
    <s v="Swap"/>
    <s v="Single-Band"/>
    <n v="3"/>
    <m/>
    <m/>
    <n v="106.30959"/>
    <n v="10.531739999999999"/>
    <s v="Tan Phuoc"/>
    <n v="0"/>
    <s v="Swap_L18 + NR 7 + L9"/>
    <s v="Outdoor"/>
    <s v="Swap_0"/>
    <n v="48070"/>
    <x v="30"/>
    <m/>
    <e v="#N/A"/>
    <s v="Macro"/>
    <x v="2"/>
    <n v="1"/>
  </r>
  <r>
    <s v="South"/>
    <s v="PO2_South1"/>
    <s v="Đồng Tháp"/>
    <s v="Tiền Giang"/>
    <s v="TGTP18"/>
    <x v="533"/>
    <s v="Swap"/>
    <s v="Single-Band"/>
    <n v="3"/>
    <m/>
    <m/>
    <n v="106.19741"/>
    <n v="10.55251"/>
    <s v="Tan Phuoc"/>
    <n v="0"/>
    <s v="Swap_L18"/>
    <s v="Outdoor"/>
    <s v="Swap_0"/>
    <n v="48070"/>
    <x v="30"/>
    <m/>
    <e v="#N/A"/>
    <s v="Macro"/>
    <x v="2"/>
    <n v="1"/>
  </r>
  <r>
    <s v="South"/>
    <s v="PO2_South1"/>
    <s v="Đồng Tháp"/>
    <s v="Tiền Giang"/>
    <s v="TGTP07"/>
    <x v="534"/>
    <s v="Swap"/>
    <s v="Single-Band"/>
    <n v="3"/>
    <m/>
    <m/>
    <n v="106.1981943"/>
    <n v="10.5274126"/>
    <s v="Tan Phuoc"/>
    <n v="0"/>
    <s v="Swap_L18"/>
    <s v="Outdoor"/>
    <s v="Swap_0"/>
    <n v="48070"/>
    <x v="30"/>
    <m/>
    <e v="#N/A"/>
    <s v="CRAN"/>
    <x v="1"/>
    <n v="3"/>
  </r>
  <r>
    <s v="South"/>
    <s v="PO2_South1"/>
    <s v="Đồng Tháp"/>
    <s v="Tiền Giang"/>
    <s v="TGTP19"/>
    <x v="534"/>
    <s v="Swap"/>
    <s v="Single-Band"/>
    <n v="3"/>
    <s v="New"/>
    <s v="PS mới 5G C"/>
    <n v="106.19352000000001"/>
    <n v="10.48279"/>
    <s v="Tan Phuoc"/>
    <n v="0"/>
    <s v="Swap_L18 + NR 2.6 32T"/>
    <s v="Outdoor"/>
    <s v="Swap_0"/>
    <n v="48070"/>
    <x v="30"/>
    <m/>
    <e v="#N/A"/>
    <s v="Macro"/>
    <x v="0"/>
    <n v="3"/>
  </r>
  <r>
    <s v="South"/>
    <s v="PO2_South1"/>
    <s v="Dong Thap"/>
    <s v="Tiền Giang"/>
    <s v="DTPTP112"/>
    <x v="534"/>
    <s v="Swap"/>
    <s v="Dual-band"/>
    <n v="2"/>
    <m/>
    <m/>
    <n v="106.20269999999999"/>
    <n v="10.48757"/>
    <s v="Tân Phước"/>
    <n v="0"/>
    <s v="Swap 4G Only"/>
    <m/>
    <m/>
    <e v="#N/A"/>
    <x v="30"/>
    <m/>
    <e v="#N/A"/>
    <s v="CRAN"/>
    <x v="1"/>
    <n v="3"/>
  </r>
  <r>
    <s v="South"/>
    <s v="PO2_South1"/>
    <s v="Đồng Tháp"/>
    <s v="Tiền Giang"/>
    <s v="TGTP20"/>
    <x v="535"/>
    <s v="Swap"/>
    <s v="Dual-band"/>
    <n v="4"/>
    <s v="New"/>
    <s v="PS mới 5G C"/>
    <n v="106.31976"/>
    <n v="10.45086"/>
    <s v="Tan Phuoc"/>
    <n v="0"/>
    <s v="Swap_L18 + L21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21"/>
    <x v="536"/>
    <s v="Swap"/>
    <s v="Single-Band"/>
    <n v="3"/>
    <m/>
    <m/>
    <n v="106.15141269999999"/>
    <n v="10.5502748"/>
    <s v="Tan Phuoc"/>
    <n v="0"/>
    <s v="Swap_L18 + NR 7 + L9"/>
    <s v="Outdoor"/>
    <s v="Swap_0"/>
    <n v="48070"/>
    <x v="30"/>
    <m/>
    <e v="#N/A"/>
    <s v="Macro"/>
    <x v="2"/>
    <n v="1"/>
  </r>
  <r>
    <s v="South"/>
    <s v="PO2_South1"/>
    <s v="Dong Thap"/>
    <s v="Tiền Giang"/>
    <s v="DTPTP207"/>
    <x v="537"/>
    <s v="Swap"/>
    <s v="Dual-band"/>
    <n v="1"/>
    <m/>
    <m/>
    <n v="106.1052"/>
    <n v="10.524749999999999"/>
    <s v="Tân Phước"/>
    <n v="0"/>
    <s v="Swap 4G Only"/>
    <m/>
    <m/>
    <e v="#N/A"/>
    <x v="30"/>
    <m/>
    <e v="#N/A"/>
    <s v="CRAN"/>
    <x v="1"/>
    <n v="1"/>
  </r>
  <r>
    <s v="South"/>
    <s v="PO2_South1"/>
    <s v="Đồng Tháp"/>
    <s v="Tiền Giang"/>
    <s v="TGCTX2"/>
    <x v="538"/>
    <s v="Swap"/>
    <s v="Single-Band"/>
    <n v="3"/>
    <m/>
    <m/>
    <n v="106.20654999999999"/>
    <n v="10.44609"/>
    <s v="Chau Thanh"/>
    <n v="0"/>
    <s v="Swap_L18"/>
    <s v="Outdoor"/>
    <s v="Swap_0"/>
    <n v="48010"/>
    <x v="34"/>
    <m/>
    <e v="#N/A"/>
    <s v="CRAN"/>
    <x v="1"/>
    <n v="2"/>
  </r>
  <r>
    <s v="South"/>
    <s v="PO2_South1"/>
    <s v="Đồng Tháp"/>
    <s v="Tiền Giang"/>
    <s v="TGTP23"/>
    <x v="538"/>
    <s v="Swap"/>
    <s v="Single-Band"/>
    <n v="4"/>
    <m/>
    <m/>
    <n v="106.21716379999999"/>
    <n v="10.463243200000001"/>
    <s v="Tan Phuoc"/>
    <n v="0"/>
    <s v="Swap_L18"/>
    <s v="Outdoor"/>
    <s v="Swap_0"/>
    <n v="48070"/>
    <x v="34"/>
    <m/>
    <e v="#N/A"/>
    <s v="Macro"/>
    <x v="0"/>
    <n v="2"/>
  </r>
  <r>
    <s v="South"/>
    <s v="PO2_South1"/>
    <s v="Đồng Tháp"/>
    <s v="Tiền Giang"/>
    <s v="TGTP24"/>
    <x v="539"/>
    <s v="Swap"/>
    <s v="Dual-band"/>
    <n v="3"/>
    <s v="Swap"/>
    <s v="Swap (PS mới 5G A)"/>
    <n v="106.30813999999999"/>
    <n v="10.47667"/>
    <s v="Tan Phuoc"/>
    <n v="0"/>
    <s v="Swap_L18 + L21 + NR 2.6 64T + NR 3.8"/>
    <s v="Outdoor"/>
    <s v="Swap_0"/>
    <n v="48070"/>
    <x v="34"/>
    <m/>
    <e v="#N/A"/>
    <s v="Macro"/>
    <x v="0"/>
    <n v="2"/>
  </r>
  <r>
    <s v="South"/>
    <s v="PO2_South1"/>
    <s v="Đồng Tháp"/>
    <s v="Tiền Giang"/>
    <s v="TGTPX0"/>
    <x v="539"/>
    <s v="Swap"/>
    <s v="Dual-band"/>
    <n v="3"/>
    <s v="New"/>
    <s v="PS mới 5G C"/>
    <n v="106.31468"/>
    <n v="10.477130000000001"/>
    <s v="Tan Phuoc"/>
    <n v="0"/>
    <s v="Swap_L18 + L21 + NR 2.6 32T"/>
    <s v="Outdoor"/>
    <s v="Swap_0"/>
    <n v="48070"/>
    <x v="34"/>
    <m/>
    <e v="#N/A"/>
    <s v="CRAN"/>
    <x v="1"/>
    <n v="2"/>
  </r>
  <r>
    <s v="South"/>
    <s v="PO2_South1"/>
    <s v="Đồng Tháp"/>
    <s v="Tiền Giang"/>
    <s v="TGTP27"/>
    <x v="540"/>
    <s v="Swap"/>
    <s v="Dual-band"/>
    <n v="4"/>
    <s v="New"/>
    <s v="PS mới 5G C"/>
    <n v="106.3087"/>
    <n v="10.4712"/>
    <s v="Tan Phuoc"/>
    <n v="0"/>
    <s v="Swap_L18 + L21 + NR 2.6 32T"/>
    <s v="Outdoor"/>
    <s v="Swap_0"/>
    <n v="48070"/>
    <x v="34"/>
    <m/>
    <e v="#N/A"/>
    <s v="Macro"/>
    <x v="0"/>
    <n v="2"/>
  </r>
  <r>
    <s v="South"/>
    <s v="PO2_South1"/>
    <s v="Đồng Tháp"/>
    <s v="Tiền Giang"/>
    <s v="TGTP31"/>
    <x v="540"/>
    <s v="Swap"/>
    <s v="Dual-band"/>
    <n v="3"/>
    <s v="New"/>
    <s v="PS mới 5G C"/>
    <n v="106.30569010000001"/>
    <n v="10.4669398"/>
    <s v="Tan Phuoc"/>
    <n v="0"/>
    <s v="Swap_L18 + L21 + NR 2.6 32T"/>
    <s v="Outdoor"/>
    <s v="Swap_0"/>
    <n v="48070"/>
    <x v="34"/>
    <m/>
    <e v="#N/A"/>
    <s v="CRAN"/>
    <x v="1"/>
    <n v="2"/>
  </r>
  <r>
    <s v="South"/>
    <s v="PO2_South1"/>
    <s v="Đồng Tháp"/>
    <s v="Tiền Giang"/>
    <s v="TGTP28"/>
    <x v="541"/>
    <s v="Swap"/>
    <s v="Single-Band"/>
    <n v="3"/>
    <s v="New"/>
    <s v="PS mới 5G C"/>
    <n v="106.2154771"/>
    <n v="10.4881759"/>
    <s v="Tan Phuoc"/>
    <n v="0"/>
    <s v="Swap_L18 + NR 2.6 32T"/>
    <s v="Outdoor"/>
    <s v="Swap_0"/>
    <n v="48070"/>
    <x v="30"/>
    <m/>
    <e v="#N/A"/>
    <s v="Macro"/>
    <x v="2"/>
    <n v="1"/>
  </r>
  <r>
    <s v="South"/>
    <s v="PO2_South1"/>
    <s v="Đồng Tháp"/>
    <s v="Tiền Giang"/>
    <s v="TGTP29"/>
    <x v="542"/>
    <s v="Swap"/>
    <s v="Dual-band"/>
    <n v="3"/>
    <s v="New"/>
    <s v="PS mới 5G C"/>
    <n v="106.29464"/>
    <n v="10.47627"/>
    <s v="Tan Phuoc"/>
    <n v="0"/>
    <s v="Swap_L18 + L21 + NR 2.6 32T"/>
    <s v="Outdoor"/>
    <s v="Swap_0"/>
    <n v="48070"/>
    <x v="34"/>
    <m/>
    <e v="#N/A"/>
    <s v="Macro"/>
    <x v="0"/>
    <n v="2"/>
  </r>
  <r>
    <s v="South"/>
    <s v="PO2_South1"/>
    <s v="Đồng Tháp"/>
    <s v="Tiền Giang"/>
    <s v="TGTP49"/>
    <x v="542"/>
    <s v="Swap"/>
    <s v="Dual-band"/>
    <n v="3"/>
    <s v="New"/>
    <s v="PS mới 5G C"/>
    <n v="106.3087"/>
    <n v="10.4574"/>
    <s v="Tan Phuoc"/>
    <n v="0"/>
    <s v="Swap_L18 + L21 + NR 2.6 32T"/>
    <s v="Outdoor"/>
    <s v="Swap_0"/>
    <n v="48070"/>
    <x v="34"/>
    <m/>
    <e v="#N/A"/>
    <s v="CRAN"/>
    <x v="1"/>
    <n v="2"/>
  </r>
  <r>
    <s v="South"/>
    <s v="PO2_South1"/>
    <s v="Đồng Tháp"/>
    <s v="Tiền Giang"/>
    <s v="TGTP30"/>
    <x v="543"/>
    <s v="Swap"/>
    <s v="Single-Band"/>
    <n v="3"/>
    <m/>
    <m/>
    <n v="106.25944"/>
    <n v="10.50816"/>
    <s v="Tan Phuoc"/>
    <n v="0"/>
    <s v="Swap_L18"/>
    <s v="Outdoor"/>
    <s v="Swap_0"/>
    <n v="48070"/>
    <x v="30"/>
    <m/>
    <e v="#N/A"/>
    <s v="Macro"/>
    <x v="2"/>
    <n v="1"/>
  </r>
  <r>
    <s v="South"/>
    <s v="PO2_South1"/>
    <s v="Đồng Tháp"/>
    <s v="Tiền Giang"/>
    <s v="TGTP33"/>
    <x v="544"/>
    <s v="Swap"/>
    <s v="Single-Band"/>
    <n v="3"/>
    <m/>
    <m/>
    <n v="106.26439999999999"/>
    <n v="10.4373"/>
    <s v="Tan Phuoc"/>
    <n v="0"/>
    <s v="Swap_L18 + NR 7 + L9"/>
    <s v="Outdoor"/>
    <s v="Swap_0"/>
    <n v="48070"/>
    <x v="34"/>
    <m/>
    <e v="#N/A"/>
    <s v="Macro"/>
    <x v="2"/>
    <n v="1"/>
  </r>
  <r>
    <s v="South"/>
    <s v="PO2_South1"/>
    <s v="Đồng Tháp"/>
    <s v="Tiền Giang"/>
    <s v="TGTP34"/>
    <x v="545"/>
    <s v="Swap"/>
    <s v="Single-Band"/>
    <n v="4"/>
    <s v="Swap"/>
    <s v="Swap (PS mới 5G B)"/>
    <n v="106.31148"/>
    <n v="10.46264"/>
    <s v="Tan Phuoc"/>
    <n v="0"/>
    <s v="Swap_L18 + NR 2.6 64T + NR 3.8"/>
    <s v="Outdoor"/>
    <s v="Swap_0"/>
    <n v="48070"/>
    <x v="34"/>
    <m/>
    <e v="#N/A"/>
    <s v="Macro"/>
    <x v="2"/>
    <n v="1"/>
  </r>
  <r>
    <s v="South"/>
    <s v="PO2_South1"/>
    <s v="Đồng Tháp"/>
    <s v="Tiền Giang"/>
    <s v="TGTP35"/>
    <x v="546"/>
    <s v="Swap"/>
    <s v="Single-Band"/>
    <n v="3"/>
    <s v="New"/>
    <s v="PS mới 5G C"/>
    <n v="106.3183804"/>
    <n v="10.476016700000001"/>
    <s v="Tan Phuoc"/>
    <n v="0"/>
    <s v="Swap_L18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36"/>
    <x v="547"/>
    <s v="Swap"/>
    <s v="Dual-band"/>
    <n v="3"/>
    <s v="Swap"/>
    <s v="Swap (PS mới 5G A)"/>
    <n v="106.31808409999999"/>
    <n v="10.467079200000001"/>
    <s v="Tan Phuoc"/>
    <n v="0"/>
    <s v="Swap_L18 + L21 + NR 2.6 64T + NR 3.8"/>
    <s v="Outdoor"/>
    <s v="Swap_0"/>
    <n v="48070"/>
    <x v="34"/>
    <m/>
    <e v="#N/A"/>
    <s v="Macro"/>
    <x v="2"/>
    <n v="1"/>
  </r>
  <r>
    <s v="South"/>
    <s v="PO2_South1"/>
    <s v="Đồng Tháp"/>
    <s v="Tiền Giang"/>
    <s v="TGTP37"/>
    <x v="548"/>
    <s v="Swap"/>
    <s v="Single-Band"/>
    <n v="4"/>
    <s v="New"/>
    <s v="PS mới 5G C"/>
    <n v="106.31959999999999"/>
    <n v="10.472"/>
    <s v="Tan Phuoc"/>
    <n v="0"/>
    <s v="Swap_L18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38"/>
    <x v="549"/>
    <s v="Swap"/>
    <s v="Single-Band"/>
    <n v="4"/>
    <s v="New"/>
    <s v="PS mới 5G C"/>
    <n v="106.30338999999999"/>
    <n v="10.46227"/>
    <s v="Tan Phuoc"/>
    <n v="0"/>
    <s v="Swap_L18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39"/>
    <x v="550"/>
    <s v="Swap"/>
    <s v="Dual-band"/>
    <n v="3"/>
    <s v="New"/>
    <s v="PS mới 5G C"/>
    <n v="106.31898"/>
    <n v="10.46313"/>
    <s v="Tan Phuoc"/>
    <n v="0"/>
    <s v="Swap_L18 + L21 + NR 2.6 32T"/>
    <s v="Outdoor"/>
    <s v="Swap_0"/>
    <n v="48070"/>
    <x v="34"/>
    <m/>
    <e v="#N/A"/>
    <s v="Macro"/>
    <x v="2"/>
    <n v="1"/>
  </r>
  <r>
    <s v="South"/>
    <s v="PO2_South1"/>
    <s v="Đồng Tháp"/>
    <s v="Tiền Giang"/>
    <s v="TGTP40"/>
    <x v="551"/>
    <s v="Swap"/>
    <s v="Single-Band"/>
    <n v="3"/>
    <m/>
    <m/>
    <n v="106.2717"/>
    <n v="10.4856"/>
    <s v="Tan Phuoc"/>
    <n v="0"/>
    <s v="Swap_L18 + NR 7 + L9"/>
    <s v="Outdoor"/>
    <s v="Swap_0"/>
    <n v="48070"/>
    <x v="34"/>
    <m/>
    <e v="#N/A"/>
    <s v="Macro"/>
    <x v="2"/>
    <n v="1"/>
  </r>
  <r>
    <s v="South"/>
    <s v="PO2_South1"/>
    <s v="Đồng Tháp"/>
    <s v="Tiền Giang"/>
    <s v="TGTP14"/>
    <x v="552"/>
    <s v="Swap"/>
    <s v="Single-Band"/>
    <n v="3"/>
    <m/>
    <m/>
    <n v="106.26151"/>
    <n v="10.58412"/>
    <s v="Tan Phuoc"/>
    <n v="0"/>
    <s v="Swap_L18"/>
    <s v="Outdoor"/>
    <s v="Swap_0"/>
    <n v="48070"/>
    <x v="30"/>
    <m/>
    <e v="#N/A"/>
    <s v="CRAN"/>
    <x v="1"/>
    <n v="2"/>
  </r>
  <r>
    <s v="South"/>
    <s v="PO2_South1"/>
    <s v="Đồng Tháp"/>
    <s v="Tiền Giang"/>
    <s v="TGTP41"/>
    <x v="552"/>
    <s v="Swap"/>
    <s v="Single-Band"/>
    <n v="3"/>
    <m/>
    <m/>
    <n v="106.22836"/>
    <n v="10.58014"/>
    <s v="Tan Phuoc"/>
    <n v="0"/>
    <s v="Swap_L18"/>
    <s v="Outdoor"/>
    <s v="Swap_0"/>
    <n v="48070"/>
    <x v="30"/>
    <m/>
    <e v="#N/A"/>
    <s v="Macro"/>
    <x v="0"/>
    <n v="2"/>
  </r>
  <r>
    <s v="South"/>
    <s v="PO2_South1"/>
    <s v="Đồng Tháp"/>
    <s v="Tiền Giang"/>
    <s v="TGTP42"/>
    <x v="553"/>
    <s v="Swap"/>
    <s v="Single-Band"/>
    <n v="3"/>
    <m/>
    <m/>
    <n v="106.12833999999999"/>
    <n v="10.520770000000001"/>
    <s v="Tan Phuoc"/>
    <n v="0"/>
    <s v="Swap_L18"/>
    <s v="Outdoor"/>
    <s v="Swap_0"/>
    <n v="48070"/>
    <x v="30"/>
    <m/>
    <e v="#N/A"/>
    <s v="Macro"/>
    <x v="2"/>
    <n v="1"/>
  </r>
  <r>
    <s v="South"/>
    <s v="PO2_South1"/>
    <s v="Đồng Tháp"/>
    <s v="Tiền Giang"/>
    <s v="TGTP43"/>
    <x v="554"/>
    <s v="Swap"/>
    <s v="Dual-band"/>
    <n v="3"/>
    <m/>
    <m/>
    <n v="106.16503"/>
    <n v="10.5459"/>
    <s v="Tan Phuoc"/>
    <n v="0"/>
    <s v="Swap_L18 + L21"/>
    <s v="Outdoor"/>
    <s v="Swap_0"/>
    <n v="48070"/>
    <x v="30"/>
    <m/>
    <e v="#N/A"/>
    <s v="Macro"/>
    <x v="2"/>
    <n v="1"/>
  </r>
  <r>
    <s v="South"/>
    <s v="PO2_South1"/>
    <s v="Đồng Tháp"/>
    <s v="Tiền Giang"/>
    <s v="TGTP47"/>
    <x v="555"/>
    <s v="Swap"/>
    <s v="Single-Band"/>
    <n v="3"/>
    <m/>
    <m/>
    <n v="106.24442999999999"/>
    <n v="10.46733"/>
    <s v="Tan Phuoc"/>
    <n v="0"/>
    <s v="Swap_L18"/>
    <s v="Outdoor"/>
    <s v="Swap_0"/>
    <n v="48070"/>
    <x v="34"/>
    <m/>
    <e v="#N/A"/>
    <s v="Macro"/>
    <x v="2"/>
    <n v="1"/>
  </r>
  <r>
    <s v="South"/>
    <s v="PO2_South1"/>
    <s v="Đồng Tháp"/>
    <s v="Tiền Giang"/>
    <s v="TGTP48"/>
    <x v="556"/>
    <s v="Swap"/>
    <s v="Single-Band"/>
    <n v="3"/>
    <m/>
    <m/>
    <n v="106.12367"/>
    <n v="10.551443000000001"/>
    <s v="Tan Phuoc"/>
    <n v="0"/>
    <s v="Swap_L18"/>
    <s v="Outdoor"/>
    <s v="Swap_0"/>
    <n v="48070"/>
    <x v="30"/>
    <m/>
    <e v="#N/A"/>
    <s v="Macro"/>
    <x v="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7">
  <r>
    <s v="Kiên Giang"/>
    <s v="KGPQ01"/>
    <s v="KGPQ01"/>
    <s v="Swap"/>
    <s v="Dual-band"/>
    <n v="4"/>
    <s v="Swap"/>
    <s v="Swap (PS mới 5G A)"/>
    <n v="103.9598"/>
    <n v="10.215299999999999"/>
    <s v="Phu Quoc"/>
    <n v="0"/>
    <s v="Swap_L18 + L21 + NR 2.6 64T + NR 3.8"/>
    <s v="Outdoor"/>
    <s v="Swap_0"/>
    <x v="0"/>
    <x v="0"/>
    <m/>
    <e v="#N/A"/>
    <s v="Macro"/>
    <s v="Master"/>
    <n v="2"/>
  </r>
  <r>
    <s v="Kiên Giang"/>
    <s v="KGPQL0"/>
    <s v="KGPQ01"/>
    <s v="Swap"/>
    <s v="Dual-band"/>
    <n v="3"/>
    <m/>
    <m/>
    <n v="103.958226"/>
    <n v="10.217047000000001"/>
    <s v="Phu Quoc"/>
    <n v="0"/>
    <s v="Swap_L18 + L21"/>
    <s v="Outdoor"/>
    <s v="Swap_0"/>
    <x v="0"/>
    <x v="0"/>
    <m/>
    <e v="#N/A"/>
    <s v="CRAN"/>
    <s v="Sub"/>
    <n v="2"/>
  </r>
  <r>
    <s v="Kiên Giang"/>
    <s v="KGPQ02"/>
    <s v="KGPQ02"/>
    <s v="Swap"/>
    <s v="Dual-band"/>
    <n v="3"/>
    <s v="New"/>
    <s v="PS mới 5G C"/>
    <n v="103.96289400000001"/>
    <n v="10.206023"/>
    <s v="Phu Quoc"/>
    <n v="0"/>
    <s v="Swap_L18 + L21 + NR 2.6 32T"/>
    <s v="Outdoor"/>
    <s v="Swap_0"/>
    <x v="0"/>
    <x v="1"/>
    <m/>
    <e v="#N/A"/>
    <s v="Macro"/>
    <s v="Master"/>
    <n v="3"/>
  </r>
  <r>
    <s v="Kiên Giang"/>
    <s v="KGPQ65"/>
    <s v="KGPQ02"/>
    <s v="Swap"/>
    <s v="Dual-band"/>
    <n v="3"/>
    <m/>
    <m/>
    <n v="103.962126"/>
    <n v="10.204143"/>
    <s v="Phu Quoc"/>
    <n v="0"/>
    <s v="Swap_L18 + L21 + NR 7 + L9"/>
    <s v="Outdoor"/>
    <s v="Swap_0"/>
    <x v="0"/>
    <x v="1"/>
    <m/>
    <e v="#N/A"/>
    <s v="CRAN"/>
    <s v="Sub"/>
    <n v="3"/>
  </r>
  <r>
    <s v="Kiên Giang"/>
    <s v="KGPQA6"/>
    <s v="KGPQ02"/>
    <s v="Swap"/>
    <s v="Dual-band"/>
    <n v="3"/>
    <s v="New"/>
    <s v="PS mới 5G C"/>
    <n v="103.964916"/>
    <n v="10.20051"/>
    <s v="Phu Quoc"/>
    <n v="0"/>
    <s v="Swap_L18 + L21 + NR 2.6 32T"/>
    <s v="Outdoor"/>
    <s v="Swap_0"/>
    <x v="0"/>
    <x v="1"/>
    <m/>
    <e v="#N/A"/>
    <s v="CRAN"/>
    <s v="Sub"/>
    <n v="3"/>
  </r>
  <r>
    <s v="Kiên Giang"/>
    <s v="KGPQ03"/>
    <s v="KGPQ03"/>
    <s v="Swap"/>
    <s v="Dual-band"/>
    <n v="4"/>
    <s v="Swap"/>
    <s v="Swap (PS mới 5G C)"/>
    <n v="103.9759"/>
    <n v="10.2232"/>
    <s v="Phu Quoc"/>
    <n v="0"/>
    <s v="Swap_L18 + L21 + NR 2.6 64T + NR 3.8"/>
    <s v="Outdoor"/>
    <s v="Swap_0"/>
    <x v="0"/>
    <x v="2"/>
    <m/>
    <e v="#N/A"/>
    <s v="Macro"/>
    <m/>
    <n v="1"/>
  </r>
  <r>
    <s v="Kiên Giang"/>
    <s v="KGPQ04"/>
    <s v="KGPQ04"/>
    <s v="Swap"/>
    <s v="Dual-band"/>
    <n v="4"/>
    <s v="New"/>
    <s v="PS mới 5G C"/>
    <n v="104.0141"/>
    <n v="10.024699999999999"/>
    <s v="Phu Quoc"/>
    <n v="0"/>
    <s v="Swap_L18 + L21 + NR 2.6 32T"/>
    <s v="Outdoor"/>
    <s v="Swap_0"/>
    <x v="0"/>
    <x v="3"/>
    <m/>
    <e v="#N/A"/>
    <s v="Macro"/>
    <m/>
    <n v="1"/>
  </r>
  <r>
    <s v="Kiên Giang"/>
    <s v="KGPQ05"/>
    <s v="KGPQ05"/>
    <s v="Swap"/>
    <s v="Dual-band"/>
    <n v="4"/>
    <s v="New"/>
    <s v="PS mới 5G C"/>
    <n v="103.914485"/>
    <n v="10.293856"/>
    <s v="Phu Quoc"/>
    <n v="0"/>
    <s v="Swap_L18 + L21 + NR 2.6 32T"/>
    <s v="Outdoor"/>
    <s v="Swap_0"/>
    <x v="0"/>
    <x v="4"/>
    <m/>
    <e v="#N/A"/>
    <s v="Macro"/>
    <s v="Master"/>
    <n v="2"/>
  </r>
  <r>
    <s v="Kiên Giang"/>
    <s v="KGPQY5"/>
    <s v="KGPQ05"/>
    <s v="Swap"/>
    <s v="Single-Band"/>
    <n v="3"/>
    <m/>
    <m/>
    <n v="103.90279"/>
    <n v="10.292389999999999"/>
    <s v="Phu Quoc"/>
    <n v="0"/>
    <s v="Swap_L18"/>
    <s v="Outdoor"/>
    <s v="Swap_0"/>
    <x v="0"/>
    <x v="4"/>
    <m/>
    <e v="#N/A"/>
    <s v="CRAN"/>
    <s v="Sub"/>
    <n v="2"/>
  </r>
  <r>
    <s v="Kiên Giang"/>
    <s v="KGPQ06"/>
    <s v="KGPQ06"/>
    <s v="Swap"/>
    <s v="Dual-band"/>
    <n v="4"/>
    <s v="New"/>
    <s v="PS mới 5G C"/>
    <n v="103.84375"/>
    <n v="10.373963"/>
    <s v="Phu Quoc"/>
    <n v="0"/>
    <s v="Swap_L18 + L21 + NR 2.6 32T"/>
    <s v="Outdoor"/>
    <s v="Swap_0"/>
    <x v="0"/>
    <x v="5"/>
    <m/>
    <e v="#N/A"/>
    <s v="Macro"/>
    <s v="Master"/>
    <n v="4"/>
  </r>
  <r>
    <s v="Kiên Giang"/>
    <s v="KGPQ60"/>
    <s v="KGPQ06"/>
    <s v="Swap"/>
    <s v="Single-Band"/>
    <n v="3"/>
    <m/>
    <m/>
    <n v="103.83846200000001"/>
    <n v="10.372979000000001"/>
    <s v="Phu Quoc"/>
    <n v="0"/>
    <s v="Swap_L18"/>
    <s v="Outdoor"/>
    <s v="Swap_0"/>
    <x v="0"/>
    <x v="5"/>
    <m/>
    <e v="#N/A"/>
    <s v="CRAN"/>
    <s v="Sub"/>
    <n v="4"/>
  </r>
  <r>
    <s v="Kiên Giang"/>
    <s v="KGPQ87"/>
    <s v="KGPQ06"/>
    <s v="Swap"/>
    <s v="Single-Band"/>
    <n v="3"/>
    <m/>
    <m/>
    <n v="103.86107"/>
    <n v="10.37201"/>
    <s v="Phu Quoc"/>
    <n v="0"/>
    <s v="Swap_L18"/>
    <s v="Outdoor"/>
    <s v="Swap_0"/>
    <x v="0"/>
    <x v="5"/>
    <m/>
    <e v="#N/A"/>
    <s v="CRAN"/>
    <s v="Sub"/>
    <n v="4"/>
  </r>
  <r>
    <s v="Kiên Giang"/>
    <s v="KGPQC3"/>
    <s v="KGPQ06"/>
    <s v="Swap"/>
    <s v="Dual-band"/>
    <n v="3"/>
    <s v="New"/>
    <s v="PS mới 5G C"/>
    <n v="103.85299999999999"/>
    <n v="10.3758"/>
    <s v="Phu Quoc"/>
    <n v="0"/>
    <s v="Swap_L18 + L21 + NR 2.6 32T"/>
    <s v="Outdoor"/>
    <s v="Swap_0"/>
    <x v="0"/>
    <x v="5"/>
    <m/>
    <e v="#N/A"/>
    <s v="CRAN"/>
    <s v="Sub"/>
    <n v="4"/>
  </r>
  <r>
    <s v="Kiên Giang"/>
    <s v="KGPQ07"/>
    <s v="KGPQ07"/>
    <s v="Swap"/>
    <s v="Dual-band"/>
    <n v="4"/>
    <s v="New"/>
    <s v="PS mới 5G C"/>
    <n v="104.04640000000001"/>
    <n v="10.180300000000001"/>
    <s v="Phu Quoc"/>
    <n v="0"/>
    <s v="Swap_L18 + L21 + NR 2.6 32T"/>
    <s v="Outdoor"/>
    <s v="Swap_0"/>
    <x v="0"/>
    <x v="6"/>
    <m/>
    <e v="#N/A"/>
    <s v="Macro"/>
    <m/>
    <n v="1"/>
  </r>
  <r>
    <s v="Kiên Giang"/>
    <s v="KGPQ08"/>
    <s v="KGPQ08"/>
    <s v="Swap"/>
    <s v="Dual-band"/>
    <n v="4"/>
    <s v="New"/>
    <s v="PS mới 5G C"/>
    <n v="103.48147"/>
    <n v="9.3066600000000008"/>
    <s v="Phu Quoc"/>
    <n v="0"/>
    <s v="Swap_L18 + L21 + NR 2.6 32T"/>
    <s v="Outdoor"/>
    <s v="Swap_0"/>
    <x v="0"/>
    <x v="7"/>
    <m/>
    <e v="#N/A"/>
    <s v="Macro"/>
    <m/>
    <n v="1"/>
  </r>
  <r>
    <s v="Kiên Giang"/>
    <s v="KGPQ09"/>
    <s v="KGPQ09"/>
    <s v="Swap"/>
    <s v="Dual-band"/>
    <n v="4"/>
    <s v="New"/>
    <s v="PS mới 5G C"/>
    <n v="104.0184"/>
    <n v="10.0572"/>
    <s v="Phu Quoc"/>
    <n v="0"/>
    <s v="Swap_L18 + L21 + NR 2.6 32T"/>
    <s v="Outdoor"/>
    <s v="Swap_0"/>
    <x v="0"/>
    <x v="8"/>
    <m/>
    <e v="#N/A"/>
    <s v="Macro"/>
    <m/>
    <n v="1"/>
  </r>
  <r>
    <s v="Kiên Giang"/>
    <s v="KGPQ10"/>
    <s v="KGPQ10"/>
    <s v="Swap"/>
    <s v="Dual-band"/>
    <n v="3"/>
    <m/>
    <m/>
    <n v="104.0307"/>
    <n v="10.412100000000001"/>
    <s v="Phu Quoc"/>
    <n v="0"/>
    <s v="Swap_L18 + L21 + NR 7 + L9"/>
    <s v="Outdoor"/>
    <s v="Swap_0"/>
    <x v="0"/>
    <x v="9"/>
    <m/>
    <e v="#N/A"/>
    <s v="Macro"/>
    <m/>
    <n v="1"/>
  </r>
  <r>
    <s v="Kiên Giang"/>
    <s v="KGPQ11"/>
    <s v="KGPQ11"/>
    <s v="Swap"/>
    <s v="Dual-band"/>
    <n v="4"/>
    <s v="New"/>
    <s v="PS mới 5G C"/>
    <n v="103.988073"/>
    <n v="10.201688000000001"/>
    <s v="Phu Quoc"/>
    <n v="0"/>
    <s v="Swap_L18 + L21 + NR 2.6 32T"/>
    <s v="Outdoor"/>
    <s v="Swap_0"/>
    <x v="0"/>
    <x v="10"/>
    <m/>
    <e v="#N/A"/>
    <s v="Macro"/>
    <m/>
    <n v="1"/>
  </r>
  <r>
    <s v="Kiên Giang"/>
    <s v="KGPQ12"/>
    <s v="KGPQ12"/>
    <s v="Swap"/>
    <s v="Dual-band"/>
    <n v="3"/>
    <s v="New"/>
    <s v="PS mới 5G C"/>
    <n v="104.017082"/>
    <n v="9.9564579999999996"/>
    <s v="Phu Quoc"/>
    <n v="0"/>
    <s v="Swap_L18 + L21 + NR 2.6 32T"/>
    <s v="Outdoor"/>
    <s v="Swap_0"/>
    <x v="0"/>
    <x v="7"/>
    <m/>
    <e v="#N/A"/>
    <s v="Macro"/>
    <m/>
    <n v="1"/>
  </r>
  <r>
    <s v="Kiên Giang"/>
    <s v="KGPQ13"/>
    <s v="KGPQ13"/>
    <s v="Swap"/>
    <s v="Dual-band"/>
    <n v="4"/>
    <s v="New"/>
    <s v="PS mới 5G C"/>
    <n v="104.014967"/>
    <n v="10.176073000000001"/>
    <s v="Phu Quoc"/>
    <n v="0"/>
    <s v="Swap_L18 + L21 + NR 2.6 32T"/>
    <s v="Outdoor"/>
    <s v="Swap_0"/>
    <x v="0"/>
    <x v="6"/>
    <m/>
    <e v="#N/A"/>
    <s v="Macro"/>
    <m/>
    <n v="1"/>
  </r>
  <r>
    <s v="Kiên Giang"/>
    <s v="KGPQ14"/>
    <s v="KGPQ14"/>
    <s v="Swap"/>
    <s v="Dual-band"/>
    <n v="3"/>
    <m/>
    <m/>
    <n v="103.500423"/>
    <n v="9.3018230000000006"/>
    <s v="Phu Quoc"/>
    <n v="0"/>
    <s v="Swap_L18 + L21 + NR 7 + L9"/>
    <s v="Outdoor"/>
    <s v="Swap_0"/>
    <x v="0"/>
    <x v="7"/>
    <m/>
    <e v="#N/A"/>
    <s v="Macro"/>
    <m/>
    <n v="1"/>
  </r>
  <r>
    <s v="Kiên Giang"/>
    <s v="KGPQ15"/>
    <s v="KGPQ15"/>
    <s v="Swap"/>
    <s v="Dual-band"/>
    <n v="4"/>
    <s v="Swap"/>
    <s v="Swap (PS mới 5G A)"/>
    <n v="103.99039999999999"/>
    <n v="10.2461"/>
    <s v="Phu Quoc"/>
    <n v="0"/>
    <s v="Swap_L18 + L21 + NR 2.6 64T + NR 3.8"/>
    <s v="Outdoor"/>
    <s v="Swap_0"/>
    <x v="0"/>
    <x v="11"/>
    <m/>
    <e v="#N/A"/>
    <s v="Macro"/>
    <s v="Master"/>
    <n v="3"/>
  </r>
  <r>
    <s v="Kiên Giang"/>
    <s v="KGPQE8"/>
    <s v="KGPQ15"/>
    <s v="Swap"/>
    <s v="Dual-band"/>
    <n v="3"/>
    <s v="New"/>
    <s v="PS mới 5G C"/>
    <n v="103.998"/>
    <n v="10.246869999999999"/>
    <s v="Phu Quoc"/>
    <n v="0"/>
    <s v="Swap_L18 + L21 + NR 2.6 32T"/>
    <s v="Outdoor"/>
    <s v="Swap_0"/>
    <x v="0"/>
    <x v="2"/>
    <m/>
    <e v="#N/A"/>
    <s v="CRAN"/>
    <s v="Sub"/>
    <n v="3"/>
  </r>
  <r>
    <s v="Kiên Giang"/>
    <s v="KGPQZ1"/>
    <s v="KGPQ15"/>
    <s v="Swap"/>
    <s v="Dual-band"/>
    <n v="3"/>
    <m/>
    <m/>
    <n v="104.00071699999999"/>
    <n v="10.267728"/>
    <s v="Phu Quoc"/>
    <n v="0"/>
    <s v="Swap_L18 + L21 + NR 7 + L9"/>
    <s v="Outdoor"/>
    <s v="Swap_0"/>
    <x v="0"/>
    <x v="11"/>
    <m/>
    <e v="#N/A"/>
    <s v="CRAN"/>
    <s v="Sub"/>
    <n v="3"/>
  </r>
  <r>
    <s v="Kiên Giang"/>
    <s v="KGPQ16"/>
    <s v="KGPQ16"/>
    <s v="Swap"/>
    <s v="Dual-band"/>
    <n v="4"/>
    <s v="Swap"/>
    <s v="Swap (PS mới 5G A)"/>
    <n v="104.01308"/>
    <n v="10.01694"/>
    <s v="Phu Quoc"/>
    <n v="0"/>
    <s v="Swap_L18 + L21 + NR 2.6 64T + NR 3.8"/>
    <s v="Outdoor"/>
    <s v="Swap_0"/>
    <x v="0"/>
    <x v="3"/>
    <m/>
    <e v="#N/A"/>
    <s v="Macro"/>
    <s v="Master"/>
    <n v="2"/>
  </r>
  <r>
    <s v="Kiên Giang"/>
    <s v="KGPQY0"/>
    <s v="KGPQ16"/>
    <s v="Swap"/>
    <s v="Dual-band"/>
    <n v="3"/>
    <m/>
    <m/>
    <n v="104.01746"/>
    <n v="10.02181"/>
    <s v="Phu Quoc"/>
    <n v="0"/>
    <s v="Swap_L18 + L21"/>
    <s v="Outdoor"/>
    <s v="Swap_0"/>
    <x v="0"/>
    <x v="3"/>
    <m/>
    <e v="#N/A"/>
    <s v="CRAN"/>
    <s v="Sub"/>
    <n v="2"/>
  </r>
  <r>
    <s v="Kiên Giang"/>
    <s v="KGPQ17"/>
    <s v="KGPQ17"/>
    <s v="Swap"/>
    <s v="Dual-band"/>
    <n v="3"/>
    <s v="New"/>
    <s v="PS mới 5G C"/>
    <n v="103.95406"/>
    <n v="10.23607"/>
    <s v="Phu Quoc"/>
    <n v="0"/>
    <s v="Swap_L18 + L21 + NR 2.6 32T"/>
    <s v="Outdoor"/>
    <s v="Swap_0"/>
    <x v="0"/>
    <x v="11"/>
    <m/>
    <e v="#N/A"/>
    <s v="Macro"/>
    <s v="Master"/>
    <n v="2"/>
  </r>
  <r>
    <s v="Kiên Giang"/>
    <s v="KGPQ91"/>
    <s v="KGPQ17"/>
    <s v="Swap"/>
    <s v="Dual-band"/>
    <n v="3"/>
    <m/>
    <m/>
    <n v="103.95023999999999"/>
    <n v="10.2409"/>
    <s v="Phu Quoc"/>
    <n v="0"/>
    <s v="Swap_L18 + L21 + NR 7 + L9"/>
    <s v="Outdoor"/>
    <s v="Swap_0"/>
    <x v="0"/>
    <x v="11"/>
    <m/>
    <e v="#N/A"/>
    <s v="CRAN"/>
    <s v="Sub"/>
    <n v="2"/>
  </r>
  <r>
    <s v="Kiên Giang"/>
    <s v="KGPQ18"/>
    <s v="KGPQ18"/>
    <s v="Swap"/>
    <s v="Dual-band"/>
    <n v="3"/>
    <s v="New"/>
    <s v="PS mới 5G C"/>
    <n v="103.99885"/>
    <n v="10.14822"/>
    <s v="Phu Quoc"/>
    <n v="0"/>
    <s v="Swap_L18 + L21 + NR 2.6 32T"/>
    <s v="Outdoor"/>
    <s v="Swap_0"/>
    <x v="0"/>
    <x v="12"/>
    <m/>
    <e v="#N/A"/>
    <s v="Macro"/>
    <m/>
    <n v="1"/>
  </r>
  <r>
    <s v="Kiên Giang"/>
    <s v="KGPQ19"/>
    <s v="KGPQ19"/>
    <s v="Swap"/>
    <s v="Dual-band"/>
    <n v="4"/>
    <s v="New"/>
    <s v="PS mới 5G C"/>
    <n v="104.03277300000001"/>
    <n v="10.151719"/>
    <s v="Phu Quoc"/>
    <n v="0"/>
    <s v="Swap_L18 + L21 + NR 2.6 32T"/>
    <s v="Outdoor"/>
    <s v="Swap_0"/>
    <x v="0"/>
    <x v="12"/>
    <m/>
    <e v="#N/A"/>
    <s v="Macro"/>
    <s v="Master"/>
    <n v="2"/>
  </r>
  <r>
    <s v="Kiên Giang"/>
    <s v="KGPQC2"/>
    <s v="KGPQ19"/>
    <s v="Swap"/>
    <s v="Dual-band"/>
    <n v="3"/>
    <s v="New"/>
    <s v="PS mới 5G C"/>
    <n v="104.029511"/>
    <n v="10.138978"/>
    <s v="Phu Quoc"/>
    <n v="0"/>
    <s v="Swap_L18 + L21 + NR 2.6 32T"/>
    <s v="Outdoor"/>
    <s v="Swap_0"/>
    <x v="0"/>
    <x v="12"/>
    <m/>
    <e v="#N/A"/>
    <s v="CRAN"/>
    <s v="Sub"/>
    <n v="2"/>
  </r>
  <r>
    <s v="Kiên Giang"/>
    <s v="KGPQ20"/>
    <s v="KGPQ20"/>
    <s v="Swap"/>
    <s v="Dual-band"/>
    <n v="4"/>
    <s v="Swap"/>
    <s v="Swap (PS mới 5G A)"/>
    <n v="104.01703000000001"/>
    <n v="10.0444"/>
    <s v="Phu Quoc"/>
    <n v="0"/>
    <s v="Swap_L18 + L21 + NR 2.6 64T + NR 3.8"/>
    <s v="Outdoor"/>
    <s v="Swap_0"/>
    <x v="0"/>
    <x v="8"/>
    <m/>
    <e v="#N/A"/>
    <s v="Macro"/>
    <m/>
    <n v="1"/>
  </r>
  <r>
    <s v="Kiên Giang"/>
    <s v="KGPQ21"/>
    <s v="KGPQ21"/>
    <s v="Swap"/>
    <s v="Dual-band"/>
    <n v="3"/>
    <s v="New"/>
    <s v="PS mới 5G C"/>
    <n v="103.96498"/>
    <n v="10.22059"/>
    <s v="Phu Quoc"/>
    <n v="0"/>
    <s v="Swap_L18 + L21 + NR 2.6 32T"/>
    <s v="Outdoor"/>
    <s v="Swap_0"/>
    <x v="0"/>
    <x v="0"/>
    <m/>
    <e v="#N/A"/>
    <s v="Macro"/>
    <m/>
    <n v="1"/>
  </r>
  <r>
    <s v="Kiên Giang"/>
    <s v="KGPQ22"/>
    <s v="KGPQ22"/>
    <s v="Swap"/>
    <s v="Dual-band"/>
    <n v="3"/>
    <s v="New"/>
    <s v="PS mới 5G C"/>
    <n v="103.971"/>
    <n v="10.270200000000001"/>
    <s v="Phu Quoc"/>
    <n v="0"/>
    <s v="Swap_L18 + L21 + NR 2.6 32T"/>
    <s v="Outdoor"/>
    <s v="Swap_0"/>
    <x v="0"/>
    <x v="11"/>
    <m/>
    <e v="#N/A"/>
    <s v="Macro"/>
    <m/>
    <n v="1"/>
  </r>
  <r>
    <s v="Kiên Giang"/>
    <s v="KGPQ23"/>
    <s v="KGPQ23"/>
    <s v="Swap"/>
    <s v="Dual-band"/>
    <n v="3"/>
    <s v="New"/>
    <s v="PS mới 5G C"/>
    <n v="103.93674"/>
    <n v="10.31268"/>
    <s v="Phu Quoc"/>
    <n v="0"/>
    <s v="Swap_L18 + L21 + NR 2.6 32T"/>
    <s v="Outdoor"/>
    <s v="Swap_0"/>
    <x v="0"/>
    <x v="4"/>
    <m/>
    <e v="#N/A"/>
    <s v="Macro"/>
    <m/>
    <n v="1"/>
  </r>
  <r>
    <s v="Kiên Giang"/>
    <s v="KGPQ24"/>
    <s v="KGPQ24"/>
    <s v="Swap"/>
    <s v="Dual-band"/>
    <n v="4"/>
    <s v="New"/>
    <s v="PS mới 5G C"/>
    <n v="103.96583"/>
    <n v="10.328849999999999"/>
    <s v="Phu Quoc"/>
    <n v="0"/>
    <s v="Swap_L18 + L21 + NR 2.6 32T"/>
    <s v="Outdoor"/>
    <s v="Swap_0"/>
    <x v="0"/>
    <x v="9"/>
    <m/>
    <e v="#N/A"/>
    <s v="Macro"/>
    <s v="Master"/>
    <n v="2"/>
  </r>
  <r>
    <s v="Kiên Giang"/>
    <s v="KGPQY1"/>
    <s v="KGPQ24"/>
    <s v="Swap"/>
    <s v="Single-Band"/>
    <n v="3"/>
    <m/>
    <m/>
    <n v="103.99120000000001"/>
    <n v="10.36393"/>
    <s v="Phu Quoc"/>
    <n v="0"/>
    <s v="Swap_L18"/>
    <s v="Outdoor"/>
    <s v="Swap_0"/>
    <x v="0"/>
    <x v="9"/>
    <m/>
    <e v="#N/A"/>
    <s v="CRAN"/>
    <s v="Sub"/>
    <n v="2"/>
  </r>
  <r>
    <s v="Kiên Giang"/>
    <s v="KGPQ25"/>
    <s v="KGPQ25"/>
    <s v="Swap"/>
    <s v="Dual-band"/>
    <n v="3"/>
    <s v="New"/>
    <s v="PS mới 5G C"/>
    <n v="103.95469"/>
    <n v="10.25562"/>
    <s v="Phu Quoc"/>
    <n v="0"/>
    <s v="Swap_L18 + L21 + NR 2.6 32T"/>
    <s v="Outdoor"/>
    <s v="Swap_0"/>
    <x v="0"/>
    <x v="11"/>
    <m/>
    <e v="#N/A"/>
    <s v="Macro"/>
    <s v="Master"/>
    <n v="2"/>
  </r>
  <r>
    <s v="Kiên Giang"/>
    <s v="KGPQZ5"/>
    <s v="KGPQ25"/>
    <s v="Swap"/>
    <s v="Single-Band"/>
    <n v="3"/>
    <m/>
    <m/>
    <n v="103.951138"/>
    <n v="10.244529999999999"/>
    <s v="Phu Quoc"/>
    <n v="0"/>
    <s v="Swap_L18"/>
    <s v="Outdoor"/>
    <s v="Swap_0"/>
    <x v="0"/>
    <x v="11"/>
    <m/>
    <e v="#N/A"/>
    <s v="CRAN"/>
    <s v="Sub"/>
    <n v="2"/>
  </r>
  <r>
    <s v="Kiên Giang"/>
    <s v="KGPQ26"/>
    <s v="KGPQ26"/>
    <s v="Swap"/>
    <s v="Dual-band"/>
    <n v="3"/>
    <s v="New"/>
    <s v="PS mới 5G C"/>
    <n v="103.9691"/>
    <n v="10.1945"/>
    <s v="Phu Quoc"/>
    <n v="0"/>
    <s v="Swap_L18 + L21 + NR 2.6 32T"/>
    <s v="Outdoor"/>
    <s v="Swap_0"/>
    <x v="0"/>
    <x v="10"/>
    <m/>
    <e v="#N/A"/>
    <s v="Macro"/>
    <s v="Master"/>
    <n v="2"/>
  </r>
  <r>
    <s v="Kiên Giang"/>
    <s v="KGPQZ4"/>
    <s v="KGPQ26"/>
    <s v="Swap"/>
    <s v="Dual-band"/>
    <n v="3"/>
    <m/>
    <m/>
    <n v="103.96469999999999"/>
    <n v="10.1953"/>
    <s v="Phu Quoc"/>
    <n v="0"/>
    <s v="Swap_L18 + L21"/>
    <s v="Outdoor"/>
    <s v="Swap_0"/>
    <x v="0"/>
    <x v="10"/>
    <m/>
    <e v="#N/A"/>
    <s v="CRAN"/>
    <s v="Sub"/>
    <n v="2"/>
  </r>
  <r>
    <s v="Kiên Giang"/>
    <s v="KGPQ27"/>
    <s v="KGPQ27"/>
    <s v="Swap"/>
    <s v="Dual-band"/>
    <n v="3"/>
    <s v="New"/>
    <s v="PS mới 5G C"/>
    <n v="103.97078"/>
    <n v="10.416869999999999"/>
    <s v="Phu Quoc"/>
    <n v="0"/>
    <s v="Swap_L18 + L21 + NR 2.6 32T"/>
    <s v="Outdoor"/>
    <s v="Swap_0"/>
    <x v="0"/>
    <x v="9"/>
    <m/>
    <e v="#N/A"/>
    <s v="Macro"/>
    <m/>
    <n v="1"/>
  </r>
  <r>
    <s v="Kiên Giang"/>
    <s v="KGPQ28"/>
    <s v="KGPQ28"/>
    <s v="Swap"/>
    <s v="Dual-band"/>
    <n v="3"/>
    <s v="New"/>
    <s v="PS mới 5G C"/>
    <n v="103.97874"/>
    <n v="10.294079999999999"/>
    <s v="Phu Quoc"/>
    <n v="0"/>
    <s v="Swap_L18 + L21 + NR 2.6 32T"/>
    <s v="Outdoor"/>
    <s v="Swap_0"/>
    <x v="0"/>
    <x v="13"/>
    <m/>
    <e v="#N/A"/>
    <s v="Macro"/>
    <m/>
    <n v="1"/>
  </r>
  <r>
    <s v="Kiên Giang"/>
    <s v="KGPQ29"/>
    <s v="KGPQ29"/>
    <s v="Swap"/>
    <s v="Dual-band"/>
    <n v="3"/>
    <m/>
    <m/>
    <n v="104.014"/>
    <n v="10.0969"/>
    <s v="Phu Quoc"/>
    <n v="0"/>
    <s v="Swap_L18 + L21 + NR 7 + L9"/>
    <s v="Outdoor"/>
    <s v="Swap_0"/>
    <x v="0"/>
    <x v="14"/>
    <m/>
    <e v="#N/A"/>
    <s v="Macro"/>
    <s v="Master"/>
    <n v="3"/>
  </r>
  <r>
    <s v="Kiên Giang"/>
    <s v="KGPQF5"/>
    <s v="KGPQ29"/>
    <s v="Swap"/>
    <s v="Dual-band"/>
    <n v="3"/>
    <s v="New"/>
    <s v="PS mới 5G C"/>
    <n v="104.000702"/>
    <n v="10.090389999999999"/>
    <s v="Phu Quoc"/>
    <n v="0"/>
    <s v="Swap_L18 + L21 + NR 2.6 32T"/>
    <s v="Outdoor"/>
    <s v="Swap_0"/>
    <x v="0"/>
    <x v="14"/>
    <m/>
    <e v="#N/A"/>
    <s v="CRAN"/>
    <s v="Sub"/>
    <n v="3"/>
  </r>
  <r>
    <s v="Kiên Giang"/>
    <s v="KGPQY9"/>
    <s v="KGPQ29"/>
    <s v="Swap"/>
    <s v="Dual-band"/>
    <n v="3"/>
    <s v="New"/>
    <s v="PS mới 5G C"/>
    <n v="104.01406"/>
    <n v="10.089600000000001"/>
    <s v="Phu Quoc"/>
    <n v="0"/>
    <s v="Swap_L18 + L21 + NR 2.6 32T"/>
    <s v="Outdoor"/>
    <s v="Swap_0"/>
    <x v="0"/>
    <x v="14"/>
    <m/>
    <e v="#N/A"/>
    <s v="CRAN"/>
    <s v="Sub"/>
    <n v="3"/>
  </r>
  <r>
    <s v="Kiên Giang"/>
    <s v="KGPQ30"/>
    <s v="KGPQ30"/>
    <s v="Swap"/>
    <s v="Dual-band"/>
    <n v="3"/>
    <s v="New"/>
    <s v="PS mới 5G C"/>
    <n v="103.9789"/>
    <n v="10.217000000000001"/>
    <s v="Phu Quoc"/>
    <n v="0"/>
    <s v="Swap_L18 + L21 + NR 2.6 32T"/>
    <s v="Outdoor"/>
    <s v="Swap_0"/>
    <x v="0"/>
    <x v="1"/>
    <m/>
    <e v="#N/A"/>
    <s v="Macro"/>
    <s v="Master"/>
    <n v="3"/>
  </r>
  <r>
    <s v="Kiên Giang"/>
    <s v="KGPQ97"/>
    <s v="KGPQ30"/>
    <s v="Swap"/>
    <s v="Dual-band"/>
    <n v="3"/>
    <s v="New"/>
    <s v="PS mới 5G C"/>
    <n v="103.9902556"/>
    <n v="10.2095564"/>
    <s v="Phu Quoc"/>
    <n v="0"/>
    <s v="Swap_L18 + L21 + NR 2.6 32T"/>
    <s v="Outdoor"/>
    <s v="Swap_0"/>
    <x v="0"/>
    <x v="1"/>
    <m/>
    <e v="#N/A"/>
    <s v="CRAN"/>
    <s v="Sub"/>
    <n v="3"/>
  </r>
  <r>
    <s v="Kiên Giang"/>
    <s v="KGPQA1"/>
    <s v="KGPQ30"/>
    <s v="Swap"/>
    <s v="Dual-band"/>
    <n v="3"/>
    <s v="New"/>
    <s v="PS mới 5G C"/>
    <n v="103.971495"/>
    <n v="10.219232999999999"/>
    <s v="Phu Quoc"/>
    <n v="0"/>
    <s v="Swap_L18 + L21 + NR 2.6 32T"/>
    <s v="Outdoor"/>
    <s v="Swap_0"/>
    <x v="0"/>
    <x v="1"/>
    <m/>
    <e v="#N/A"/>
    <s v="CRAN"/>
    <s v="Sub"/>
    <n v="3"/>
  </r>
  <r>
    <s v="Kiên Giang"/>
    <s v="KGPQ31"/>
    <s v="KGPQ31"/>
    <s v="Swap"/>
    <s v="Dual-band"/>
    <n v="4"/>
    <s v="New"/>
    <s v="PS mới 5G C"/>
    <n v="103.96589400000001"/>
    <n v="10.214093999999999"/>
    <s v="Phu Quoc"/>
    <n v="0"/>
    <s v="Swap_L18 + L21 + NR 2.6 32T"/>
    <s v="Outdoor"/>
    <s v="Swap_0"/>
    <x v="0"/>
    <x v="1"/>
    <m/>
    <e v="#N/A"/>
    <s v="Macro"/>
    <m/>
    <n v="1"/>
  </r>
  <r>
    <s v="Kiên Giang"/>
    <s v="KGPQ32"/>
    <s v="KGPQ32"/>
    <s v="Swap"/>
    <s v="Dual-band"/>
    <n v="3"/>
    <s v="New"/>
    <s v="PS mới 5G C"/>
    <n v="103.93758"/>
    <n v="10.27716"/>
    <s v="Phu Quoc"/>
    <n v="0"/>
    <s v="Swap_L18 + L21 + NR 2.6 32T"/>
    <s v="Outdoor"/>
    <s v="Swap_0"/>
    <x v="0"/>
    <x v="13"/>
    <m/>
    <e v="#N/A"/>
    <s v="Macro"/>
    <s v="Master"/>
    <n v="5"/>
  </r>
  <r>
    <s v="Kiên Giang"/>
    <s v="KGPQ79"/>
    <s v="KGPQ32"/>
    <s v="Swap"/>
    <s v="Dual-band"/>
    <n v="3"/>
    <m/>
    <m/>
    <n v="103.9532"/>
    <n v="10.289249999999999"/>
    <s v="Phu Quoc"/>
    <n v="0"/>
    <s v="Swap_L18 + L21 + NR 7 + L9"/>
    <s v="Outdoor"/>
    <s v="Swap_0"/>
    <x v="0"/>
    <x v="13"/>
    <m/>
    <e v="#N/A"/>
    <s v="CRAN"/>
    <s v="Sub"/>
    <n v="5"/>
  </r>
  <r>
    <s v="Kiên Giang"/>
    <s v="KGPQD0"/>
    <s v="KGPQ32"/>
    <s v="Swap"/>
    <s v="Dual-band"/>
    <n v="3"/>
    <s v="New"/>
    <s v="PS mới 5G C"/>
    <n v="103.92467000000001"/>
    <n v="10.28477"/>
    <s v="Phu Quoc"/>
    <n v="0"/>
    <s v="Swap_L18 + L21 + NR 2.6 32T"/>
    <s v="Outdoor"/>
    <s v="Swap_0"/>
    <x v="0"/>
    <x v="13"/>
    <m/>
    <e v="#N/A"/>
    <s v="CRAN"/>
    <s v="Sub"/>
    <n v="5"/>
  </r>
  <r>
    <s v="Kiên Giang"/>
    <s v="KGPQY6"/>
    <s v="KGPQ32"/>
    <s v="Swap"/>
    <s v="Dual-band"/>
    <n v="3"/>
    <m/>
    <m/>
    <n v="103.9284"/>
    <n v="10.28797"/>
    <s v="Phu Quoc"/>
    <n v="0"/>
    <s v="Swap_L18 + L21 + NR 7 + L9"/>
    <s v="Outdoor"/>
    <s v="Swap_0"/>
    <x v="0"/>
    <x v="13"/>
    <m/>
    <e v="#N/A"/>
    <s v="CRAN"/>
    <s v="Sub"/>
    <n v="5"/>
  </r>
  <r>
    <s v="Kiên Giang"/>
    <s v="KGPQZ7"/>
    <s v="KGPQ32"/>
    <s v="Swap"/>
    <s v="Single-Band"/>
    <n v="3"/>
    <m/>
    <m/>
    <n v="103.92288000000001"/>
    <n v="10.28177"/>
    <s v="Phu Quoc"/>
    <n v="0"/>
    <s v="Swap_L18"/>
    <s v="Outdoor"/>
    <s v="Swap_0"/>
    <x v="0"/>
    <x v="13"/>
    <m/>
    <e v="#N/A"/>
    <s v="CRAN"/>
    <s v="Sub"/>
    <n v="5"/>
  </r>
  <r>
    <s v="Kiên Giang"/>
    <s v="KGPQ33"/>
    <s v="KGPQ33"/>
    <s v="Swap"/>
    <s v="Dual-band"/>
    <n v="4"/>
    <s v="Swap"/>
    <s v="Swap (PS mới 5G C)"/>
    <n v="103.95659999999999"/>
    <n v="10.221"/>
    <s v="Phu Quoc"/>
    <n v="0"/>
    <s v="Swap_L18 + L21 + NR 2.6 64T + NR 3.8"/>
    <s v="Outdoor"/>
    <s v="Swap_0"/>
    <x v="0"/>
    <x v="0"/>
    <m/>
    <e v="#N/A"/>
    <s v="Macro"/>
    <s v="Master"/>
    <n v="4"/>
  </r>
  <r>
    <s v="Kiên Giang"/>
    <s v="KGPQ64"/>
    <s v="KGPQ33"/>
    <s v="Swap"/>
    <s v="Dual-band"/>
    <n v="3"/>
    <s v="New"/>
    <s v="PS mới 5G C"/>
    <n v="103.96924799999999"/>
    <n v="10.224919999999999"/>
    <s v="Phu Quoc"/>
    <n v="0"/>
    <s v="Swap_L18 + L21 + NR 2.6 32T"/>
    <s v="Outdoor"/>
    <s v="Swap_0"/>
    <x v="0"/>
    <x v="0"/>
    <m/>
    <e v="#N/A"/>
    <s v="CRAN"/>
    <s v="Sub"/>
    <n v="4"/>
  </r>
  <r>
    <s v="Kiên Giang"/>
    <s v="KGPQI4"/>
    <s v="KGPQ33"/>
    <s v="Swap"/>
    <s v="Dual-band"/>
    <n v="3"/>
    <s v="New"/>
    <s v="PS mới 5G C"/>
    <n v="103.96062000000001"/>
    <n v="10.220392"/>
    <s v="Phu Quoc"/>
    <n v="0"/>
    <s v="Swap_L18 + L21 + NR 2.6 32T"/>
    <s v="Outdoor"/>
    <s v="Swap_0"/>
    <x v="0"/>
    <x v="0"/>
    <m/>
    <e v="#N/A"/>
    <s v="CRAN"/>
    <s v="Sub"/>
    <n v="4"/>
  </r>
  <r>
    <s v="Kiên Giang"/>
    <s v="KGPQX3"/>
    <s v="KGPQ33"/>
    <s v="Swap"/>
    <s v="Dual-band"/>
    <n v="3"/>
    <s v="New"/>
    <s v="PS mới 5G C"/>
    <n v="103.96106"/>
    <n v="10.222899999999999"/>
    <s v="Phu Quoc"/>
    <n v="0"/>
    <s v="Swap_L18 + L21 + NR 2.6 32T"/>
    <s v="Outdoor"/>
    <s v="Swap_0"/>
    <x v="0"/>
    <x v="0"/>
    <m/>
    <e v="#N/A"/>
    <s v="CRAN"/>
    <s v="Sub"/>
    <n v="4"/>
  </r>
  <r>
    <s v="Kiên Giang"/>
    <s v="KGPQ34"/>
    <s v="KGPQ34"/>
    <s v="Swap"/>
    <s v="Dual-band"/>
    <n v="3"/>
    <s v="New"/>
    <s v="PS mới 5G C"/>
    <n v="103.96947400000001"/>
    <n v="10.183077000000001"/>
    <s v="Phu Quoc"/>
    <n v="0"/>
    <s v="Swap_L18 + L21 + NR 2.6 32T"/>
    <s v="Outdoor"/>
    <s v="Swap_0"/>
    <x v="0"/>
    <x v="10"/>
    <m/>
    <e v="#N/A"/>
    <s v="Macro"/>
    <s v="Master"/>
    <n v="5"/>
  </r>
  <r>
    <s v="Kiên Giang"/>
    <s v="KGPQA0"/>
    <s v="KGPQ34"/>
    <s v="Swap"/>
    <s v="Dual-band"/>
    <n v="3"/>
    <s v="New"/>
    <s v="PS mới 5G C"/>
    <n v="103.97495600000001"/>
    <n v="10.188701"/>
    <s v="Phu Quoc"/>
    <n v="0"/>
    <s v="Swap_L18 + L21 + NR 2.6 32T"/>
    <s v="Outdoor"/>
    <s v="Swap_0"/>
    <x v="0"/>
    <x v="10"/>
    <m/>
    <e v="#N/A"/>
    <s v="CRAN"/>
    <s v="Sub"/>
    <n v="5"/>
  </r>
  <r>
    <s v="Kiên Giang"/>
    <s v="KGPQB7"/>
    <s v="KGPQ34"/>
    <s v="Swap"/>
    <s v="Dual-band"/>
    <n v="3"/>
    <m/>
    <m/>
    <n v="104.077856"/>
    <n v="10.356816999999999"/>
    <s v="Phu Quoc"/>
    <n v="0"/>
    <s v="Swap_L18 + L21 + NR 7 + L9"/>
    <s v="Outdoor"/>
    <s v="Swap_0"/>
    <x v="0"/>
    <x v="6"/>
    <m/>
    <e v="#N/A"/>
    <s v="CRAN"/>
    <s v="Sub"/>
    <n v="5"/>
  </r>
  <r>
    <s v="Kiên Giang"/>
    <s v="KGPQB8"/>
    <s v="KGPQ34"/>
    <s v="Swap"/>
    <s v="Dual-band"/>
    <n v="3"/>
    <s v="New"/>
    <s v="PS mới 5G C"/>
    <n v="103.98641000000001"/>
    <n v="10.179"/>
    <s v="Phu Quoc"/>
    <n v="0"/>
    <s v="Swap_L18 + L21 + NR 2.6 32T"/>
    <s v="Outdoor"/>
    <s v="Swap_0"/>
    <x v="0"/>
    <x v="10"/>
    <m/>
    <e v="#N/A"/>
    <s v="CRAN"/>
    <s v="Sub"/>
    <n v="5"/>
  </r>
  <r>
    <s v="Kiên Giang"/>
    <s v="KGPQX1"/>
    <s v="KGPQ34"/>
    <s v="Swap"/>
    <s v="Single-Band"/>
    <n v="3"/>
    <m/>
    <m/>
    <n v="103.967477"/>
    <n v="10.183394"/>
    <s v="Phu Quoc"/>
    <n v="0"/>
    <s v="Swap_L18"/>
    <s v="Outdoor"/>
    <s v="Swap_0"/>
    <x v="0"/>
    <x v="10"/>
    <m/>
    <e v="#N/A"/>
    <s v="CRAN"/>
    <s v="Sub"/>
    <n v="5"/>
  </r>
  <r>
    <s v="Kiên Giang"/>
    <s v="KGPQ36"/>
    <s v="KGPQ36"/>
    <s v="Swap"/>
    <s v="Dual-band"/>
    <n v="3"/>
    <s v="New"/>
    <s v="PS mới 5G C"/>
    <n v="103.935"/>
    <n v="10.3582"/>
    <s v="Phu Quoc"/>
    <n v="0"/>
    <s v="Swap_L18 + L21 + NR 2.6 32T"/>
    <s v="Outdoor"/>
    <s v="Swap_0"/>
    <x v="0"/>
    <x v="9"/>
    <m/>
    <e v="#N/A"/>
    <s v="Macro"/>
    <m/>
    <n v="1"/>
  </r>
  <r>
    <s v="Kiên Giang"/>
    <s v="KGPQ37"/>
    <s v="KGPQ37"/>
    <s v="Swap"/>
    <s v="Dual-band"/>
    <n v="3"/>
    <s v="New"/>
    <s v="PS mới 5G C"/>
    <n v="104.0784"/>
    <n v="10.309100000000001"/>
    <s v="Phu Quoc"/>
    <n v="0"/>
    <s v="Swap_L18 + L21 + NR 2.6 32T"/>
    <s v="Outdoor"/>
    <s v="Swap_0"/>
    <x v="0"/>
    <x v="6"/>
    <m/>
    <e v="#N/A"/>
    <s v="Macro"/>
    <m/>
    <n v="1"/>
  </r>
  <r>
    <s v="Kiên Giang"/>
    <s v="KGPQ38"/>
    <s v="KGPQ38"/>
    <s v="Swap"/>
    <s v="Dual-band"/>
    <n v="4"/>
    <s v="New"/>
    <s v="PS mới 5G C"/>
    <n v="103.9901"/>
    <n v="10.071199999999999"/>
    <s v="Phu Quoc"/>
    <n v="0"/>
    <s v="Swap_L18 + L21 + NR 2.6 32T"/>
    <s v="Outdoor"/>
    <s v="Swap_0"/>
    <x v="0"/>
    <x v="14"/>
    <m/>
    <e v="#N/A"/>
    <s v="Macro"/>
    <m/>
    <n v="1"/>
  </r>
  <r>
    <s v="Kiên Giang"/>
    <s v="KGPQ39"/>
    <s v="KGPQ39"/>
    <s v="Swap"/>
    <s v="Dual-band"/>
    <n v="3"/>
    <s v="New"/>
    <s v="PS mới 5G C"/>
    <n v="104.02970000000001"/>
    <n v="10.05739"/>
    <s v="Phu Quoc"/>
    <n v="0"/>
    <s v="Swap_L18 + L21 + NR 2.6 32T"/>
    <s v="Outdoor"/>
    <s v="Swap_0"/>
    <x v="0"/>
    <x v="8"/>
    <m/>
    <e v="#N/A"/>
    <s v="Macro"/>
    <s v="Master"/>
    <n v="3"/>
  </r>
  <r>
    <s v="Kiên Giang"/>
    <s v="KGPQC9"/>
    <s v="KGPQ39"/>
    <s v="Swap"/>
    <s v="Dual-band"/>
    <n v="3"/>
    <m/>
    <m/>
    <n v="104.034926"/>
    <n v="10.056708"/>
    <s v="PhúQuốc"/>
    <n v="0"/>
    <s v="Swap 4G Only"/>
    <m/>
    <m/>
    <x v="0"/>
    <x v="8"/>
    <m/>
    <e v="#N/A"/>
    <s v="CRAN"/>
    <s v="Sub"/>
    <n v="3"/>
  </r>
  <r>
    <s v="Kiên Giang"/>
    <s v="KGPQD3"/>
    <s v="KGPQ39"/>
    <s v="Swap"/>
    <s v="Dual-band"/>
    <n v="4"/>
    <s v="New"/>
    <s v="PS mới 5G C"/>
    <n v="104.02961000000001"/>
    <n v="10.068820000000001"/>
    <s v="Phu Quoc"/>
    <n v="0"/>
    <s v="Swap_L18 + L21 + NR 2.6 32T"/>
    <s v="Outdoor"/>
    <s v="Swap_0"/>
    <x v="0"/>
    <x v="8"/>
    <m/>
    <e v="#N/A"/>
    <s v="CRAN"/>
    <s v="Sub"/>
    <n v="3"/>
  </r>
  <r>
    <s v="Kiên Giang"/>
    <s v="KGPQ40"/>
    <s v="KGPQ40"/>
    <s v="Swap"/>
    <s v="Dual-band"/>
    <n v="3"/>
    <s v="New"/>
    <s v="PS mới 5G C"/>
    <n v="104.0757"/>
    <n v="10.371600000000001"/>
    <s v="Phu Quoc"/>
    <n v="0"/>
    <s v="Swap_L18 + L21 + NR 2.6 32T"/>
    <s v="Outdoor"/>
    <s v="Swap_0"/>
    <x v="0"/>
    <x v="9"/>
    <m/>
    <e v="#N/A"/>
    <s v="Macro"/>
    <m/>
    <n v="1"/>
  </r>
  <r>
    <s v="Kiên Giang"/>
    <s v="KGPQ41"/>
    <s v="KGPQ41"/>
    <s v="Swap"/>
    <s v="Dual-band"/>
    <n v="3"/>
    <m/>
    <m/>
    <n v="104.07835"/>
    <n v="10.24705"/>
    <s v="Phu Quoc"/>
    <n v="0"/>
    <s v="Swap_L18 + L21"/>
    <s v="Outdoor"/>
    <s v="Swap_0"/>
    <x v="0"/>
    <x v="6"/>
    <m/>
    <e v="#N/A"/>
    <s v="Macro"/>
    <m/>
    <n v="1"/>
  </r>
  <r>
    <s v="Kiên Giang"/>
    <s v="KGPQ43"/>
    <s v="KGPQ43"/>
    <s v="Swap"/>
    <s v="Dual-band"/>
    <n v="3"/>
    <s v="New"/>
    <s v="PS mới 5G C"/>
    <n v="104.0258"/>
    <n v="10.244300000000001"/>
    <s v="Phu Quoc"/>
    <n v="0"/>
    <s v="Swap_L18 + L21 + NR 2.6 32T"/>
    <s v="Outdoor"/>
    <s v="Swap_0"/>
    <x v="0"/>
    <x v="2"/>
    <m/>
    <e v="#N/A"/>
    <s v="Macro"/>
    <m/>
    <n v="1"/>
  </r>
  <r>
    <s v="Kiên Giang"/>
    <s v="KGPQ44"/>
    <s v="KGPQ44"/>
    <s v="Swap"/>
    <s v="Dual-band"/>
    <n v="3"/>
    <s v="New"/>
    <s v="PS mới 5G C"/>
    <n v="103.998346"/>
    <n v="10.184316000000001"/>
    <s v="Phu Quoc"/>
    <n v="0"/>
    <s v="Swap_L18 + L21 + NR 2.6 32T"/>
    <s v="Outdoor"/>
    <s v="Swap_0"/>
    <x v="0"/>
    <x v="10"/>
    <m/>
    <e v="#N/A"/>
    <s v="Macro"/>
    <m/>
    <n v="1"/>
  </r>
  <r>
    <s v="Kiên Giang"/>
    <s v="KGPQ45"/>
    <s v="KGPQ45"/>
    <s v="Swap"/>
    <s v="Dual-band"/>
    <n v="4"/>
    <s v="New"/>
    <s v="PS mới 5G C"/>
    <n v="104.0072"/>
    <n v="10.03412"/>
    <s v="Phu Quoc"/>
    <n v="0"/>
    <s v="Swap_L18 + L21 + NR 2.6 32T"/>
    <s v="Outdoor"/>
    <s v="Swap_0"/>
    <x v="0"/>
    <x v="8"/>
    <m/>
    <e v="#N/A"/>
    <s v="Macro"/>
    <s v="Master"/>
    <n v="3"/>
  </r>
  <r>
    <s v="Kiên Giang"/>
    <s v="KGPQI6"/>
    <s v="KGPQ45"/>
    <s v="Swap"/>
    <s v="Single-Band"/>
    <n v="3"/>
    <m/>
    <m/>
    <n v="104.006539"/>
    <n v="10.038486000000001"/>
    <s v="Phu Quoc"/>
    <n v="0"/>
    <s v="Swap_L18"/>
    <s v="Indoor"/>
    <s v="Swap_0"/>
    <x v="0"/>
    <x v="8"/>
    <m/>
    <e v="#N/A"/>
    <s v="IBC"/>
    <s v="Sub"/>
    <n v="3"/>
  </r>
  <r>
    <s v="Kiên Giang"/>
    <s v="KGPQL3"/>
    <s v="KGPQ45"/>
    <s v="Swap"/>
    <s v="Single-Band"/>
    <n v="3"/>
    <m/>
    <m/>
    <n v="104.002674"/>
    <n v="10.035204999999999"/>
    <s v="Phu Quoc"/>
    <n v="0"/>
    <s v="Swap_L18"/>
    <s v="Outdoor"/>
    <s v="Swap_0"/>
    <x v="0"/>
    <x v="8"/>
    <m/>
    <e v="#N/A"/>
    <s v="CRAN"/>
    <s v="Sub"/>
    <n v="3"/>
  </r>
  <r>
    <s v="Kiên Giang"/>
    <s v="KGPQ46"/>
    <s v="KGPQ46"/>
    <s v="Swap"/>
    <s v="Dual-band"/>
    <n v="4"/>
    <m/>
    <m/>
    <n v="104.05383"/>
    <n v="10.21035"/>
    <s v="Phu Quoc"/>
    <n v="0"/>
    <s v="Swap_L18 + L21 + NR 7 + L9"/>
    <s v="Outdoor"/>
    <s v="Swap_0"/>
    <x v="0"/>
    <x v="6"/>
    <m/>
    <e v="#N/A"/>
    <s v="Macro"/>
    <s v="Master"/>
    <n v="3"/>
  </r>
  <r>
    <s v="Kiên Giang"/>
    <s v="KGPQA8"/>
    <s v="KGPQ46"/>
    <s v="Swap"/>
    <s v="Dual-band"/>
    <n v="3"/>
    <m/>
    <m/>
    <n v="104.0733"/>
    <n v="10.22725"/>
    <s v="Phu Quoc"/>
    <n v="0"/>
    <s v="Swap_L18 + L21"/>
    <s v="Outdoor"/>
    <s v="Swap_0"/>
    <x v="0"/>
    <x v="6"/>
    <m/>
    <e v="#N/A"/>
    <s v="CRAN"/>
    <s v="Sub"/>
    <n v="3"/>
  </r>
  <r>
    <s v="Kiên Giang"/>
    <s v="KGPQG5"/>
    <s v="KGPQ46"/>
    <s v="Swap"/>
    <s v="Dual-band"/>
    <n v="3"/>
    <m/>
    <m/>
    <n v="104.049638"/>
    <n v="10.191049"/>
    <s v="Phu Quoc"/>
    <n v="0"/>
    <s v="Swap_L18 + L21"/>
    <s v="Outdoor"/>
    <s v="Swap_0"/>
    <x v="0"/>
    <x v="6"/>
    <m/>
    <e v="#N/A"/>
    <s v="CRAN"/>
    <s v="Sub"/>
    <n v="3"/>
  </r>
  <r>
    <s v="Kiên Giang"/>
    <s v="KGPQ47"/>
    <s v="KGPQ47"/>
    <s v="Swap"/>
    <s v="Dual-band"/>
    <n v="4"/>
    <s v="New"/>
    <s v="PS mới 5G C"/>
    <n v="103.99084999999999"/>
    <n v="10.23368"/>
    <s v="Phu Quoc"/>
    <n v="0"/>
    <s v="Swap_L18 + L21 + NR 2.6 32T"/>
    <s v="Outdoor"/>
    <s v="Swap_0"/>
    <x v="0"/>
    <x v="2"/>
    <m/>
    <e v="#N/A"/>
    <s v="Macro"/>
    <s v="Master"/>
    <n v="3"/>
  </r>
  <r>
    <s v="Kiên Giang"/>
    <s v="KGPQ83"/>
    <s v="KGPQ47"/>
    <s v="Swap"/>
    <s v="Dual-band"/>
    <n v="3"/>
    <s v="New"/>
    <s v="PS mới 5G C"/>
    <n v="103.98260000000001"/>
    <n v="10.231109999999999"/>
    <s v="Phu Quoc"/>
    <n v="0"/>
    <s v="Swap_L18 + L21 + NR 2.6 32T"/>
    <s v="Outdoor"/>
    <s v="Swap_0"/>
    <x v="0"/>
    <x v="2"/>
    <m/>
    <e v="#N/A"/>
    <s v="CRAN"/>
    <s v="Sub"/>
    <n v="3"/>
  </r>
  <r>
    <s v="Kiên Giang"/>
    <s v="KGPQY4"/>
    <s v="KGPQ47"/>
    <s v="Swap"/>
    <s v="Dual-band"/>
    <n v="3"/>
    <s v="New"/>
    <s v="PS mới 5G B"/>
    <n v="104.00125"/>
    <n v="10.23494"/>
    <s v="Phu Quoc"/>
    <n v="0"/>
    <s v="Swap_L18 + L21 + NR 2.6 32T"/>
    <s v="Outdoor"/>
    <s v="Swap_0"/>
    <x v="0"/>
    <x v="2"/>
    <m/>
    <e v="#N/A"/>
    <s v="CRAN"/>
    <s v="Sub"/>
    <n v="3"/>
  </r>
  <r>
    <s v="Kiên Giang"/>
    <s v="KGPQ48"/>
    <s v="KGPQ48"/>
    <s v="Swap"/>
    <s v="Dual-band"/>
    <n v="4"/>
    <s v="New"/>
    <s v="PS mới 5G C"/>
    <n v="103.96522"/>
    <n v="10.22944"/>
    <s v="Phu Quoc"/>
    <n v="0"/>
    <s v="Swap_L18 + L21 + NR 2.6 32T"/>
    <s v="Outdoor"/>
    <s v="Swap_0"/>
    <x v="0"/>
    <x v="0"/>
    <m/>
    <e v="#N/A"/>
    <s v="Macro"/>
    <s v="Master"/>
    <n v="4"/>
  </r>
  <r>
    <s v="Kiên Giang"/>
    <s v="KGPQ82"/>
    <s v="KGPQ48"/>
    <s v="Swap"/>
    <s v="Dual-band"/>
    <n v="3"/>
    <s v="New"/>
    <s v="PS mới 5G C"/>
    <n v="103.96254"/>
    <n v="10.238723999999999"/>
    <s v="Phu Quoc"/>
    <n v="0"/>
    <s v="Swap_L18 + L21 + NR 2.6 32T"/>
    <s v="Outdoor"/>
    <s v="Swap_0"/>
    <x v="0"/>
    <x v="0"/>
    <m/>
    <e v="#N/A"/>
    <s v="CRAN"/>
    <s v="Sub"/>
    <n v="4"/>
  </r>
  <r>
    <s v="Kiên Giang"/>
    <s v="KGPQ96"/>
    <s v="KGPQ48"/>
    <s v="Swap"/>
    <s v="Dual-band"/>
    <n v="3"/>
    <s v="New"/>
    <s v="PS mới 5G C"/>
    <n v="103.95629"/>
    <n v="10.227679999999999"/>
    <s v="Phu Quoc"/>
    <n v="0"/>
    <s v="Swap_L18 + L21 + NR 2.6 32T"/>
    <s v="Outdoor"/>
    <s v="Swap_0"/>
    <x v="0"/>
    <x v="0"/>
    <m/>
    <e v="#N/A"/>
    <s v="CRAN"/>
    <s v="Sub"/>
    <n v="4"/>
  </r>
  <r>
    <s v="Kiên Giang"/>
    <s v="KGPQB3"/>
    <s v="KGPQ48"/>
    <s v="Swap"/>
    <s v="Dual-band"/>
    <n v="3"/>
    <s v="New"/>
    <s v="PS mới 5G C"/>
    <n v="103.969393"/>
    <n v="10.233188999999999"/>
    <s v="Phu Quoc"/>
    <n v="0"/>
    <s v="Swap_L18 + L21 + NR 2.6 32T"/>
    <s v="Outdoor"/>
    <s v="Swap_0"/>
    <x v="0"/>
    <x v="0"/>
    <m/>
    <e v="#N/A"/>
    <s v="CRAN"/>
    <s v="Sub"/>
    <n v="4"/>
  </r>
  <r>
    <s v="Kiên Giang"/>
    <s v="KGPQ49"/>
    <s v="KGPQ49"/>
    <s v="Swap"/>
    <s v="Dual-band"/>
    <n v="3"/>
    <m/>
    <m/>
    <n v="103.938"/>
    <n v="10.2599"/>
    <s v="Phu Quoc"/>
    <n v="0"/>
    <s v="Swap_L18 + L21"/>
    <s v="Outdoor"/>
    <s v="Swap_0"/>
    <x v="0"/>
    <x v="13"/>
    <m/>
    <e v="#N/A"/>
    <s v="Macro"/>
    <m/>
    <n v="1"/>
  </r>
  <r>
    <s v="Kiên Giang"/>
    <s v="KGPQ50"/>
    <s v="KGPQ50"/>
    <s v="Swap"/>
    <s v="Dual-band"/>
    <n v="4"/>
    <s v="New"/>
    <s v="PS mới 5G C"/>
    <n v="103.96258"/>
    <n v="10.218299999999999"/>
    <s v="Phu Quoc"/>
    <n v="0"/>
    <s v="Swap_L18 + L21 + NR 2.6 32T"/>
    <s v="Outdoor"/>
    <s v="Swap_0"/>
    <x v="0"/>
    <x v="0"/>
    <m/>
    <e v="#N/A"/>
    <s v="Macro"/>
    <m/>
    <n v="1"/>
  </r>
  <r>
    <s v="Kiên Giang"/>
    <s v="KGPQ51"/>
    <s v="KGPQ51"/>
    <s v="Swap"/>
    <s v="Dual-band"/>
    <n v="3"/>
    <s v="New"/>
    <s v="PS mới 5G C"/>
    <n v="104.02032"/>
    <n v="10.036519999999999"/>
    <s v="Phu Quoc"/>
    <n v="0"/>
    <s v="Swap_L18 + L21 + NR 2.6 32T"/>
    <s v="Outdoor"/>
    <s v="Swap_0"/>
    <x v="0"/>
    <x v="8"/>
    <m/>
    <e v="#N/A"/>
    <s v="Macro"/>
    <s v="Master"/>
    <n v="2"/>
  </r>
  <r>
    <s v="Kiên Giang"/>
    <s v="KGPQL4"/>
    <s v="KGPQ51"/>
    <s v="Swap"/>
    <s v="Single-Band"/>
    <n v="4"/>
    <s v="New"/>
    <s v="PS mới 5G C"/>
    <n v="104.02969"/>
    <n v="10.038427"/>
    <s v="Phu Quoc"/>
    <n v="0"/>
    <s v="Swap_L18 + NR 7 + L9"/>
    <s v="Outdoor"/>
    <s v="Swap_0"/>
    <x v="0"/>
    <x v="3"/>
    <m/>
    <e v="#N/A"/>
    <s v="CRAN"/>
    <s v="Sub"/>
    <n v="2"/>
  </r>
  <r>
    <s v="Kiên Giang"/>
    <s v="KGPQ52"/>
    <s v="KGPQ52"/>
    <s v="Swap"/>
    <s v="Dual-band"/>
    <n v="4"/>
    <s v="New"/>
    <s v="PS mới 5G C"/>
    <n v="104.017718"/>
    <n v="10.074078999999999"/>
    <s v="Phu Quoc"/>
    <n v="0"/>
    <s v="Swap_L18 + L21 + NR 2.6 32T"/>
    <s v="Outdoor"/>
    <s v="Swap_0"/>
    <x v="0"/>
    <x v="14"/>
    <m/>
    <e v="#N/A"/>
    <s v="Macro"/>
    <m/>
    <n v="1"/>
  </r>
  <r>
    <s v="Kiên Giang"/>
    <s v="KGPQ53"/>
    <s v="KGPQ53"/>
    <s v="Swap"/>
    <s v="Dual-band"/>
    <n v="3"/>
    <s v="New"/>
    <s v="PS mới 5G C"/>
    <n v="104.00996000000001"/>
    <n v="10.02088"/>
    <s v="Phu Quoc"/>
    <n v="0"/>
    <s v="Swap_L18 + L21 + NR 2.6 32T"/>
    <s v="Outdoor"/>
    <s v="Swap_0"/>
    <x v="0"/>
    <x v="3"/>
    <m/>
    <e v="#N/A"/>
    <s v="Macro"/>
    <m/>
    <n v="1"/>
  </r>
  <r>
    <s v="Kiên Giang"/>
    <s v="KGPQ54"/>
    <s v="KGPQ54"/>
    <s v="Swap"/>
    <s v="Dual-band"/>
    <n v="3"/>
    <s v="New"/>
    <s v="PS mới 5G C"/>
    <n v="103.855265"/>
    <n v="10.330188"/>
    <s v="Phu Quoc"/>
    <n v="0"/>
    <s v="Swap_L18 + L21 + NR 2.6 32T"/>
    <s v="Outdoor"/>
    <s v="Swap_0"/>
    <x v="0"/>
    <x v="15"/>
    <m/>
    <e v="#N/A"/>
    <s v="Macro"/>
    <m/>
    <n v="1"/>
  </r>
  <r>
    <s v="Kiên Giang"/>
    <s v="KGPQ55"/>
    <s v="KGPQ55"/>
    <s v="Swap"/>
    <s v="Single-Band"/>
    <n v="3"/>
    <m/>
    <m/>
    <n v="103.85341"/>
    <n v="10.330857"/>
    <s v="Phu Quoc"/>
    <n v="0"/>
    <s v="Swap_L18"/>
    <s v="Indoor"/>
    <s v="Swap_0"/>
    <x v="0"/>
    <x v="15"/>
    <m/>
    <e v="#N/A"/>
    <s v="IBC"/>
    <m/>
    <n v="1"/>
  </r>
  <r>
    <s v="Kiên Giang"/>
    <s v="KGPQ56"/>
    <s v="KGPQ56"/>
    <s v="Swap"/>
    <s v="Single-Band"/>
    <n v="3"/>
    <m/>
    <m/>
    <n v="103.85192000000001"/>
    <n v="10.331199"/>
    <s v="Phu Quoc"/>
    <n v="0"/>
    <s v="Swap_L18"/>
    <s v="Outdoor"/>
    <s v="Swap_0"/>
    <x v="0"/>
    <x v="15"/>
    <m/>
    <e v="#N/A"/>
    <s v="Macro"/>
    <m/>
    <n v="1"/>
  </r>
  <r>
    <s v="Kiên Giang"/>
    <s v="KGPQ58"/>
    <s v="KGPQ58"/>
    <s v="Swap"/>
    <s v="Dual-band"/>
    <n v="3"/>
    <m/>
    <m/>
    <n v="103.9807"/>
    <n v="10.1288"/>
    <s v="Phu Quoc"/>
    <n v="0"/>
    <s v="Swap_L18 + L21"/>
    <s v="Outdoor"/>
    <s v="Swap_0"/>
    <x v="0"/>
    <x v="16"/>
    <m/>
    <e v="#N/A"/>
    <s v="Macro + IBC"/>
    <m/>
    <n v="1"/>
  </r>
  <r>
    <s v="Kiên Giang"/>
    <s v="KGPQ61"/>
    <s v="KGPQ61"/>
    <s v="Swap"/>
    <s v="Single-Band"/>
    <n v="3"/>
    <m/>
    <m/>
    <n v="103.868646"/>
    <n v="10.335936"/>
    <s v="Phu Quoc"/>
    <n v="0"/>
    <s v="Swap_L18"/>
    <s v="Outdoor"/>
    <s v="Swap_0"/>
    <x v="0"/>
    <x v="4"/>
    <m/>
    <e v="#N/A"/>
    <s v="Macro"/>
    <m/>
    <n v="1"/>
  </r>
  <r>
    <s v="Kiên Giang"/>
    <s v="KGPQ62"/>
    <s v="KGPQ62"/>
    <s v="Swap"/>
    <s v="Dual-band"/>
    <n v="4"/>
    <s v="New"/>
    <s v="PS mới 5G C"/>
    <n v="103.85"/>
    <n v="10.3375"/>
    <s v="Phu Quoc"/>
    <n v="0"/>
    <s v="Swap_L18 + L21 + NR 2.6 32T"/>
    <s v="Outdoor"/>
    <s v="Swap_0"/>
    <x v="0"/>
    <x v="5"/>
    <m/>
    <e v="#N/A"/>
    <s v="Macro + IBC"/>
    <m/>
    <n v="1"/>
  </r>
  <r>
    <s v="Kiên Giang"/>
    <s v="KGPQ63"/>
    <s v="KGPQ63"/>
    <s v="Swap"/>
    <s v="Dual-band"/>
    <n v="4"/>
    <s v="New"/>
    <s v="PS mới 5G C"/>
    <n v="104.029579"/>
    <n v="10.032678000000001"/>
    <s v="Phu Quoc"/>
    <n v="0"/>
    <s v="Swap_L18 + L21 + NR 2.6 32T"/>
    <s v="Outdoor"/>
    <s v="Swap_0"/>
    <x v="0"/>
    <x v="3"/>
    <m/>
    <e v="#N/A"/>
    <s v="Macro + IBC"/>
    <m/>
    <n v="1"/>
  </r>
  <r>
    <s v="Kiên Giang"/>
    <s v="KGPQ35"/>
    <s v="KGPQ73"/>
    <s v="Swap"/>
    <s v="Dual-band"/>
    <n v="3"/>
    <m/>
    <m/>
    <n v="103.86086"/>
    <n v="10.306710000000001"/>
    <s v="Phu Quoc"/>
    <n v="0"/>
    <s v="Swap_L18 + L21"/>
    <s v="Outdoor"/>
    <s v="Swap_0"/>
    <x v="0"/>
    <x v="4"/>
    <m/>
    <e v="#N/A"/>
    <s v="CRAN"/>
    <s v="Sub"/>
    <n v="4"/>
  </r>
  <r>
    <s v="Kiên Giang"/>
    <s v="KGPQ59"/>
    <s v="KGPQ73"/>
    <s v="Swap"/>
    <s v="Dual-band"/>
    <n v="3"/>
    <s v="New"/>
    <s v="PS mới 5G C"/>
    <n v="103.890852"/>
    <n v="10.337451"/>
    <s v="Phu Quoc"/>
    <n v="0"/>
    <s v="Swap_L18 + L21 + NR 2.6 32T"/>
    <s v="Outdoor"/>
    <s v="Swap_0"/>
    <x v="0"/>
    <x v="4"/>
    <m/>
    <e v="#N/A"/>
    <s v="CRAN"/>
    <s v="Sub"/>
    <n v="4"/>
  </r>
  <r>
    <s v="Kiên Giang"/>
    <s v="KGPQ73"/>
    <s v="KGPQ73"/>
    <s v="Swap"/>
    <s v="Dual-band"/>
    <n v="4"/>
    <s v="New"/>
    <s v="PS mới 5G C"/>
    <n v="103.88346"/>
    <n v="10.318630000000001"/>
    <s v="Phu Quoc"/>
    <n v="0"/>
    <s v="Swap_L18 + L21 + NR 2.6 32T"/>
    <s v="Outdoor"/>
    <s v="Swap_0"/>
    <x v="0"/>
    <x v="4"/>
    <m/>
    <e v="#N/A"/>
    <s v="Macro"/>
    <s v="Master"/>
    <n v="4"/>
  </r>
  <r>
    <s v="Kiên Giang"/>
    <s v="KGPQE6"/>
    <s v="KGPQ73"/>
    <s v="Swap"/>
    <s v="Dual-band"/>
    <n v="3"/>
    <m/>
    <m/>
    <n v="103.90181"/>
    <n v="10.32156"/>
    <s v="Phu Quoc"/>
    <n v="0"/>
    <s v="Swap_L18 + L21"/>
    <s v="Outdoor"/>
    <s v="Swap_0"/>
    <x v="0"/>
    <x v="4"/>
    <m/>
    <e v="#N/A"/>
    <s v="CRAN"/>
    <s v="Sub"/>
    <n v="4"/>
  </r>
  <r>
    <s v="Kiên Giang"/>
    <s v="KGPQ74"/>
    <s v="KGPQ74"/>
    <s v="Swap"/>
    <s v="Dual-band"/>
    <n v="3"/>
    <s v="New"/>
    <s v="PS mới 5G C"/>
    <n v="104.009832"/>
    <n v="10.158704999999999"/>
    <s v="Phu Quoc"/>
    <n v="0"/>
    <s v="Swap_L18 + L21 + NR 2.6 32T"/>
    <s v="Outdoor"/>
    <s v="Swap_0"/>
    <x v="0"/>
    <x v="12"/>
    <m/>
    <e v="#N/A"/>
    <s v="Macro"/>
    <s v="Master"/>
    <n v="3"/>
  </r>
  <r>
    <s v="Kiên Giang"/>
    <s v="KGPQB5"/>
    <s v="KGPQ74"/>
    <s v="Swap"/>
    <s v="Dual-band"/>
    <n v="3"/>
    <s v="Swap"/>
    <s v="Swap (PS mới 5G A)"/>
    <n v="103.997913"/>
    <n v="10.157044000000001"/>
    <s v="Phu Quoc"/>
    <n v="0"/>
    <s v="Swap_L18 + L21 + NR 2.6 64T + NR 3.8"/>
    <s v="Outdoor"/>
    <s v="Swap_0"/>
    <x v="0"/>
    <x v="12"/>
    <m/>
    <e v="#N/A"/>
    <s v="CRAN"/>
    <s v="Sub"/>
    <n v="3"/>
  </r>
  <r>
    <s v="Kiên Giang"/>
    <s v="KGPQI2"/>
    <s v="KGPQ74"/>
    <s v="Swap"/>
    <s v="Single-Band"/>
    <n v="3"/>
    <m/>
    <m/>
    <n v="104.021394"/>
    <n v="10.166320000000001"/>
    <s v="Phu Quoc"/>
    <n v="0"/>
    <s v="Swap_L18"/>
    <s v="Outdoor"/>
    <s v="Swap_0"/>
    <x v="0"/>
    <x v="12"/>
    <m/>
    <e v="#N/A"/>
    <s v="CRAN"/>
    <s v="Sub"/>
    <n v="3"/>
  </r>
  <r>
    <s v="Kiên Giang"/>
    <s v="KGPQ75"/>
    <s v="KGPQ75"/>
    <s v="Swap"/>
    <s v="Dual-band"/>
    <n v="4"/>
    <s v="New"/>
    <s v="PS mới 5G C"/>
    <n v="104.00170900000001"/>
    <n v="10.255160999999999"/>
    <s v="Phu Quoc"/>
    <n v="0"/>
    <s v="Swap_L18 + L21 + NR 2.6 32T"/>
    <s v="Outdoor"/>
    <s v="Swap_0"/>
    <x v="0"/>
    <x v="2"/>
    <m/>
    <e v="#N/A"/>
    <s v="Macro"/>
    <m/>
    <n v="1"/>
  </r>
  <r>
    <s v="Kiên Giang"/>
    <s v="KGPQ76"/>
    <s v="KGPQ76"/>
    <s v="Swap"/>
    <s v="Dual-band"/>
    <n v="4"/>
    <s v="New"/>
    <s v="PS mới 5G C"/>
    <n v="104.01295"/>
    <n v="10.237349"/>
    <s v="Phu Quoc"/>
    <n v="0"/>
    <s v="Swap_L18 + L21 + NR 2.6 32T"/>
    <s v="Outdoor"/>
    <s v="Swap_0"/>
    <x v="0"/>
    <x v="2"/>
    <m/>
    <e v="#N/A"/>
    <s v="Macro"/>
    <m/>
    <n v="1"/>
  </r>
  <r>
    <s v="Kiên Giang"/>
    <s v="KGPQ77"/>
    <s v="KGPQ77"/>
    <s v="Swap"/>
    <s v="Dual-band"/>
    <n v="3"/>
    <s v="New"/>
    <s v="PS mới 5G C"/>
    <n v="104.008781"/>
    <n v="10.119643999999999"/>
    <s v="Phu Quoc"/>
    <n v="0"/>
    <s v="Swap_L18 + L21 + NR 2.6 32T"/>
    <s v="Outdoor"/>
    <s v="Swap_0"/>
    <x v="0"/>
    <x v="12"/>
    <m/>
    <e v="#N/A"/>
    <s v="Macro"/>
    <s v="Master"/>
    <n v="3"/>
  </r>
  <r>
    <s v="Kiên Giang"/>
    <s v="KGPQ92"/>
    <s v="KGPQ77"/>
    <s v="Swap"/>
    <s v="Dual-band"/>
    <n v="3"/>
    <s v="New"/>
    <s v="PS mới 5G C"/>
    <n v="103.99773"/>
    <n v="10.107419999999999"/>
    <s v="Phu Quoc"/>
    <n v="0"/>
    <s v="Swap_L18 + L21 + NR 2.6 32T"/>
    <s v="Outdoor"/>
    <s v="Swap_0"/>
    <x v="0"/>
    <x v="12"/>
    <m/>
    <e v="#N/A"/>
    <s v="CRAN"/>
    <s v="Sub"/>
    <n v="3"/>
  </r>
  <r>
    <s v="Kiên Giang"/>
    <s v="KGPQF7"/>
    <s v="KGPQ77"/>
    <s v="Swap"/>
    <s v="Dual-band"/>
    <n v="3"/>
    <s v="New"/>
    <s v="PS mới 5G C"/>
    <n v="104.01552599999999"/>
    <n v="10.110225"/>
    <s v="Phu Quoc"/>
    <n v="0"/>
    <s v="Swap_L18 + L21 + NR 2.6 32T"/>
    <s v="Outdoor"/>
    <s v="Swap_0"/>
    <x v="0"/>
    <x v="12"/>
    <m/>
    <e v="#N/A"/>
    <s v="CRAN"/>
    <s v="Sub"/>
    <n v="3"/>
  </r>
  <r>
    <s v="Kiên Giang"/>
    <s v="KGPQ78"/>
    <s v="KGPQ78"/>
    <s v="Swap"/>
    <s v="Dual-band"/>
    <n v="4"/>
    <s v="New"/>
    <s v="PS mới 5G C"/>
    <n v="103.92245"/>
    <n v="10.303748000000001"/>
    <s v="Phu Quoc"/>
    <n v="0"/>
    <s v="Swap_L18 + L21 + NR 2.6 32T"/>
    <s v="Outdoor"/>
    <s v="Swap_0"/>
    <x v="0"/>
    <x v="4"/>
    <m/>
    <e v="#N/A"/>
    <s v="Macro"/>
    <m/>
    <n v="1"/>
  </r>
  <r>
    <s v="Kiên Giang"/>
    <s v="KGPQ80"/>
    <s v="KGPQ80"/>
    <s v="Swap"/>
    <s v="Dual-band"/>
    <n v="3"/>
    <m/>
    <m/>
    <n v="103.94356999999999"/>
    <n v="10.253911"/>
    <s v="Phu Quoc"/>
    <n v="0"/>
    <s v="Swap_L18 + L21"/>
    <s v="Outdoor"/>
    <s v="Swap_0"/>
    <x v="0"/>
    <x v="13"/>
    <m/>
    <e v="#N/A"/>
    <s v="Macro"/>
    <m/>
    <n v="1"/>
  </r>
  <r>
    <s v="Kiên Giang"/>
    <s v="KGPQ81"/>
    <s v="KGPQ81"/>
    <s v="Swap"/>
    <s v="Dual-band"/>
    <n v="3"/>
    <s v="New"/>
    <s v="PS mới 5G C"/>
    <n v="103.97953"/>
    <n v="10.25689"/>
    <s v="Phu Quoc"/>
    <n v="0"/>
    <s v="Swap_L18 + L21 + NR 2.6 32T"/>
    <s v="Outdoor"/>
    <s v="Swap_0"/>
    <x v="0"/>
    <x v="11"/>
    <m/>
    <e v="#N/A"/>
    <s v="Macro"/>
    <m/>
    <n v="1"/>
  </r>
  <r>
    <s v="Kiên Giang"/>
    <s v="KGPQ84"/>
    <s v="KGPQ84"/>
    <s v="Swap"/>
    <s v="Dual-band"/>
    <n v="3"/>
    <s v="New"/>
    <s v="PS mới 5G C"/>
    <n v="103.9448"/>
    <n v="10.265029999999999"/>
    <s v="Phu Quoc"/>
    <n v="0"/>
    <s v="Swap_L18 + L21 + NR 2.6 32T"/>
    <s v="Outdoor"/>
    <s v="Swap_0"/>
    <x v="0"/>
    <x v="13"/>
    <m/>
    <e v="#N/A"/>
    <s v="Macro"/>
    <m/>
    <n v="1"/>
  </r>
  <r>
    <s v="Kiên Giang"/>
    <s v="KGPQ85"/>
    <s v="KGPQ86"/>
    <s v="Swap"/>
    <s v="Dual-band"/>
    <n v="3"/>
    <s v="New"/>
    <s v="PS mới 5G C"/>
    <n v="103.848125"/>
    <n v="10.344148000000001"/>
    <s v="Phu Quoc"/>
    <n v="0"/>
    <s v="Swap_L18 + L21 + NR 2.6 32T"/>
    <s v="Outdoor"/>
    <s v="Swap_0"/>
    <x v="0"/>
    <x v="5"/>
    <m/>
    <e v="#N/A"/>
    <s v="CRAN"/>
    <s v="Sub"/>
    <n v="3"/>
  </r>
  <r>
    <s v="Kiên Giang"/>
    <s v="KGPQ86"/>
    <s v="KGPQ86"/>
    <s v="Swap"/>
    <s v="Dual-band"/>
    <n v="3"/>
    <s v="Swap"/>
    <s v="Swap (PS mới 5G A)"/>
    <n v="103.84699999999999"/>
    <n v="10.36073"/>
    <s v="Phu Quoc"/>
    <n v="0"/>
    <s v="Swap_L18 + L21 + NR 2.6 64T + NR 3.8"/>
    <s v="Outdoor"/>
    <s v="Swap_0"/>
    <x v="0"/>
    <x v="5"/>
    <m/>
    <e v="#N/A"/>
    <s v="Macro"/>
    <s v="Master"/>
    <n v="3"/>
  </r>
  <r>
    <s v="Kiên Giang"/>
    <s v="KGPQX6"/>
    <s v="KGPQ86"/>
    <s v="Swap"/>
    <s v="Dual-band"/>
    <n v="3"/>
    <s v="New"/>
    <s v="PS mới 5G C"/>
    <n v="103.8429"/>
    <n v="10.3591"/>
    <s v="Phu Quoc"/>
    <n v="0"/>
    <s v="Swap_L18 + L21 + NR 2.6 32T"/>
    <s v="Outdoor"/>
    <s v="Swap_0"/>
    <x v="0"/>
    <x v="5"/>
    <m/>
    <e v="#N/A"/>
    <s v="CRAN"/>
    <s v="Sub"/>
    <n v="3"/>
  </r>
  <r>
    <s v="Kiên Giang"/>
    <s v="KGPQ88"/>
    <s v="KGPQ88"/>
    <s v="Swap"/>
    <s v="Dual-band"/>
    <n v="3"/>
    <s v="New"/>
    <s v="PS mới 5G C"/>
    <n v="103.97172999999999"/>
    <n v="10.31132"/>
    <s v="Phu Quoc"/>
    <n v="0"/>
    <s v="Swap_L18 + L21 + NR 2.6 32T"/>
    <s v="Outdoor"/>
    <s v="Swap_0"/>
    <x v="0"/>
    <x v="9"/>
    <m/>
    <e v="#N/A"/>
    <s v="Macro"/>
    <m/>
    <n v="1"/>
  </r>
  <r>
    <s v="Kiên Giang"/>
    <s v="KGPQ89"/>
    <s v="KGPQ89"/>
    <s v="Swap"/>
    <s v="Dual-band"/>
    <n v="3"/>
    <s v="New"/>
    <s v="PS mới 5G C"/>
    <n v="104.01652"/>
    <n v="10.03299"/>
    <s v="Phu Quoc"/>
    <n v="0"/>
    <s v="Swap_L18 + L21 + NR 2.6 32T"/>
    <s v="Outdoor"/>
    <s v="Swap_0"/>
    <x v="0"/>
    <x v="8"/>
    <m/>
    <e v="#N/A"/>
    <s v="Macro"/>
    <s v="Master"/>
    <n v="2"/>
  </r>
  <r>
    <s v="Kiên Giang"/>
    <s v="KGPQC7"/>
    <s v="KGPQ89"/>
    <s v="Swap"/>
    <s v="Dual-band"/>
    <n v="3"/>
    <s v="New"/>
    <s v="PS mới 5G C"/>
    <n v="104.04947300000001"/>
    <n v="10.007562999999999"/>
    <s v="Phu Quoc"/>
    <n v="0"/>
    <s v="Swap_L18 + L21 + NR 2.6 32T"/>
    <s v="Outdoor"/>
    <s v="Swap_0"/>
    <x v="0"/>
    <x v="3"/>
    <m/>
    <e v="#N/A"/>
    <s v="CRAN"/>
    <s v="Sub"/>
    <n v="2"/>
  </r>
  <r>
    <s v="Kiên Giang"/>
    <s v="KGPQ93"/>
    <s v="KGPQ93"/>
    <s v="Swap"/>
    <s v="Dual-band"/>
    <n v="3"/>
    <s v="New"/>
    <s v="PS mới 5G C"/>
    <n v="104.03279000000001"/>
    <n v="10.17563"/>
    <s v="Phu Quoc"/>
    <n v="0"/>
    <s v="Swap_L18 + L21 + NR 2.6 32T"/>
    <s v="Outdoor"/>
    <s v="Swap_0"/>
    <x v="0"/>
    <x v="6"/>
    <m/>
    <e v="#N/A"/>
    <s v="Macro"/>
    <m/>
    <n v="1"/>
  </r>
  <r>
    <s v="Kiên Giang"/>
    <s v="KGPQ94"/>
    <s v="KGPQ94"/>
    <s v="Swap"/>
    <s v="Dual-band"/>
    <n v="4"/>
    <s v="New"/>
    <s v="PS mới 5G C"/>
    <n v="104.00391999999999"/>
    <n v="10.056699999999999"/>
    <s v="Phu Quoc"/>
    <n v="0"/>
    <s v="Swap_L18 + L21 + NR 2.6 32T"/>
    <s v="Outdoor"/>
    <s v="Swap_0"/>
    <x v="0"/>
    <x v="14"/>
    <m/>
    <e v="#N/A"/>
    <s v="Macro"/>
    <s v="Master"/>
    <n v="3"/>
  </r>
  <r>
    <s v="Kiên Giang"/>
    <s v="KGPQG4"/>
    <s v="KGPQ94"/>
    <s v="Swap"/>
    <s v="Dual-band"/>
    <n v="3"/>
    <m/>
    <m/>
    <n v="104.009539"/>
    <n v="10.065816"/>
    <s v="Phu Quoc"/>
    <n v="0"/>
    <s v="Swap_L18 + L21"/>
    <s v="Outdoor"/>
    <s v="Swap_0"/>
    <x v="0"/>
    <x v="14"/>
    <m/>
    <e v="#N/A"/>
    <s v="CRAN"/>
    <s v="Sub"/>
    <n v="3"/>
  </r>
  <r>
    <s v="Kiên Giang"/>
    <s v="KGPQY2"/>
    <s v="KGPQ94"/>
    <s v="Swap"/>
    <s v="Dual-band"/>
    <n v="3"/>
    <s v="New"/>
    <s v="PS mới 5G C"/>
    <n v="104.00096000000001"/>
    <n v="10.044964999999999"/>
    <s v="Phu Quoc"/>
    <n v="0"/>
    <s v="Swap_L18 + L21 + NR 2.6 32T"/>
    <s v="Outdoor"/>
    <s v="Swap_0"/>
    <x v="0"/>
    <x v="14"/>
    <m/>
    <e v="#N/A"/>
    <s v="CRAN"/>
    <s v="Sub"/>
    <n v="3"/>
  </r>
  <r>
    <s v="Kiên Giang"/>
    <s v="KGPQ95"/>
    <s v="KGPQ95"/>
    <s v="Swap"/>
    <s v="Dual-band"/>
    <n v="3"/>
    <s v="New"/>
    <s v="PS mới 5G C"/>
    <n v="103.90572"/>
    <n v="10.307840000000001"/>
    <s v="Phu Quoc"/>
    <n v="0"/>
    <s v="Swap_L18 + L21 + NR 2.6 32T"/>
    <s v="Outdoor"/>
    <s v="Swap_0"/>
    <x v="0"/>
    <x v="4"/>
    <m/>
    <e v="#N/A"/>
    <s v="Macro"/>
    <m/>
    <n v="1"/>
  </r>
  <r>
    <s v="Kiên Giang"/>
    <s v="KGPQ90"/>
    <s v="KGPQ98"/>
    <s v="Swap"/>
    <s v="Dual-band"/>
    <n v="3"/>
    <s v="New"/>
    <s v="PS mới 5G C"/>
    <n v="104.02238"/>
    <n v="10.210850000000001"/>
    <s v="Phu Quoc"/>
    <n v="0"/>
    <s v="Swap_L18 + L21 + NR 2.6 32T"/>
    <s v="Outdoor"/>
    <s v="Swap_0"/>
    <x v="0"/>
    <x v="1"/>
    <m/>
    <e v="#N/A"/>
    <s v="CRAN"/>
    <s v="Sub"/>
    <n v="2"/>
  </r>
  <r>
    <s v="Kiên Giang"/>
    <s v="KGPQ98"/>
    <s v="KGPQ98"/>
    <s v="Swap"/>
    <s v="Dual-band"/>
    <n v="3"/>
    <s v="New"/>
    <s v="PS mới 5G C"/>
    <n v="103.999363"/>
    <n v="10.210253"/>
    <s v="Phu Quoc"/>
    <n v="0"/>
    <s v="Swap_L18 + L21 + NR 2.6 32T"/>
    <s v="Outdoor"/>
    <s v="Swap_0"/>
    <x v="0"/>
    <x v="1"/>
    <m/>
    <e v="#N/A"/>
    <s v="Macro"/>
    <s v="Master"/>
    <n v="2"/>
  </r>
  <r>
    <s v="Kiên Giang"/>
    <s v="KGPQ42"/>
    <s v="KGPQ99"/>
    <s v="Swap"/>
    <s v="Dual-band"/>
    <n v="3"/>
    <s v="New"/>
    <s v="PS mới 5G C"/>
    <n v="103.976911"/>
    <n v="10.146084999999999"/>
    <s v="Phu Quoc"/>
    <n v="0"/>
    <s v="Swap_L18 + L21 + NR 2.6 32T"/>
    <s v="Outdoor"/>
    <s v="Swap_0"/>
    <x v="0"/>
    <x v="16"/>
    <m/>
    <e v="#N/A"/>
    <s v="CRAN"/>
    <s v="Sub"/>
    <n v="3"/>
  </r>
  <r>
    <s v="Kiên Giang"/>
    <s v="KGPQ99"/>
    <s v="KGPQ99"/>
    <s v="Swap"/>
    <s v="Dual-band"/>
    <n v="3"/>
    <s v="New"/>
    <s v="PS mới 5G C"/>
    <n v="103.98845"/>
    <n v="10.137214"/>
    <s v="Phu Quoc"/>
    <n v="0"/>
    <s v="Swap_L18 + L21 + NR 2.6 32T"/>
    <s v="Outdoor"/>
    <s v="Swap_0"/>
    <x v="0"/>
    <x v="16"/>
    <m/>
    <e v="#N/A"/>
    <s v="Macro"/>
    <s v="Master"/>
    <n v="3"/>
  </r>
  <r>
    <s v="Kiên Giang"/>
    <s v="KGPQI3"/>
    <s v="KGPQ99"/>
    <s v="Swap"/>
    <s v="Dual-band"/>
    <n v="3"/>
    <s v="New"/>
    <s v="PS mới 5G C"/>
    <n v="103.97978999999999"/>
    <n v="10.13456"/>
    <s v="Phu Quoc"/>
    <n v="0"/>
    <s v="Swap_L18 + L21 + NR 2.6 32T"/>
    <s v="Outdoor"/>
    <s v="Swap_0"/>
    <x v="0"/>
    <x v="16"/>
    <m/>
    <e v="#N/A"/>
    <s v="CRAN"/>
    <s v="Sub"/>
    <n v="3"/>
  </r>
  <r>
    <s v="Kiên Giang"/>
    <s v="KGPQA2"/>
    <s v="KGPQA2"/>
    <s v="Swap"/>
    <s v="Dual-band"/>
    <n v="3"/>
    <s v="New"/>
    <s v="PS mới 5G C"/>
    <n v="103.977126"/>
    <n v="10.162352"/>
    <s v="Phu Quoc"/>
    <n v="0"/>
    <s v="Swap_L18 + L21 + NR 2.6 32T"/>
    <s v="Outdoor"/>
    <s v="Swap_0"/>
    <x v="0"/>
    <x v="16"/>
    <m/>
    <e v="#N/A"/>
    <s v="Macro"/>
    <s v="Master"/>
    <n v="2"/>
  </r>
  <r>
    <s v="Kiên Giang"/>
    <s v="KGPQF6"/>
    <s v="KGPQA2"/>
    <s v="Swap"/>
    <s v="Dual-band"/>
    <n v="3"/>
    <s v="New"/>
    <s v="PS mới 5G C"/>
    <n v="103.981151"/>
    <n v="10.154328"/>
    <s v="Phu Quoc"/>
    <n v="0"/>
    <s v="Swap_L18 + L21 + NR 2.6 32T"/>
    <s v="Outdoor"/>
    <s v="Swap_0"/>
    <x v="0"/>
    <x v="16"/>
    <m/>
    <e v="#N/A"/>
    <s v="CRAN"/>
    <s v="Sub"/>
    <n v="2"/>
  </r>
  <r>
    <s v="Kiên Giang"/>
    <s v="KGPQA3"/>
    <s v="KGPQA3"/>
    <s v="Swap"/>
    <s v="Dual-band"/>
    <n v="3"/>
    <s v="New"/>
    <s v="PS mới 5G C"/>
    <n v="103.973491"/>
    <n v="10.176738"/>
    <s v="Phu Quoc"/>
    <n v="0"/>
    <s v="Swap_L18 + L21 + NR 2.6 32T"/>
    <s v="Outdoor"/>
    <s v="Swap_0"/>
    <x v="0"/>
    <x v="10"/>
    <m/>
    <e v="#N/A"/>
    <s v="Macro"/>
    <m/>
    <n v="1"/>
  </r>
  <r>
    <s v="Kiên Giang"/>
    <s v="KGPQA4"/>
    <s v="KGPQA4"/>
    <s v="Swap"/>
    <s v="Dual-band"/>
    <n v="4"/>
    <s v="New"/>
    <s v="PS mới 5G C"/>
    <n v="103.9837"/>
    <n v="10.1126"/>
    <s v="Phu Quoc"/>
    <n v="0"/>
    <s v="Swap_L18 + L21 + NR 2.6 32T"/>
    <s v="Outdoor"/>
    <s v="Swap_0"/>
    <x v="0"/>
    <x v="16"/>
    <m/>
    <e v="#N/A"/>
    <s v="Macro + IBC"/>
    <m/>
    <n v="1"/>
  </r>
  <r>
    <s v="Kiên Giang"/>
    <s v="KGPQA5"/>
    <s v="KGPQA5"/>
    <s v="Swap"/>
    <s v="Dual-band"/>
    <n v="3"/>
    <s v="New"/>
    <s v="PS mới 5G C"/>
    <n v="103.96650700000001"/>
    <n v="10.190872000000001"/>
    <s v="Phu Quoc"/>
    <n v="0"/>
    <s v="Swap_L18 + L21 + NR 2.6 32T"/>
    <s v="Outdoor"/>
    <s v="Swap_0"/>
    <x v="0"/>
    <x v="10"/>
    <m/>
    <e v="#N/A"/>
    <s v="Macro"/>
    <m/>
    <n v="1"/>
  </r>
  <r>
    <s v="Kiên Giang"/>
    <s v="KGPQA7"/>
    <s v="KGPQA7"/>
    <s v="Swap"/>
    <s v="Single-Band"/>
    <n v="4"/>
    <s v="New"/>
    <s v="PS mới 5G C"/>
    <n v="104.0278"/>
    <n v="10.034685"/>
    <s v="Phu Quoc"/>
    <n v="0"/>
    <s v="Swap_L18 + NR 2.6 32T"/>
    <s v="Outdoor"/>
    <s v="Swap_0"/>
    <x v="0"/>
    <x v="3"/>
    <m/>
    <e v="#N/A"/>
    <s v="Macro + IBC"/>
    <m/>
    <n v="1"/>
  </r>
  <r>
    <s v="Kiên Giang"/>
    <s v="KGPQA9"/>
    <s v="KGPQA9"/>
    <s v="Swap"/>
    <s v="Dual-band"/>
    <n v="3"/>
    <s v="New"/>
    <s v="PS mới 5G C"/>
    <n v="103.994021"/>
    <n v="10.218045"/>
    <s v="Phu Quoc"/>
    <n v="0"/>
    <s v="Swap_L18 + L21 + NR 2.6 32T"/>
    <s v="Outdoor"/>
    <s v="Swap_0"/>
    <x v="0"/>
    <x v="1"/>
    <m/>
    <e v="#N/A"/>
    <s v="Macro"/>
    <m/>
    <n v="1"/>
  </r>
  <r>
    <s v="Kiên Giang"/>
    <s v="KGPQB0"/>
    <s v="KGPQB0"/>
    <s v="Swap"/>
    <s v="Dual-band"/>
    <n v="3"/>
    <m/>
    <m/>
    <n v="104.07210000000001"/>
    <n v="10.275722"/>
    <s v="Phu Quoc"/>
    <n v="0"/>
    <s v="Swap_L18 + L21"/>
    <s v="Outdoor"/>
    <s v="Swap_0"/>
    <x v="0"/>
    <x v="6"/>
    <m/>
    <e v="#N/A"/>
    <s v="Macro"/>
    <m/>
    <n v="1"/>
  </r>
  <r>
    <s v="Kiên Giang"/>
    <s v="KGPQB1"/>
    <s v="KGPQB1"/>
    <s v="Swap"/>
    <s v="Dual-band"/>
    <n v="3"/>
    <s v="New"/>
    <s v="PS mới 5G C"/>
    <n v="103.843492"/>
    <n v="10.369407000000001"/>
    <s v="Phu Quoc"/>
    <n v="0"/>
    <s v="Swap_L18 + L21 + NR 2.6 32T"/>
    <s v="Outdoor"/>
    <s v="Swap_0"/>
    <x v="0"/>
    <x v="5"/>
    <m/>
    <e v="#N/A"/>
    <s v="Macro"/>
    <s v="Master"/>
    <n v="2"/>
  </r>
  <r>
    <s v="Kiên Giang"/>
    <s v="KGPQE7"/>
    <s v="KGPQB1"/>
    <s v="Swap"/>
    <s v="Dual-band"/>
    <n v="3"/>
    <s v="New"/>
    <s v="PS mới 5G C"/>
    <n v="103.84862"/>
    <n v="10.368869999999999"/>
    <s v="Phu Quoc"/>
    <n v="0"/>
    <s v="Swap_L18 + L21 + NR 2.6 32T"/>
    <s v="Outdoor"/>
    <s v="Swap_0"/>
    <x v="0"/>
    <x v="5"/>
    <m/>
    <e v="#N/A"/>
    <s v="CRAN"/>
    <s v="Sub"/>
    <n v="2"/>
  </r>
  <r>
    <s v="Kiên Giang"/>
    <s v="KGPQB2"/>
    <s v="KGPQB2"/>
    <s v="Swap"/>
    <s v="Dual-band"/>
    <n v="3"/>
    <s v="New"/>
    <s v="PS mới 5G C"/>
    <n v="103.93301200000001"/>
    <n v="10.265097000000001"/>
    <s v="Phu Quoc"/>
    <n v="0"/>
    <s v="Swap_L18 + L21 + NR 2.6 32T"/>
    <s v="Outdoor"/>
    <s v="Swap_0"/>
    <x v="0"/>
    <x v="13"/>
    <m/>
    <e v="#N/A"/>
    <s v="Macro"/>
    <m/>
    <n v="1"/>
  </r>
  <r>
    <s v="Kiên Giang"/>
    <s v="KGPQB4"/>
    <s v="KGPQB4"/>
    <s v="Swap"/>
    <s v="Dual-band"/>
    <n v="3"/>
    <m/>
    <m/>
    <n v="103.48511999999999"/>
    <n v="9.3167399999999994"/>
    <s v="Phu Quoc"/>
    <n v="0"/>
    <s v="Swap_L18 + L21"/>
    <s v="Outdoor"/>
    <s v="Swap_0"/>
    <x v="0"/>
    <x v="7"/>
    <m/>
    <e v="#N/A"/>
    <s v="Macro"/>
    <m/>
    <n v="1"/>
  </r>
  <r>
    <s v="Kiên Giang"/>
    <s v="KGPQB6"/>
    <s v="KGPQB6"/>
    <s v="Swap"/>
    <s v="Dual-band"/>
    <n v="3"/>
    <s v="New"/>
    <s v="PS mới 5G C"/>
    <n v="104.00706"/>
    <n v="10.132605999999999"/>
    <s v="Phu Quoc"/>
    <n v="0"/>
    <s v="Swap_L18 + L21 + NR 2.6 32T"/>
    <s v="Outdoor"/>
    <s v="Swap_0"/>
    <x v="0"/>
    <x v="12"/>
    <m/>
    <e v="#N/A"/>
    <s v="Macro"/>
    <m/>
    <n v="1"/>
  </r>
  <r>
    <s v="Kiên Giang"/>
    <s v="KGPQB9"/>
    <s v="KGPQB9"/>
    <s v="Swap"/>
    <s v="Dual-band"/>
    <n v="3"/>
    <s v="New"/>
    <s v="PS mới 5G C"/>
    <n v="103.96171"/>
    <n v="10.26566"/>
    <s v="Phu Quoc"/>
    <n v="0"/>
    <s v="Swap_L18 + L21 + NR 2.6 32T"/>
    <s v="Outdoor"/>
    <s v="Swap_0"/>
    <x v="0"/>
    <x v="11"/>
    <m/>
    <e v="#N/A"/>
    <s v="Macro"/>
    <m/>
    <n v="1"/>
  </r>
  <r>
    <s v="Kiên Giang"/>
    <s v="KGPQC1"/>
    <s v="KGPQC1"/>
    <s v="Swap"/>
    <s v="Dual-band"/>
    <n v="3"/>
    <m/>
    <m/>
    <n v="104.05237099999999"/>
    <n v="10.401153000000001"/>
    <s v="Phu Quoc"/>
    <n v="0"/>
    <s v="Swap_L18 + L21 + NR 7 + L9"/>
    <s v="Outdoor"/>
    <s v="Swap_0"/>
    <x v="0"/>
    <x v="9"/>
    <m/>
    <e v="#N/A"/>
    <s v="Macro"/>
    <m/>
    <n v="1"/>
  </r>
  <r>
    <s v="Kiên Giang"/>
    <s v="KGPQC4"/>
    <s v="KGPQC4"/>
    <s v="Swap"/>
    <s v="Dual-band"/>
    <n v="3"/>
    <s v="New"/>
    <s v="PS mới 5G C"/>
    <n v="103.9628"/>
    <n v="10.2094"/>
    <s v="Phu Quoc"/>
    <n v="0"/>
    <s v="Swap_L18 + L21 + NR 2.6 32T"/>
    <s v="Outdoor"/>
    <s v="Swap_0"/>
    <x v="0"/>
    <x v="1"/>
    <m/>
    <e v="#N/A"/>
    <s v="Macro"/>
    <m/>
    <n v="1"/>
  </r>
  <r>
    <s v="Kiên Giang"/>
    <s v="KGPQC6"/>
    <s v="KGPQC6"/>
    <s v="Swap"/>
    <s v="Dual-band"/>
    <n v="3"/>
    <m/>
    <m/>
    <n v="104.04244"/>
    <n v="10.01233"/>
    <s v="Phu Quoc"/>
    <n v="0"/>
    <s v="Swap_L18 + L21"/>
    <s v="Outdoor"/>
    <s v="Swap_0"/>
    <x v="0"/>
    <x v="3"/>
    <m/>
    <e v="#N/A"/>
    <s v="Macro"/>
    <m/>
    <n v="1"/>
  </r>
  <r>
    <s v="Kiên Giang"/>
    <s v="KGPQC8"/>
    <s v="KGPQC8"/>
    <s v="Swap"/>
    <s v="Dual-band"/>
    <n v="3"/>
    <s v="New"/>
    <s v="PS mới 5G C"/>
    <n v="103.98957"/>
    <n v="10.119120000000001"/>
    <s v="Phu Quoc"/>
    <n v="0"/>
    <s v="Swap_L18 + L21 + NR 2.6 32T"/>
    <s v="Outdoor"/>
    <s v="Swap_0"/>
    <x v="0"/>
    <x v="16"/>
    <m/>
    <e v="#N/A"/>
    <s v="Macro"/>
    <m/>
    <n v="1"/>
  </r>
  <r>
    <s v="Kiên Giang"/>
    <s v="KGPQD2"/>
    <s v="KGPQD2"/>
    <s v="Swap"/>
    <s v="Dual-band"/>
    <n v="3"/>
    <s v="New"/>
    <s v="PS mới 5G C"/>
    <n v="104.02327"/>
    <n v="9.9734200000000008"/>
    <s v="Phu Quoc"/>
    <n v="0"/>
    <s v="Swap_L18 + L21 + NR 2.6 32T"/>
    <s v="Outdoor"/>
    <s v="Swap_0"/>
    <x v="0"/>
    <x v="7"/>
    <m/>
    <e v="#N/A"/>
    <s v="Macro"/>
    <m/>
    <n v="1"/>
  </r>
  <r>
    <s v="Kiên Giang"/>
    <s v="KGPQE1"/>
    <s v="KGPQE1"/>
    <s v="Swap"/>
    <s v="Single-Band"/>
    <n v="3"/>
    <m/>
    <m/>
    <n v="103.857094"/>
    <n v="10.31672"/>
    <s v="Phu Quoc"/>
    <n v="0"/>
    <s v="Swap_L18"/>
    <s v="Outdoor"/>
    <s v="Swap_0"/>
    <x v="0"/>
    <x v="15"/>
    <m/>
    <e v="#N/A"/>
    <s v="IBC"/>
    <s v="Sub"/>
    <n v="2"/>
  </r>
  <r>
    <s v="Kiên Giang"/>
    <s v="KGPQF4"/>
    <s v="KGPQE1"/>
    <s v="Swap"/>
    <s v="Single-Band"/>
    <n v="3"/>
    <m/>
    <m/>
    <n v="103.85717"/>
    <n v="10.31691"/>
    <s v="Phu Quoc"/>
    <n v="0"/>
    <s v="Swap_L18"/>
    <s v="Outdoor"/>
    <s v="Swap_0"/>
    <x v="0"/>
    <x v="15"/>
    <m/>
    <e v="#N/A"/>
    <s v="CRAN"/>
    <s v="Sub"/>
    <n v="2"/>
  </r>
  <r>
    <s v="Kiên Giang"/>
    <s v="KGPQE2"/>
    <s v="KGPQE2"/>
    <s v="Swap"/>
    <s v="Single-Band"/>
    <n v="3"/>
    <m/>
    <m/>
    <n v="103.98339"/>
    <n v="10.120150000000001"/>
    <s v="Phu Quoc"/>
    <n v="0"/>
    <s v="Swap_L18"/>
    <s v="Outdoor"/>
    <s v="Swap_0"/>
    <x v="0"/>
    <x v="16"/>
    <m/>
    <e v="#N/A"/>
    <s v="Macro+IBC"/>
    <s v="Master"/>
    <n v="2"/>
  </r>
  <r>
    <s v="Kiên Giang"/>
    <s v="KGPQF3"/>
    <s v="KGPQE2"/>
    <s v="Swap"/>
    <s v="Dual-band"/>
    <n v="3"/>
    <s v="New"/>
    <s v="PS mới 5G C"/>
    <n v="103.98342"/>
    <n v="10.12021"/>
    <s v="Phu Quoc"/>
    <n v="0"/>
    <s v="Swap_L18 + L21 + NR 2.6 32T"/>
    <s v="Outdoor"/>
    <s v="Swap_0"/>
    <x v="0"/>
    <x v="16"/>
    <m/>
    <e v="#N/A"/>
    <s v="CRAN"/>
    <s v="Sub"/>
    <n v="2"/>
  </r>
  <r>
    <s v="Kiên Giang"/>
    <s v="KGPQE3"/>
    <s v="KGPQE3"/>
    <s v="Swap"/>
    <s v="Dual-band"/>
    <n v="3"/>
    <s v="Swap"/>
    <s v="Swap (PS mới 5G C)"/>
    <n v="103.85984000000001"/>
    <n v="10.32897"/>
    <s v="Phu Quoc"/>
    <n v="0"/>
    <s v="Swap_L18 + L21 + NR 2.6 64T + NR 3.8"/>
    <s v="Outdoor"/>
    <s v="Swap_0"/>
    <x v="0"/>
    <x v="15"/>
    <m/>
    <e v="#N/A"/>
    <s v="Macro"/>
    <m/>
    <n v="1"/>
  </r>
  <r>
    <s v="Kiên Giang"/>
    <s v="KGPQE4"/>
    <s v="KGPQE4"/>
    <s v="Swap"/>
    <s v="Single-Band"/>
    <n v="3"/>
    <s v="Swap"/>
    <s v="Swap (PS mới 5G C)"/>
    <n v="103.85588"/>
    <n v="10.32612"/>
    <s v="Phu Quoc"/>
    <n v="0"/>
    <s v="Swap_L18 + NR 2.6 64T + NR 3.8"/>
    <s v="Outdoor"/>
    <s v="Swap_0"/>
    <x v="0"/>
    <x v="15"/>
    <m/>
    <e v="#N/A"/>
    <s v="Macro"/>
    <m/>
    <n v="1"/>
  </r>
  <r>
    <s v="Kiên Giang"/>
    <s v="KGPQE5"/>
    <s v="KGPQE5"/>
    <s v="Swap"/>
    <s v="Single-Band"/>
    <n v="3"/>
    <m/>
    <m/>
    <n v="103.856495"/>
    <n v="10.323233"/>
    <s v="Phu Quoc"/>
    <n v="0"/>
    <s v="Swap_L18"/>
    <s v="Outdoor"/>
    <s v="Swap_0"/>
    <x v="0"/>
    <x v="15"/>
    <m/>
    <e v="#N/A"/>
    <s v="IBC"/>
    <m/>
    <n v="1"/>
  </r>
  <r>
    <s v="Kiên Giang"/>
    <s v="KGPQE9"/>
    <s v="KGPQE9"/>
    <s v="Swap"/>
    <s v="Single-Band"/>
    <n v="3"/>
    <m/>
    <m/>
    <n v="103.87848"/>
    <n v="10.3089"/>
    <s v="Phu Quoc"/>
    <n v="0"/>
    <s v="Swap_L18"/>
    <s v="Outdoor"/>
    <s v="Swap_0"/>
    <x v="0"/>
    <x v="4"/>
    <m/>
    <e v="#N/A"/>
    <s v="Macro"/>
    <m/>
    <n v="1"/>
  </r>
  <r>
    <s v="Kiên Giang"/>
    <s v="KGPQF0"/>
    <s v="KGPQF0"/>
    <s v="Swap"/>
    <s v="Single-Band"/>
    <n v="3"/>
    <m/>
    <m/>
    <n v="104.02912999999999"/>
    <n v="10.11154"/>
    <s v="Phu Quoc"/>
    <n v="0"/>
    <s v="Swap_L18"/>
    <s v="Outdoor"/>
    <s v="Swap_0"/>
    <x v="0"/>
    <x v="12"/>
    <m/>
    <e v="#N/A"/>
    <s v="Macro"/>
    <m/>
    <n v="1"/>
  </r>
  <r>
    <s v="Kiên Giang"/>
    <s v="KGPQF1"/>
    <s v="KGPQF1"/>
    <s v="Swap"/>
    <s v="Dual-band"/>
    <n v="3"/>
    <m/>
    <m/>
    <n v="103.856362"/>
    <n v="10.323297"/>
    <s v="Phu Quoc"/>
    <n v="0"/>
    <s v="Swap_L18 + L21"/>
    <s v="Outdoor"/>
    <s v="Swap_0"/>
    <x v="0"/>
    <x v="15"/>
    <m/>
    <e v="#N/A"/>
    <s v="Macro"/>
    <m/>
    <n v="1"/>
  </r>
  <r>
    <s v="Kiên Giang"/>
    <s v="KGPQF2"/>
    <s v="KGPQF2"/>
    <s v="Swap"/>
    <s v="Dual-band"/>
    <n v="3"/>
    <s v="New"/>
    <s v="PS mới 5G C"/>
    <n v="103.858942"/>
    <n v="10.324159999999999"/>
    <s v="Phu Quoc"/>
    <n v="0"/>
    <s v="Swap_L18 + L21 + NR 2.6 32T"/>
    <s v="Outdoor"/>
    <s v="Swap_0"/>
    <x v="0"/>
    <x v="15"/>
    <m/>
    <e v="#N/A"/>
    <s v="Macro"/>
    <m/>
    <n v="1"/>
  </r>
  <r>
    <s v="Kiên Giang"/>
    <s v="KGPQF9"/>
    <s v="KGPQF9"/>
    <s v="Swap"/>
    <s v="Single-Band"/>
    <n v="3"/>
    <s v="Swap"/>
    <s v="Swap (PS mới 5G C)"/>
    <n v="103.96665299999999"/>
    <n v="10.222595999999999"/>
    <s v="Phu Quoc"/>
    <n v="0"/>
    <s v="Swap_L18 + L21 + NR 2.6 32T"/>
    <s v="Outdoor"/>
    <s v="Swap_0"/>
    <x v="0"/>
    <x v="0"/>
    <m/>
    <e v="#N/A"/>
    <s v="Macro"/>
    <m/>
    <n v="1"/>
  </r>
  <r>
    <s v="Kiên Giang"/>
    <s v="KGPQG0"/>
    <s v="KGPQG0"/>
    <s v="Swap"/>
    <s v="Single-Band"/>
    <n v="3"/>
    <m/>
    <m/>
    <n v="104.00957"/>
    <n v="10.02887"/>
    <s v="Phu Quoc"/>
    <n v="0"/>
    <s v="Swap_L18"/>
    <s v="Indoor"/>
    <s v="Swap_0"/>
    <x v="0"/>
    <x v="3"/>
    <m/>
    <e v="#N/A"/>
    <s v="IBC"/>
    <m/>
    <n v="1"/>
  </r>
  <r>
    <s v="Kiên Giang"/>
    <s v="KGPQG1"/>
    <s v="KGPQG1"/>
    <s v="Swap"/>
    <s v="Dual-band"/>
    <n v="3"/>
    <s v="New"/>
    <s v="PS mới 5G C"/>
    <n v="104.00957"/>
    <n v="10.02887"/>
    <s v="Phu Quoc"/>
    <n v="0"/>
    <s v="Swap_L18 + L21 + NR 2.6 32T"/>
    <s v="Outdoor"/>
    <s v="Swap_0"/>
    <x v="0"/>
    <x v="3"/>
    <m/>
    <e v="#N/A"/>
    <s v="Macro"/>
    <m/>
    <n v="1"/>
  </r>
  <r>
    <s v="Kiên Giang"/>
    <s v="KGPQG2"/>
    <s v="KGPQG2"/>
    <s v="Swap"/>
    <s v="Single-Band"/>
    <n v="3"/>
    <m/>
    <m/>
    <n v="104.00744"/>
    <n v="10.029339999999999"/>
    <s v="Phu Quoc"/>
    <n v="0"/>
    <s v="Swap_L18"/>
    <s v="Indoor"/>
    <s v="Swap_0"/>
    <x v="0"/>
    <x v="3"/>
    <m/>
    <e v="#N/A"/>
    <s v="IBC"/>
    <m/>
    <n v="1"/>
  </r>
  <r>
    <s v="Kiên Giang"/>
    <s v="KGPQG6"/>
    <s v="KGPQG6"/>
    <s v="Swap"/>
    <s v="Dual-band"/>
    <n v="3"/>
    <s v="New"/>
    <s v="PS mới 5G C"/>
    <n v="104.01267"/>
    <n v="10.24977"/>
    <s v="Phu Quoc"/>
    <n v="0"/>
    <s v="Swap_L18 + L21 + NR 2.6 32T"/>
    <s v="Outdoor"/>
    <s v="Swap_0"/>
    <x v="0"/>
    <x v="2"/>
    <m/>
    <e v="#N/A"/>
    <s v="Macro"/>
    <m/>
    <n v="1"/>
  </r>
  <r>
    <s v="Kiên Giang"/>
    <s v="KGPQG7"/>
    <s v="KGPQG7"/>
    <s v="Swap"/>
    <s v="Dual-band"/>
    <n v="3"/>
    <s v="New"/>
    <s v="PS mới 5G C"/>
    <n v="104.00830000000001"/>
    <n v="10.046779000000001"/>
    <s v="Phu Quoc"/>
    <n v="0"/>
    <s v="Swap_L18 + L21 + NR 2.6 32T"/>
    <s v="Outdoor"/>
    <s v="Swap_0"/>
    <x v="0"/>
    <x v="8"/>
    <m/>
    <e v="#N/A"/>
    <s v="Macro"/>
    <m/>
    <n v="1"/>
  </r>
  <r>
    <s v="Kiên Giang"/>
    <s v="KGPQG8"/>
    <s v="KGPQG8"/>
    <s v="Swap"/>
    <s v="Dual-band"/>
    <n v="3"/>
    <s v="New"/>
    <s v="PS mới 5G C"/>
    <n v="104.01065"/>
    <n v="10.03693"/>
    <s v="Phu Quoc"/>
    <n v="0"/>
    <s v="Swap_L18 + L21 + NR 2.6 32T"/>
    <s v="Outdoor"/>
    <s v="Swap_0"/>
    <x v="0"/>
    <x v="8"/>
    <m/>
    <e v="#N/A"/>
    <s v="Macro"/>
    <m/>
    <n v="1"/>
  </r>
  <r>
    <s v="Kiên Giang"/>
    <s v="KGPQI5"/>
    <s v="KGPQI5"/>
    <s v="Swap"/>
    <s v="Dual-band"/>
    <n v="3"/>
    <s v="New"/>
    <s v="PS mới 5G C"/>
    <n v="104.00125"/>
    <n v="10.0749"/>
    <s v="Phu Quoc"/>
    <n v="0"/>
    <s v="Swap_L18 + L21 + NR 2.6 32T"/>
    <s v="Outdoor"/>
    <s v="Swap_0"/>
    <x v="0"/>
    <x v="14"/>
    <m/>
    <e v="#N/A"/>
    <s v="Macro"/>
    <m/>
    <n v="1"/>
  </r>
  <r>
    <s v="Kiên Giang"/>
    <s v="KGPQJ0"/>
    <s v="KGPQJ0"/>
    <s v="Swap"/>
    <s v="Single-Band"/>
    <n v="3"/>
    <m/>
    <m/>
    <n v="104.014548"/>
    <n v="10.430467"/>
    <s v="Phu Quoc"/>
    <n v="0"/>
    <s v="Swap_L18 + NR 7 + L9"/>
    <s v="Outdoor"/>
    <s v="Swap_0"/>
    <x v="0"/>
    <x v="9"/>
    <m/>
    <e v="#N/A"/>
    <s v="Macro"/>
    <m/>
    <n v="1"/>
  </r>
  <r>
    <s v="Kiên Giang"/>
    <s v="KGPQJ1"/>
    <s v="KGPQJ1"/>
    <s v="Swap"/>
    <s v="Dual-band"/>
    <n v="3"/>
    <s v="New"/>
    <s v="PS mới 5G C"/>
    <n v="104.000753"/>
    <n v="9.9193560000000005"/>
    <s v="Phu Quoc"/>
    <n v="0"/>
    <s v="Swap_L18 + L21 + NR 2.6 32T"/>
    <s v="Outdoor"/>
    <s v="Swap_0"/>
    <x v="0"/>
    <x v="7"/>
    <m/>
    <e v="#N/A"/>
    <s v="Macro"/>
    <m/>
    <n v="1"/>
  </r>
  <r>
    <s v="Kiên Giang"/>
    <s v="KGPQJ2"/>
    <s v="KGPQJ2"/>
    <s v="Swap"/>
    <s v="Dual-band"/>
    <n v="3"/>
    <m/>
    <m/>
    <n v="104.00743"/>
    <n v="10.02721"/>
    <s v="PhúQuốc"/>
    <n v="0"/>
    <s v="Swap 4G Only"/>
    <m/>
    <m/>
    <x v="1"/>
    <x v="3"/>
    <m/>
    <e v="#N/A"/>
    <s v="Macro"/>
    <m/>
    <n v="1"/>
  </r>
  <r>
    <s v="Kiên Giang"/>
    <s v="KGPQJ3"/>
    <s v="KGPQJ3"/>
    <s v="Swap"/>
    <s v="Single-Band"/>
    <n v="3"/>
    <m/>
    <m/>
    <n v="104.00266999999999"/>
    <n v="10.035209999999999"/>
    <s v="PhúQuốc"/>
    <n v="0"/>
    <s v="Swap 4G Only"/>
    <m/>
    <m/>
    <x v="1"/>
    <x v="8"/>
    <m/>
    <e v="#N/A"/>
    <s v="Macro"/>
    <m/>
    <n v="1"/>
  </r>
  <r>
    <s v="Kiên Giang"/>
    <s v="KGPQL1"/>
    <s v="KGPQL1"/>
    <s v="Swap"/>
    <s v="Dual-band"/>
    <n v="3"/>
    <s v="New"/>
    <s v="PS mới 5G C"/>
    <n v="104.007429"/>
    <n v="10.027206"/>
    <s v="Phu Quoc"/>
    <n v="0"/>
    <s v="Swap_L18 + L21 + NR 2.6 32T"/>
    <s v="Outdoor"/>
    <s v="Swap_0"/>
    <x v="0"/>
    <x v="3"/>
    <m/>
    <e v="#N/A"/>
    <s v="Macro + IBC"/>
    <m/>
    <n v="1"/>
  </r>
  <r>
    <s v="Kiên Giang"/>
    <s v="KGPQL6"/>
    <s v="KGPQL6"/>
    <s v="Swap"/>
    <s v="Dual-band"/>
    <n v="3"/>
    <s v="New"/>
    <s v="PS mới 5G C"/>
    <n v="103.8642"/>
    <n v="10.326675"/>
    <s v="Phu Quoc"/>
    <n v="0"/>
    <s v="Swap_L18 + L21 + NR 2.6 32T"/>
    <s v="Outdoor"/>
    <s v="Swap_0"/>
    <x v="0"/>
    <x v="15"/>
    <m/>
    <e v="#N/A"/>
    <s v="Macro"/>
    <m/>
    <n v="1"/>
  </r>
  <r>
    <s v="Kiên Giang"/>
    <s v="KGPQX5"/>
    <s v="KGPQX5"/>
    <s v="Swap"/>
    <s v="Dual-band"/>
    <n v="3"/>
    <m/>
    <m/>
    <n v="103.8623"/>
    <n v="10.325469999999999"/>
    <s v="Phu Quoc"/>
    <n v="0"/>
    <s v="Swap_L18 + L21 + NR 7 + L9"/>
    <s v="Outdoor"/>
    <s v="Swap_0"/>
    <x v="0"/>
    <x v="15"/>
    <m/>
    <e v="#N/A"/>
    <s v="Macro"/>
    <m/>
    <n v="1"/>
  </r>
  <r>
    <s v="Kiên Giang"/>
    <s v="KGPQZ3"/>
    <s v="KGPQZ3"/>
    <s v="Swap"/>
    <s v="Dual-band"/>
    <n v="3"/>
    <m/>
    <m/>
    <n v="103.99378"/>
    <n v="10.060402"/>
    <s v="Phu Quoc"/>
    <n v="0"/>
    <s v="Swap_L18 + L21"/>
    <s v="Outdoor"/>
    <s v="Swap_0"/>
    <x v="0"/>
    <x v="14"/>
    <m/>
    <e v="#N/A"/>
    <s v="Macro"/>
    <m/>
    <n v="1"/>
  </r>
  <r>
    <s v="Tiền Giang"/>
    <s v="TGCB01"/>
    <s v="TGCB01"/>
    <s v="Swap"/>
    <s v="Dual-band"/>
    <n v="4"/>
    <s v="Swap"/>
    <s v="Swap (PS mới 5G A)"/>
    <n v="106.03294"/>
    <n v="10.33548"/>
    <s v="Cai Be"/>
    <n v="0"/>
    <s v="Swap_L18 + L21 + NR 2.6 64T + NR 3.8"/>
    <s v="Outdoor"/>
    <s v="Swap_0"/>
    <x v="2"/>
    <x v="17"/>
    <m/>
    <e v="#N/A"/>
    <s v="Macro"/>
    <m/>
    <n v="1"/>
  </r>
  <r>
    <s v="Tiền Giang"/>
    <s v="TGCB02"/>
    <s v="TGCB02"/>
    <s v="Swap"/>
    <s v="Dual-band"/>
    <n v="3"/>
    <s v="New"/>
    <s v="PS mới 5G C"/>
    <n v="106.03185740000001"/>
    <n v="10.330155"/>
    <s v="Cai Be"/>
    <n v="0"/>
    <s v="Swap_L18 + L21 + NR 2.6 32T"/>
    <s v="Outdoor"/>
    <s v="Swap_0"/>
    <x v="2"/>
    <x v="17"/>
    <m/>
    <e v="#N/A"/>
    <s v="Macro"/>
    <s v="Master"/>
    <n v="2"/>
  </r>
  <r>
    <s v="Tiền Giang"/>
    <s v="TGCB28"/>
    <s v="TGCB02"/>
    <s v="Swap"/>
    <s v="Dual-band"/>
    <n v="3"/>
    <s v="New"/>
    <s v="PS mới 5G C"/>
    <n v="106.01599589999999"/>
    <n v="10.3270254"/>
    <s v="Cai Be"/>
    <n v="0"/>
    <s v="Swap_L18 + L21 + NR 2.6 32T"/>
    <s v="Outdoor"/>
    <s v="Swap_0"/>
    <x v="2"/>
    <x v="17"/>
    <m/>
    <e v="#N/A"/>
    <s v="CRAN"/>
    <s v="Sub"/>
    <n v="2"/>
  </r>
  <r>
    <s v="Tiền Giang"/>
    <s v="TGCB03"/>
    <s v="TGCB03"/>
    <s v="Swap"/>
    <s v="Dual-band"/>
    <n v="4"/>
    <s v="Swap"/>
    <s v="Swap (PS mới 5G A)"/>
    <n v="106.02031820000001"/>
    <n v="10.365577"/>
    <s v="Cai Be"/>
    <n v="0"/>
    <s v="Swap_L18 + L21 + NR 2.6 64T + NR 3.8"/>
    <s v="Outdoor"/>
    <s v="Swap_0"/>
    <x v="2"/>
    <x v="17"/>
    <m/>
    <e v="#N/A"/>
    <s v="Macro"/>
    <s v="Master"/>
    <n v="2"/>
  </r>
  <r>
    <s v="Tiền Giang"/>
    <s v="TGCB67"/>
    <s v="TGCB03"/>
    <s v="Swap"/>
    <s v="Dual-band"/>
    <n v="4"/>
    <s v="New"/>
    <s v="PS mới 5G C"/>
    <n v="105.9997666"/>
    <n v="10.375502900000001"/>
    <s v="Cai Be"/>
    <n v="0"/>
    <s v="Swap_L18 + L21 + NR 2.6 32T"/>
    <s v="Outdoor"/>
    <s v="Swap_0"/>
    <x v="2"/>
    <x v="17"/>
    <m/>
    <e v="#N/A"/>
    <s v="CRAN"/>
    <s v="Sub"/>
    <n v="2"/>
  </r>
  <r>
    <s v="Tiền Giang"/>
    <s v="TGCB04"/>
    <s v="TGCB04"/>
    <s v="Swap"/>
    <s v="Dual-band"/>
    <n v="4"/>
    <s v="New"/>
    <s v="PS mới 5G C"/>
    <n v="105.8914465"/>
    <n v="10.313942600000001"/>
    <s v="Cai Be"/>
    <n v="0"/>
    <s v="Swap_L18 + L21 + NR 2.6 32T"/>
    <s v="Outdoor"/>
    <s v="Swap_0"/>
    <x v="2"/>
    <x v="18"/>
    <m/>
    <e v="#N/A"/>
    <s v="Macro"/>
    <s v="Master"/>
    <n v="2"/>
  </r>
  <r>
    <s v="Tiền Giang"/>
    <s v="TGCB41"/>
    <s v="TGCB04"/>
    <s v="Swap"/>
    <s v="Single-Band"/>
    <n v="3"/>
    <m/>
    <m/>
    <n v="105.91206"/>
    <n v="10.315060000000001"/>
    <s v="Cai Be"/>
    <n v="0"/>
    <s v="Swap_L18"/>
    <s v="Outdoor"/>
    <s v="Swap_0"/>
    <x v="2"/>
    <x v="18"/>
    <m/>
    <e v="#N/A"/>
    <s v="CRAN"/>
    <s v="Sub"/>
    <n v="2"/>
  </r>
  <r>
    <s v="Tiền Giang"/>
    <s v="TGCB05"/>
    <s v="TGCB05"/>
    <s v="Swap"/>
    <s v="Dual-band"/>
    <n v="4"/>
    <s v="New"/>
    <s v="PS mới 5G C"/>
    <n v="105.90996"/>
    <n v="10.333629999999999"/>
    <s v="Cai Be"/>
    <n v="0"/>
    <s v="Swap_L18 + L21 + NR 2.6 32T"/>
    <s v="Outdoor"/>
    <s v="Swap_0"/>
    <x v="2"/>
    <x v="18"/>
    <m/>
    <e v="#N/A"/>
    <s v="Macro"/>
    <m/>
    <n v="1"/>
  </r>
  <r>
    <s v="Tiền Giang"/>
    <s v="TGCB06"/>
    <s v="TGCB06"/>
    <s v="Swap"/>
    <s v="Single-Band"/>
    <n v="3"/>
    <s v="New"/>
    <s v="PS mới 5G C"/>
    <n v="105.97443"/>
    <n v="10.44007"/>
    <s v="Cai Be"/>
    <n v="0"/>
    <s v="Swap_L18 + NR 2.6 32T"/>
    <s v="Outdoor"/>
    <s v="Swap_0"/>
    <x v="2"/>
    <x v="19"/>
    <m/>
    <e v="#N/A"/>
    <s v="Macro"/>
    <m/>
    <n v="1"/>
  </r>
  <r>
    <s v="Tiền Giang"/>
    <s v="TGCB07"/>
    <s v="TGCB07"/>
    <s v="Swap"/>
    <s v="Dual-band"/>
    <n v="4"/>
    <s v="Swap"/>
    <s v="Swap (PS mới 5G B)"/>
    <n v="106.00919039999999"/>
    <n v="10.3972949"/>
    <s v="Cai Be"/>
    <n v="0"/>
    <s v="Swap_L18 + L21 + NR 2.6 64T + NR 3.8"/>
    <s v="Outdoor"/>
    <s v="Swap_0"/>
    <x v="2"/>
    <x v="17"/>
    <m/>
    <e v="#N/A"/>
    <s v="Macro"/>
    <m/>
    <n v="1"/>
  </r>
  <r>
    <s v="Tiền Giang"/>
    <s v="TGCB08"/>
    <s v="TGCB08"/>
    <s v="Swap"/>
    <s v="Dual-band"/>
    <n v="4"/>
    <s v="New"/>
    <s v="PS mới 5G C"/>
    <n v="105.89452"/>
    <n v="10.29472"/>
    <s v="Cai Be"/>
    <n v="0"/>
    <s v="Swap_L18 + L21 + NR 2.6 32T"/>
    <s v="Outdoor"/>
    <s v="Swap_0"/>
    <x v="2"/>
    <x v="18"/>
    <m/>
    <e v="#N/A"/>
    <s v="Macro"/>
    <s v="Master"/>
    <n v="3"/>
  </r>
  <r>
    <s v="Tiền Giang"/>
    <s v="TGCB52"/>
    <s v="TGCB08"/>
    <s v="Swap"/>
    <s v="Dual-band"/>
    <n v="3"/>
    <s v="New"/>
    <s v="PS mới 5G C"/>
    <n v="105.89758999999999"/>
    <n v="10.280279999999999"/>
    <s v="Cai Be"/>
    <n v="0"/>
    <s v="Swap_L18 + L21 + NR 2.6 32T"/>
    <s v="Outdoor"/>
    <s v="Swap_0"/>
    <x v="2"/>
    <x v="18"/>
    <m/>
    <e v="#N/A"/>
    <s v="CRAN"/>
    <s v="Sub"/>
    <n v="3"/>
  </r>
  <r>
    <s v="Tiền Giang"/>
    <s v="TGCB56"/>
    <s v="TGCB08"/>
    <s v="Swap"/>
    <s v="Dual-band"/>
    <n v="3"/>
    <s v="Swap"/>
    <s v="Swap (PS mới 5G B)"/>
    <n v="105.89303"/>
    <n v="10.304589999999999"/>
    <s v="Cai Be"/>
    <n v="0"/>
    <s v="Swap_L18 + L21 + NR 2.6 64T + NR 3.8"/>
    <s v="Outdoor"/>
    <s v="Swap_0"/>
    <x v="2"/>
    <x v="18"/>
    <m/>
    <e v="#N/A"/>
    <s v="CRAN"/>
    <s v="Sub"/>
    <n v="3"/>
  </r>
  <r>
    <s v="Tiền Giang"/>
    <s v="TGCB09"/>
    <s v="TGCB09"/>
    <s v="Swap"/>
    <s v="Dual-band"/>
    <n v="4"/>
    <s v="Swap"/>
    <s v="Swap (PS mới 5G A)"/>
    <n v="105.97945"/>
    <n v="10.35976"/>
    <s v="Cai Be"/>
    <n v="0"/>
    <s v="Swap_L18 + L21 + NR 2.6 64T + NR 3.8"/>
    <s v="Outdoor"/>
    <s v="Swap_0"/>
    <x v="2"/>
    <x v="17"/>
    <m/>
    <e v="#N/A"/>
    <s v="Macro"/>
    <m/>
    <n v="1"/>
  </r>
  <r>
    <s v="Tiền Giang"/>
    <s v="TGCB10"/>
    <s v="TGCB10"/>
    <s v="Swap"/>
    <s v="Dual-band"/>
    <n v="4"/>
    <s v="New"/>
    <s v="PS mới 5G C"/>
    <n v="105.95197"/>
    <n v="10.354229999999999"/>
    <s v="Cai Be"/>
    <n v="0"/>
    <s v="Swap_L18 + L21 + NR 2.6 32T"/>
    <s v="Outdoor"/>
    <s v="Swap_0"/>
    <x v="2"/>
    <x v="18"/>
    <m/>
    <e v="#N/A"/>
    <s v="Macro"/>
    <s v="Master"/>
    <n v="4"/>
  </r>
  <r>
    <s v="Tiền Giang"/>
    <s v="TGCB63"/>
    <s v="TGCB10"/>
    <s v="Swap"/>
    <s v="Dual-band"/>
    <n v="4"/>
    <s v="New"/>
    <s v="PS mới 5G C"/>
    <n v="105.94472"/>
    <n v="10.34972"/>
    <s v="Cai Be"/>
    <n v="0"/>
    <s v="Swap_L18 + L21 + NR 2.6 32T"/>
    <s v="Outdoor"/>
    <s v="Swap_0"/>
    <x v="2"/>
    <x v="18"/>
    <m/>
    <s v="OK"/>
    <s v="CRAN"/>
    <s v="Sub"/>
    <n v="4"/>
  </r>
  <r>
    <s v="Tiền Giang"/>
    <s v="TGCB70"/>
    <s v="TGCB10"/>
    <s v="Swap"/>
    <s v="Single-Band"/>
    <n v="3"/>
    <m/>
    <m/>
    <n v="105.95564"/>
    <n v="10.33943"/>
    <s v="Cai Be"/>
    <n v="0"/>
    <s v="Swap_L18"/>
    <s v="Outdoor"/>
    <s v="Swap_0"/>
    <x v="2"/>
    <x v="18"/>
    <m/>
    <e v="#N/A"/>
    <s v="CRAN"/>
    <s v="Sub"/>
    <n v="4"/>
  </r>
  <r>
    <s v="Tiền Giang"/>
    <s v="TGCBX1"/>
    <s v="TGCB10"/>
    <s v="Swap"/>
    <s v="Single-Band"/>
    <n v="3"/>
    <m/>
    <m/>
    <n v="105.94461920000001"/>
    <n v="10.3647543"/>
    <s v="Cai Be"/>
    <n v="0"/>
    <s v="Swap_L18"/>
    <s v="Outdoor"/>
    <s v="Swap_0"/>
    <x v="2"/>
    <x v="18"/>
    <m/>
    <e v="#N/A"/>
    <s v="CRAN"/>
    <s v="Sub"/>
    <n v="4"/>
  </r>
  <r>
    <s v="Tiền Giang"/>
    <s v="TGCB12"/>
    <s v="TGCB12"/>
    <s v="Swap"/>
    <s v="Dual-band"/>
    <n v="4"/>
    <s v="New"/>
    <s v="PS mới 5G C"/>
    <n v="105.93307"/>
    <n v="10.34559"/>
    <s v="Cai Be"/>
    <n v="0"/>
    <s v="Swap_L18 + L21 + NR 2.6 32T"/>
    <s v="Outdoor"/>
    <s v="Swap_0"/>
    <x v="2"/>
    <x v="18"/>
    <m/>
    <e v="#N/A"/>
    <s v="Macro"/>
    <m/>
    <n v="1"/>
  </r>
  <r>
    <s v="Tiền Giang"/>
    <s v="TGCB13"/>
    <s v="TGCB13"/>
    <s v="Swap"/>
    <s v="Dual-band"/>
    <n v="3"/>
    <m/>
    <m/>
    <n v="105.93750989999999"/>
    <n v="10.327648999999999"/>
    <s v="Cai Be"/>
    <n v="0"/>
    <s v="Swap_L18 + L21"/>
    <s v="Outdoor"/>
    <s v="Swap_0"/>
    <x v="2"/>
    <x v="18"/>
    <m/>
    <e v="#N/A"/>
    <s v="Macro"/>
    <m/>
    <n v="1"/>
  </r>
  <r>
    <s v="Tiền Giang"/>
    <s v="TGCB14"/>
    <s v="TGCB14"/>
    <s v="Swap"/>
    <s v="Single-Band"/>
    <n v="4"/>
    <s v="New"/>
    <s v="PS mới 5G C"/>
    <n v="105.9119426"/>
    <n v="10.405639600000001"/>
    <s v="Cai Be"/>
    <n v="0"/>
    <s v="Swap_L18 + NR 2.6 32T"/>
    <s v="Outdoor"/>
    <s v="Swap_0"/>
    <x v="2"/>
    <x v="20"/>
    <m/>
    <e v="#N/A"/>
    <s v="Macro"/>
    <m/>
    <n v="1"/>
  </r>
  <r>
    <s v="Tiền Giang"/>
    <s v="TGCB15"/>
    <s v="TGCB15"/>
    <s v="Swap"/>
    <s v="Dual-band"/>
    <n v="4"/>
    <s v="New"/>
    <s v="PS mới 5G C"/>
    <n v="105.83814"/>
    <n v="10.32868"/>
    <s v="Cai Be"/>
    <n v="0"/>
    <s v="Swap_L18 + L21 + NR 2.6 32T"/>
    <s v="Outdoor"/>
    <s v="Swap_0"/>
    <x v="2"/>
    <x v="20"/>
    <m/>
    <e v="#N/A"/>
    <s v="Macro"/>
    <s v="Master"/>
    <n v="5"/>
  </r>
  <r>
    <s v="Tiền Giang"/>
    <s v="TGCB35"/>
    <s v="TGCB15"/>
    <s v="Swap"/>
    <s v="Dual-band"/>
    <n v="4"/>
    <s v="New"/>
    <s v="PS mới 5G C"/>
    <n v="105.8401291"/>
    <n v="10.3511799"/>
    <s v="Cai Be"/>
    <n v="0"/>
    <s v="Swap_L18 + L21 + NR 2.6 32T"/>
    <s v="Outdoor"/>
    <s v="Swap_0"/>
    <x v="2"/>
    <x v="20"/>
    <m/>
    <s v="OK"/>
    <s v="CRAN"/>
    <s v="Sub"/>
    <n v="5"/>
  </r>
  <r>
    <s v="Tiền Giang"/>
    <s v="TGCB45"/>
    <s v="TGCB15"/>
    <s v="Swap"/>
    <s v="Single-Band"/>
    <n v="3"/>
    <s v="New"/>
    <s v="PS mới 5G C"/>
    <n v="105.8411835"/>
    <n v="10.3089619"/>
    <s v="Cai Be"/>
    <n v="0"/>
    <s v="Swap_L18 + NR 2.6 32T"/>
    <s v="Outdoor"/>
    <s v="Swap_0"/>
    <x v="2"/>
    <x v="20"/>
    <m/>
    <s v="OK"/>
    <s v="CRAN"/>
    <s v="Sub"/>
    <n v="5"/>
  </r>
  <r>
    <s v="Tiền Giang"/>
    <s v="TGCB71"/>
    <s v="TGCB15"/>
    <s v="Swap"/>
    <s v="Dual-band"/>
    <n v="3"/>
    <m/>
    <m/>
    <n v="105.8480268"/>
    <n v="10.3178559"/>
    <s v="Cai Be"/>
    <n v="0"/>
    <s v="Swap_L18 + L21"/>
    <s v="Outdoor"/>
    <s v="Swap_0"/>
    <x v="2"/>
    <x v="20"/>
    <m/>
    <e v="#N/A"/>
    <s v="CRAN"/>
    <s v="Sub"/>
    <n v="5"/>
  </r>
  <r>
    <s v="Tiền Giang"/>
    <s v="TGCB75"/>
    <s v="TGCB15"/>
    <s v="Swap"/>
    <s v="Single-Band"/>
    <n v="3"/>
    <m/>
    <m/>
    <n v="105.8261"/>
    <n v="10.3688"/>
    <s v="Cai Be"/>
    <n v="0"/>
    <s v="Swap_L18"/>
    <s v="Outdoor"/>
    <s v="Swap_0"/>
    <x v="2"/>
    <x v="20"/>
    <m/>
    <e v="#N/A"/>
    <s v="CRAN"/>
    <s v="Sub"/>
    <n v="5"/>
  </r>
  <r>
    <s v="Tiền Giang"/>
    <s v="TGCB16"/>
    <s v="TGCB16"/>
    <s v="Swap"/>
    <s v="Dual-band"/>
    <n v="3"/>
    <s v="New"/>
    <s v="PS mới 5G C"/>
    <n v="105.9687266"/>
    <n v="10.506698500000001"/>
    <s v="Cai Be"/>
    <n v="0"/>
    <s v="Swap_L18 + L21 + NR 2.6 32T"/>
    <s v="Outdoor"/>
    <s v="Swap_0"/>
    <x v="2"/>
    <x v="19"/>
    <m/>
    <e v="#N/A"/>
    <s v="Macro"/>
    <s v="Master"/>
    <n v="2"/>
  </r>
  <r>
    <s v="Tiền Giang"/>
    <s v="TGCB77"/>
    <s v="TGCB16"/>
    <s v="Swap"/>
    <s v="Single-Band"/>
    <n v="3"/>
    <m/>
    <m/>
    <n v="105.9427841"/>
    <n v="10.4923558"/>
    <s v="Cai Be"/>
    <n v="0"/>
    <s v="Swap_L18"/>
    <s v="Outdoor"/>
    <s v="Swap_0"/>
    <x v="2"/>
    <x v="19"/>
    <m/>
    <e v="#N/A"/>
    <s v="CRAN"/>
    <s v="Sub"/>
    <n v="2"/>
  </r>
  <r>
    <s v="Tiền Giang"/>
    <s v="TGCB17"/>
    <s v="TGCB17"/>
    <s v="Swap"/>
    <s v="Single-Band"/>
    <n v="3"/>
    <m/>
    <m/>
    <n v="105.93197000000001"/>
    <n v="10.427250000000001"/>
    <s v="Cai Be"/>
    <n v="0"/>
    <s v="Swap_L18"/>
    <s v="Outdoor"/>
    <s v="Swap_0"/>
    <x v="2"/>
    <x v="19"/>
    <m/>
    <e v="#N/A"/>
    <s v="Macro"/>
    <s v="Master"/>
    <n v="2"/>
  </r>
  <r>
    <s v="Tiền Giang"/>
    <s v="TGCB78"/>
    <s v="TGCB17"/>
    <s v="Swap"/>
    <s v="Single-Band"/>
    <n v="3"/>
    <m/>
    <m/>
    <n v="105.91594000000001"/>
    <n v="10.441470000000001"/>
    <s v="Cai Be"/>
    <n v="0"/>
    <s v="Swap_L18"/>
    <s v="Outdoor"/>
    <s v="Swap_0"/>
    <x v="2"/>
    <x v="19"/>
    <m/>
    <e v="#N/A"/>
    <s v="CRAN"/>
    <s v="Sub"/>
    <n v="2"/>
  </r>
  <r>
    <s v="Tiền Giang"/>
    <s v="TGCB19"/>
    <s v="TGCB19"/>
    <s v="Swap"/>
    <s v="Dual-band"/>
    <n v="4"/>
    <s v="Swap"/>
    <s v="Swap (PS mới 5G B)"/>
    <n v="106.0346175"/>
    <n v="10.3424411"/>
    <s v="Cai Be"/>
    <n v="0"/>
    <s v="Swap_L18 + L21 + NR 2.6 64T + NR 3.8"/>
    <s v="Outdoor"/>
    <s v="Swap_0"/>
    <x v="2"/>
    <x v="17"/>
    <m/>
    <e v="#N/A"/>
    <s v="Macro"/>
    <m/>
    <n v="1"/>
  </r>
  <r>
    <s v="Tiền Giang"/>
    <s v="TGCB20"/>
    <s v="TGCB20"/>
    <s v="Swap"/>
    <s v="Dual-band"/>
    <n v="3"/>
    <s v="New"/>
    <s v="PS mới 5G C"/>
    <n v="105.86507"/>
    <n v="10.32508"/>
    <s v="Cai Be"/>
    <n v="0"/>
    <s v="Swap_L18 + L21 + NR 2.6 32T"/>
    <s v="Outdoor"/>
    <s v="Swap_0"/>
    <x v="2"/>
    <x v="20"/>
    <m/>
    <e v="#N/A"/>
    <s v="Macro"/>
    <m/>
    <n v="1"/>
  </r>
  <r>
    <s v="Tiền Giang"/>
    <s v="TGCB21"/>
    <s v="TGCB21"/>
    <s v="Swap"/>
    <s v="Dual-band"/>
    <n v="4"/>
    <s v="New"/>
    <s v="PS mới 5G C"/>
    <n v="105.97996999999999"/>
    <n v="10.389810000000001"/>
    <s v="Cai Be"/>
    <n v="0"/>
    <s v="Swap_L18 + L21 + NR 2.6 32T"/>
    <s v="Outdoor"/>
    <s v="Swap_0"/>
    <x v="2"/>
    <x v="17"/>
    <m/>
    <e v="#N/A"/>
    <s v="Macro"/>
    <m/>
    <n v="1"/>
  </r>
  <r>
    <s v="Tiền Giang"/>
    <s v="TGCB22"/>
    <s v="TGCB22"/>
    <s v="Swap"/>
    <s v="Dual-band"/>
    <n v="3"/>
    <m/>
    <m/>
    <n v="105.8895289"/>
    <n v="10.3890499"/>
    <s v="Cai Be"/>
    <n v="0"/>
    <s v="Swap_L18 + L21"/>
    <s v="Outdoor"/>
    <s v="Swap_0"/>
    <x v="2"/>
    <x v="20"/>
    <m/>
    <e v="#N/A"/>
    <s v="Macro"/>
    <m/>
    <n v="1"/>
  </r>
  <r>
    <s v="Tiền Giang"/>
    <s v="TGCB23"/>
    <s v="TGCB23"/>
    <s v="Swap"/>
    <s v="Dual-band"/>
    <n v="3"/>
    <s v="New"/>
    <s v="PS mới 5G C"/>
    <n v="105.91106000000001"/>
    <n v="10.28612"/>
    <s v="Cai Be"/>
    <n v="0"/>
    <s v="Swap_L18 + L21 + NR 2.6 32T"/>
    <s v="Outdoor"/>
    <s v="Swap_0"/>
    <x v="2"/>
    <x v="18"/>
    <m/>
    <e v="#N/A"/>
    <s v="Macro"/>
    <m/>
    <n v="1"/>
  </r>
  <r>
    <s v="Tiền Giang"/>
    <s v="TGCB24"/>
    <s v="TGCB24"/>
    <s v="Swap"/>
    <s v="Dual-band"/>
    <n v="4"/>
    <s v="New"/>
    <s v="PS mới 5G C"/>
    <n v="105.87988110000001"/>
    <n v="10.3578115"/>
    <s v="Cai Be"/>
    <n v="0"/>
    <s v="Swap_L18 + L21 + NR 2.6 32T"/>
    <s v="Outdoor"/>
    <s v="Swap_0"/>
    <x v="2"/>
    <x v="20"/>
    <m/>
    <e v="#N/A"/>
    <s v="Macro"/>
    <m/>
    <n v="1"/>
  </r>
  <r>
    <s v="Tiền Giang"/>
    <s v="TGCB25"/>
    <s v="TGCB25"/>
    <s v="Swap"/>
    <s v="Dual-band"/>
    <n v="3"/>
    <s v="New"/>
    <s v="PS mới 5G C"/>
    <n v="105.98817510000001"/>
    <n v="10.416853700000001"/>
    <s v="Cai Be"/>
    <n v="0"/>
    <s v="Swap_L18 + L21 + NR 2.6 32T"/>
    <s v="Outdoor"/>
    <s v="Swap_0"/>
    <x v="2"/>
    <x v="19"/>
    <m/>
    <e v="#N/A"/>
    <s v="Macro"/>
    <m/>
    <n v="1"/>
  </r>
  <r>
    <s v="Tiền Giang"/>
    <s v="TGCB26"/>
    <s v="TGCB26"/>
    <s v="Swap"/>
    <s v="Dual-band"/>
    <n v="4"/>
    <s v="New"/>
    <s v="PS mới 5G C"/>
    <n v="106.00269"/>
    <n v="10.363160000000001"/>
    <s v="Cai Be"/>
    <n v="0"/>
    <s v="Swap_L18 + L21 + NR 2.6 32T"/>
    <s v="Outdoor"/>
    <s v="Swap_0"/>
    <x v="2"/>
    <x v="17"/>
    <m/>
    <e v="#N/A"/>
    <s v="Macro"/>
    <m/>
    <n v="1"/>
  </r>
  <r>
    <s v="Tiền Giang"/>
    <s v="TGCB27"/>
    <s v="TGCB27"/>
    <s v="Swap"/>
    <s v="Single-Band"/>
    <n v="3"/>
    <m/>
    <m/>
    <n v="105.93906"/>
    <n v="10.456630000000001"/>
    <s v="Cai Be"/>
    <n v="0"/>
    <s v="Swap_L18"/>
    <s v="Outdoor"/>
    <s v="Swap_0"/>
    <x v="2"/>
    <x v="19"/>
    <m/>
    <e v="#N/A"/>
    <s v="Macro"/>
    <m/>
    <n v="1"/>
  </r>
  <r>
    <s v="Tiền Giang"/>
    <s v="TGCB29"/>
    <s v="TGCB29"/>
    <s v="Swap"/>
    <s v="Single-Band"/>
    <n v="3"/>
    <m/>
    <m/>
    <n v="105.95339"/>
    <n v="10.392620000000001"/>
    <s v="Cai Be"/>
    <n v="0"/>
    <s v="Swap_L18"/>
    <s v="Outdoor"/>
    <s v="Swap_0"/>
    <x v="2"/>
    <x v="19"/>
    <m/>
    <e v="#N/A"/>
    <s v="Macro"/>
    <m/>
    <n v="1"/>
  </r>
  <r>
    <s v="Tiền Giang"/>
    <s v="TGCB30"/>
    <s v="TGCB30"/>
    <s v="Swap"/>
    <s v="Single-Band"/>
    <n v="3"/>
    <s v="New"/>
    <s v="PS mới 5G C"/>
    <n v="105.92925"/>
    <n v="10.30367"/>
    <s v="Cai Be"/>
    <n v="0"/>
    <s v="Swap_L18 + NR 2.6 32T"/>
    <s v="Outdoor"/>
    <s v="Swap_0"/>
    <x v="2"/>
    <x v="18"/>
    <m/>
    <e v="#N/A"/>
    <s v="Macro"/>
    <s v="Master"/>
    <n v="2"/>
  </r>
  <r>
    <s v="Tiền Giang"/>
    <s v="TGCB88"/>
    <s v="TGCB30"/>
    <s v="Swap"/>
    <s v="Single-Band"/>
    <n v="3"/>
    <m/>
    <m/>
    <n v="105.9355"/>
    <n v="10.3165"/>
    <s v="Cai Be"/>
    <n v="0"/>
    <s v="Swap_L18"/>
    <s v="Outdoor"/>
    <s v="Swap_0"/>
    <x v="2"/>
    <x v="18"/>
    <m/>
    <e v="#N/A"/>
    <s v="CRAN"/>
    <s v="Sub"/>
    <n v="2"/>
  </r>
  <r>
    <s v="Tiền Giang"/>
    <s v="TGCB32"/>
    <s v="TGCB32"/>
    <s v="Swap"/>
    <s v="Dual-band"/>
    <n v="3"/>
    <s v="New"/>
    <s v="PS mới 5G C"/>
    <n v="105.99169000000001"/>
    <n v="10.342510000000001"/>
    <s v="Cai Be"/>
    <n v="0"/>
    <s v="Swap_L18 + L21 + NR 2.6 32T"/>
    <s v="Outdoor"/>
    <s v="Swap_0"/>
    <x v="2"/>
    <x v="17"/>
    <m/>
    <e v="#N/A"/>
    <s v="Macro"/>
    <m/>
    <n v="1"/>
  </r>
  <r>
    <s v="Tiền Giang"/>
    <s v="TGCB33"/>
    <s v="TGCB33"/>
    <s v="Swap"/>
    <s v="Single-Band"/>
    <n v="3"/>
    <m/>
    <m/>
    <n v="105.8956664"/>
    <n v="10.419610799999999"/>
    <s v="Cai Be"/>
    <n v="0"/>
    <s v="Swap_L18"/>
    <s v="Outdoor"/>
    <s v="Swap_0"/>
    <x v="2"/>
    <x v="20"/>
    <m/>
    <e v="#N/A"/>
    <s v="Macro"/>
    <m/>
    <n v="1"/>
  </r>
  <r>
    <s v="Tiền Giang"/>
    <s v="TGCB34"/>
    <s v="TGCB34"/>
    <s v="Swap"/>
    <s v="Single-Band"/>
    <n v="4"/>
    <m/>
    <m/>
    <n v="105.9425312"/>
    <n v="10.510993300000001"/>
    <s v="Cai Be"/>
    <n v="0"/>
    <s v="Swap_L18"/>
    <s v="Outdoor"/>
    <s v="Swap_0"/>
    <x v="2"/>
    <x v="19"/>
    <m/>
    <e v="#N/A"/>
    <s v="Macro"/>
    <m/>
    <n v="1"/>
  </r>
  <r>
    <s v="Tiền Giang"/>
    <s v="TGCB36"/>
    <s v="TGCB36"/>
    <s v="Swap"/>
    <s v="Dual-band"/>
    <n v="3"/>
    <s v="New"/>
    <s v="PS mới 5G C"/>
    <n v="105.84952"/>
    <n v="10.378410000000001"/>
    <s v="Cai Be"/>
    <n v="0"/>
    <s v="Swap_L18 + L21 + NR 2.6 32T"/>
    <s v="Outdoor"/>
    <s v="Swap_0"/>
    <x v="2"/>
    <x v="20"/>
    <m/>
    <e v="#N/A"/>
    <s v="Macro"/>
    <m/>
    <n v="1"/>
  </r>
  <r>
    <s v="Tiền Giang"/>
    <s v="TGCB37"/>
    <s v="TGCB37"/>
    <s v="Swap"/>
    <s v="Dual-band"/>
    <n v="3"/>
    <s v="New"/>
    <s v="PS mới 5G C"/>
    <n v="105.9044512"/>
    <n v="10.354119900000001"/>
    <s v="Cai Be"/>
    <n v="0"/>
    <s v="Swap_L18 + L21 + NR 2.6 32T"/>
    <s v="Outdoor"/>
    <s v="Swap_0"/>
    <x v="2"/>
    <x v="20"/>
    <m/>
    <e v="#N/A"/>
    <s v="Macro"/>
    <m/>
    <n v="1"/>
  </r>
  <r>
    <s v="Tiền Giang"/>
    <s v="TGCB38"/>
    <s v="TGCB38"/>
    <s v="Swap"/>
    <s v="Dual-band"/>
    <n v="3"/>
    <s v="New"/>
    <s v="PS mới 5G C"/>
    <n v="105.88118"/>
    <n v="10.338290000000001"/>
    <s v="Cai Be"/>
    <n v="0"/>
    <s v="Swap_L18 + L21 + NR 2.6 32T"/>
    <s v="Outdoor"/>
    <s v="Swap_0"/>
    <x v="2"/>
    <x v="20"/>
    <m/>
    <e v="#N/A"/>
    <s v="Macro"/>
    <m/>
    <n v="1"/>
  </r>
  <r>
    <s v="Tiền Giang"/>
    <s v="TGCB39"/>
    <s v="TGCB39"/>
    <s v="Swap"/>
    <s v="Single-Band"/>
    <n v="3"/>
    <m/>
    <m/>
    <n v="106.00074600000001"/>
    <n v="10.4396866"/>
    <s v="Cai Be"/>
    <n v="0"/>
    <s v="Swap_L18"/>
    <s v="Outdoor"/>
    <s v="Swap_0"/>
    <x v="2"/>
    <x v="19"/>
    <m/>
    <e v="#N/A"/>
    <s v="Macro"/>
    <m/>
    <n v="1"/>
  </r>
  <r>
    <s v="Tiền Giang"/>
    <s v="TGCB40"/>
    <s v="TGCB40"/>
    <s v="Swap"/>
    <s v="Dual-band"/>
    <n v="3"/>
    <s v="New"/>
    <s v="PS mới 5G C"/>
    <n v="106.02235"/>
    <n v="10.34356"/>
    <s v="Cai Be"/>
    <n v="0"/>
    <s v="Swap_L18 + L21 + NR 2.6 32T"/>
    <s v="Outdoor"/>
    <s v="Swap_0"/>
    <x v="2"/>
    <x v="17"/>
    <m/>
    <e v="#N/A"/>
    <s v="Macro"/>
    <m/>
    <n v="1"/>
  </r>
  <r>
    <s v="Tiền Giang"/>
    <s v="TGCB42"/>
    <s v="TGCB42"/>
    <s v="Swap"/>
    <s v="Dual-band"/>
    <n v="4"/>
    <s v="New"/>
    <s v="PS mới 5G C"/>
    <n v="105.8702918"/>
    <n v="10.379926299999999"/>
    <s v="Cai Be"/>
    <n v="0"/>
    <s v="Swap_L18 + L21 + NR 2.6 32T"/>
    <s v="Outdoor"/>
    <s v="Swap_0"/>
    <x v="2"/>
    <x v="20"/>
    <m/>
    <e v="#N/A"/>
    <s v="Macro"/>
    <m/>
    <n v="1"/>
  </r>
  <r>
    <s v="Tiền Giang"/>
    <s v="TGCB43"/>
    <s v="TGCB43"/>
    <s v="Swap"/>
    <s v="Single-Band"/>
    <n v="3"/>
    <m/>
    <m/>
    <n v="105.98450579999999"/>
    <n v="10.532401699999999"/>
    <s v="Cai Be"/>
    <n v="0"/>
    <s v="Swap_L18"/>
    <s v="Outdoor"/>
    <s v="Swap_0"/>
    <x v="2"/>
    <x v="19"/>
    <m/>
    <e v="#N/A"/>
    <s v="Macro"/>
    <m/>
    <n v="1"/>
  </r>
  <r>
    <s v="Tiền Giang"/>
    <s v="TGCB44"/>
    <s v="TGCB44"/>
    <s v="Swap"/>
    <s v="Dual-band"/>
    <n v="3"/>
    <s v="New"/>
    <s v="PS mới 5G C"/>
    <n v="105.9632"/>
    <n v="10.375299999999999"/>
    <s v="Cai Be"/>
    <n v="0"/>
    <s v="Swap_L18 + L21 + NR 2.6 32T"/>
    <s v="Outdoor"/>
    <s v="Swap_0"/>
    <x v="2"/>
    <x v="17"/>
    <m/>
    <e v="#N/A"/>
    <s v="Macro"/>
    <m/>
    <n v="1"/>
  </r>
  <r>
    <s v="Tiền Giang"/>
    <s v="TGCB46"/>
    <s v="TGCB46"/>
    <s v="Swap"/>
    <s v="Dual-band"/>
    <n v="4"/>
    <s v="New"/>
    <s v="PS mới 5G C"/>
    <n v="106.02495999999999"/>
    <n v="10.40067"/>
    <s v="Cai Be"/>
    <n v="0"/>
    <s v="Swap_L18 + L21 + NR 2.6 32T"/>
    <s v="Outdoor"/>
    <s v="Swap_0"/>
    <x v="2"/>
    <x v="17"/>
    <m/>
    <e v="#N/A"/>
    <s v="Macro"/>
    <s v="Master"/>
    <n v="4"/>
  </r>
  <r>
    <s v="Tiền Giang"/>
    <s v="TGCB81"/>
    <s v="TGCB46"/>
    <s v="Swap"/>
    <s v="Single-Band"/>
    <n v="3"/>
    <m/>
    <m/>
    <n v="106.01171429999999"/>
    <n v="10.4220351"/>
    <s v="Cai Be"/>
    <n v="0"/>
    <s v="Swap_L18"/>
    <s v="Outdoor"/>
    <s v="Swap_0"/>
    <x v="2"/>
    <x v="17"/>
    <m/>
    <e v="#N/A"/>
    <s v="CRAN"/>
    <s v="Sub"/>
    <n v="4"/>
  </r>
  <r>
    <s v="Tiền Giang"/>
    <s v="TGCB92"/>
    <s v="TGCB46"/>
    <s v="Swap"/>
    <s v="Single-Band"/>
    <n v="3"/>
    <m/>
    <m/>
    <n v="106.0266"/>
    <n v="10.3842"/>
    <s v="Cai Be"/>
    <n v="0"/>
    <s v="Swap_L18"/>
    <s v="Outdoor"/>
    <s v="Swap_0"/>
    <x v="2"/>
    <x v="17"/>
    <m/>
    <e v="#N/A"/>
    <s v="CRAN"/>
    <s v="Sub"/>
    <n v="4"/>
  </r>
  <r>
    <s v="Tiền Giang"/>
    <s v="TGCBX0"/>
    <s v="TGCB46"/>
    <s v="Swap"/>
    <s v="Single-Band"/>
    <n v="3"/>
    <m/>
    <m/>
    <n v="106.02135199999999"/>
    <n v="10.408897899999999"/>
    <s v="Cai Be"/>
    <n v="0"/>
    <s v="Swap_L18"/>
    <s v="Outdoor"/>
    <s v="Swap_0"/>
    <x v="2"/>
    <x v="17"/>
    <m/>
    <e v="#N/A"/>
    <s v="CRAN"/>
    <s v="Sub"/>
    <n v="4"/>
  </r>
  <r>
    <s v="Tiền Giang"/>
    <s v="TGCB47"/>
    <s v="TGCB47"/>
    <s v="Swap"/>
    <s v="Single-Band"/>
    <n v="3"/>
    <s v="New"/>
    <s v="PS mới 5G C"/>
    <n v="105.93904999999999"/>
    <n v="10.37523"/>
    <s v="Cai Be"/>
    <n v="0"/>
    <s v="Swap_L18 + NR 2.6 32T"/>
    <s v="Outdoor"/>
    <s v="Swap_0"/>
    <x v="2"/>
    <x v="20"/>
    <m/>
    <e v="#N/A"/>
    <s v="Macro"/>
    <m/>
    <n v="1"/>
  </r>
  <r>
    <s v="Tiền Giang"/>
    <s v="TGCB48"/>
    <s v="TGCB48"/>
    <s v="Swap"/>
    <s v="Single-Band"/>
    <n v="3"/>
    <m/>
    <m/>
    <n v="105.96773949999999"/>
    <n v="10.4613517"/>
    <s v="Cai Be"/>
    <n v="0"/>
    <s v="Swap_L18"/>
    <s v="Outdoor"/>
    <s v="Swap_0"/>
    <x v="2"/>
    <x v="19"/>
    <m/>
    <e v="#N/A"/>
    <s v="Macro"/>
    <s v="Master"/>
    <n v="3"/>
  </r>
  <r>
    <s v="Tiền Giang"/>
    <s v="TGCB62"/>
    <s v="TGCB48"/>
    <s v="Swap"/>
    <s v="Single-Band"/>
    <n v="3"/>
    <m/>
    <m/>
    <n v="105.9672336"/>
    <n v="10.4883168"/>
    <s v="Cai Be"/>
    <n v="0"/>
    <s v="Swap_L18"/>
    <s v="Outdoor"/>
    <s v="Swap_0"/>
    <x v="2"/>
    <x v="19"/>
    <m/>
    <e v="#N/A"/>
    <s v="CRAN"/>
    <s v="Sub"/>
    <n v="3"/>
  </r>
  <r>
    <s v="Tiền Giang"/>
    <s v="TGCB85"/>
    <s v="TGCB48"/>
    <s v="Swap"/>
    <s v="Single-Band"/>
    <n v="3"/>
    <m/>
    <m/>
    <n v="105.98487"/>
    <n v="10.462619999999999"/>
    <s v="Cai Be"/>
    <n v="0"/>
    <s v="Swap_L18"/>
    <s v="Outdoor"/>
    <s v="Swap_0"/>
    <x v="2"/>
    <x v="19"/>
    <m/>
    <e v="#N/A"/>
    <s v="CRAN"/>
    <s v="Sub"/>
    <n v="3"/>
  </r>
  <r>
    <s v="Tiền Giang"/>
    <s v="TGCB49"/>
    <s v="TGCB49"/>
    <s v="Swap"/>
    <s v="Dual-band"/>
    <n v="3"/>
    <s v="New"/>
    <s v="PS mới 5G C"/>
    <n v="105.94974999999999"/>
    <n v="10.312569999999999"/>
    <s v="Cai Be"/>
    <n v="0"/>
    <s v="Swap_L18 + L21 + NR 2.6 32T"/>
    <s v="Outdoor"/>
    <s v="Swap_0"/>
    <x v="2"/>
    <x v="18"/>
    <m/>
    <e v="#N/A"/>
    <s v="Macro"/>
    <m/>
    <n v="1"/>
  </r>
  <r>
    <s v="Tiền Giang"/>
    <s v="TGCB50"/>
    <s v="TGCB50"/>
    <s v="Swap"/>
    <s v="Single-Band"/>
    <n v="3"/>
    <s v="New"/>
    <s v="PS mới 5G C"/>
    <n v="105.8754709"/>
    <n v="10.312415400000001"/>
    <s v="Cai Be"/>
    <n v="0"/>
    <s v="Swap_L18 + NR 7 + L9"/>
    <s v="Outdoor"/>
    <s v="Swap_0"/>
    <x v="2"/>
    <x v="18"/>
    <m/>
    <e v="#N/A"/>
    <s v="Macro"/>
    <m/>
    <n v="1"/>
  </r>
  <r>
    <s v="Tiền Giang"/>
    <s v="TGCB51"/>
    <s v="TGCB51"/>
    <s v="Swap"/>
    <s v="Dual-band"/>
    <n v="4"/>
    <s v="New"/>
    <s v="PS mới 5G C"/>
    <n v="105.8903969"/>
    <n v="10.323404500000001"/>
    <s v="Cai Be"/>
    <n v="0"/>
    <s v="Swap_L18 + L21 + NR 2.6 32T"/>
    <s v="Outdoor"/>
    <s v="Swap_0"/>
    <x v="2"/>
    <x v="18"/>
    <m/>
    <e v="#N/A"/>
    <s v="Macro"/>
    <m/>
    <n v="1"/>
  </r>
  <r>
    <s v="Tiền Giang"/>
    <s v="TGCB11"/>
    <s v="TGCB53"/>
    <s v="Swap"/>
    <s v="Dual-band"/>
    <n v="3"/>
    <s v="New"/>
    <s v="PS mới 5G C"/>
    <n v="105.96313000000001"/>
    <n v="10.33235"/>
    <s v="Cai Be"/>
    <n v="0"/>
    <s v="Swap_L18 + L21 + NR 2.6 32T"/>
    <s v="Outdoor"/>
    <s v="Swap_0"/>
    <x v="2"/>
    <x v="17"/>
    <m/>
    <e v="#N/A"/>
    <s v="CRAN"/>
    <s v="Sub"/>
    <n v="3"/>
  </r>
  <r>
    <s v="Tiền Giang"/>
    <s v="TGCB53"/>
    <s v="TGCB53"/>
    <s v="Swap"/>
    <s v="Dual-band"/>
    <n v="3"/>
    <m/>
    <m/>
    <n v="105.97367"/>
    <n v="10.344620000000001"/>
    <s v="Cai Be"/>
    <n v="0"/>
    <s v="Swap_L18 + L21"/>
    <s v="Outdoor"/>
    <s v="Swap_0"/>
    <x v="2"/>
    <x v="17"/>
    <m/>
    <e v="#N/A"/>
    <s v="Macro"/>
    <s v="Master"/>
    <n v="3"/>
  </r>
  <r>
    <s v="Tiền Giang"/>
    <s v="TGCBX3"/>
    <s v="TGCB53"/>
    <s v="Swap"/>
    <s v="Single-Band"/>
    <n v="3"/>
    <m/>
    <m/>
    <n v="105.9838"/>
    <n v="10.3367"/>
    <s v="Cai Be"/>
    <n v="0"/>
    <s v="Swap_L18"/>
    <s v="Outdoor"/>
    <s v="Swap_0"/>
    <x v="2"/>
    <x v="17"/>
    <m/>
    <e v="#N/A"/>
    <s v="CRAN"/>
    <s v="Sub"/>
    <n v="3"/>
  </r>
  <r>
    <s v="Tiền Giang"/>
    <s v="TGCB55"/>
    <s v="TGCB55"/>
    <s v="Swap"/>
    <s v="Dual-band"/>
    <n v="4"/>
    <s v="New"/>
    <s v="PS mới 5G C"/>
    <n v="106.0362052"/>
    <n v="10.3312197"/>
    <s v="Cai Be"/>
    <n v="0"/>
    <s v="Swap_L18 + L21 + NR 2.6 32T"/>
    <s v="Outdoor"/>
    <s v="Swap_0"/>
    <x v="2"/>
    <x v="17"/>
    <m/>
    <e v="#N/A"/>
    <s v="Macro"/>
    <m/>
    <n v="1"/>
  </r>
  <r>
    <s v="Tiền Giang"/>
    <s v="TGCB57"/>
    <s v="TGCB57"/>
    <s v="Swap"/>
    <s v="Dual-band"/>
    <n v="4"/>
    <s v="New"/>
    <s v="PS mới 5G C"/>
    <n v="106.01691"/>
    <n v="10.35834"/>
    <s v="Cai Be"/>
    <n v="0"/>
    <s v="Swap_L18 + L21 + NR 2.6 32T"/>
    <s v="Outdoor"/>
    <s v="Swap_0"/>
    <x v="2"/>
    <x v="17"/>
    <m/>
    <e v="#N/A"/>
    <s v="Macro"/>
    <m/>
    <n v="1"/>
  </r>
  <r>
    <s v="Tiền Giang"/>
    <s v="TGCB58"/>
    <s v="TGCB58"/>
    <s v="Swap"/>
    <s v="Dual-band"/>
    <n v="4"/>
    <s v="New"/>
    <s v="PS mới 5G C"/>
    <n v="105.98990000000001"/>
    <n v="10.360900000000001"/>
    <s v="Cai Be"/>
    <n v="0"/>
    <s v="Swap_L18 + L21 + NR 2.6 32T"/>
    <s v="Outdoor"/>
    <s v="Swap_0"/>
    <x v="2"/>
    <x v="17"/>
    <m/>
    <e v="#N/A"/>
    <s v="Macro"/>
    <m/>
    <n v="1"/>
  </r>
  <r>
    <s v="Tiền Giang"/>
    <s v="TGCB54"/>
    <s v="TGCB61"/>
    <s v="Swap"/>
    <s v="Single-Band"/>
    <n v="3"/>
    <m/>
    <m/>
    <n v="105.91212"/>
    <n v="10.30016"/>
    <s v="Cai Be"/>
    <n v="0"/>
    <s v="Swap_L18"/>
    <s v="Outdoor"/>
    <s v="Swap_0"/>
    <x v="2"/>
    <x v="18"/>
    <m/>
    <e v="#N/A"/>
    <s v="CRAN"/>
    <s v="Sub"/>
    <n v="2"/>
  </r>
  <r>
    <s v="Tiền Giang"/>
    <s v="TGCB61"/>
    <s v="TGCB61"/>
    <s v="Swap"/>
    <s v="Dual-band"/>
    <n v="3"/>
    <m/>
    <m/>
    <n v="105.90318000000001"/>
    <n v="10.291359999999999"/>
    <s v="Cai Be"/>
    <n v="0"/>
    <s v="Swap_L18 + L21"/>
    <s v="Outdoor"/>
    <s v="Swap_0"/>
    <x v="2"/>
    <x v="18"/>
    <m/>
    <e v="#N/A"/>
    <s v="Macro"/>
    <s v="Master"/>
    <n v="2"/>
  </r>
  <r>
    <s v="Tiền Giang"/>
    <s v="TGCB64"/>
    <s v="TGCB64"/>
    <s v="Swap"/>
    <s v="Dual-band"/>
    <n v="4"/>
    <s v="New"/>
    <s v="PS mới 5G C"/>
    <n v="105.96696"/>
    <n v="10.359870000000001"/>
    <s v="Cai Be"/>
    <n v="0"/>
    <s v="Swap_L18 + L21 + NR 2.6 32T"/>
    <s v="Outdoor"/>
    <s v="Swap_0"/>
    <x v="2"/>
    <x v="17"/>
    <m/>
    <e v="#N/A"/>
    <s v="Macro"/>
    <m/>
    <n v="1"/>
  </r>
  <r>
    <s v="Tiền Giang"/>
    <s v="TGCB65"/>
    <s v="TGCB65"/>
    <s v="Swap"/>
    <s v="Dual-band"/>
    <n v="3"/>
    <s v="New"/>
    <s v="PS mới 5G C"/>
    <n v="105.95529999999999"/>
    <n v="10.4092"/>
    <s v="Cai Be"/>
    <n v="0"/>
    <s v="Swap_L18 + L21 + NR 2.6 32T"/>
    <s v="Outdoor"/>
    <s v="Swap_0"/>
    <x v="2"/>
    <x v="19"/>
    <m/>
    <e v="#N/A"/>
    <s v="Macro"/>
    <m/>
    <n v="1"/>
  </r>
  <r>
    <s v="Tiền Giang"/>
    <s v="TGCB66"/>
    <s v="TGCB66"/>
    <s v="Swap"/>
    <s v="Dual-band"/>
    <n v="3"/>
    <s v="Swap"/>
    <s v="Swap (PS mới 5G A)"/>
    <n v="105.88132"/>
    <n v="10.31793"/>
    <s v="Cai Be"/>
    <n v="0"/>
    <s v="Swap_L18 + L21 + NR 2.6 64T + NR 3.8"/>
    <s v="Outdoor"/>
    <s v="Swap_0"/>
    <x v="2"/>
    <x v="18"/>
    <m/>
    <e v="#N/A"/>
    <s v="Macro"/>
    <m/>
    <n v="1"/>
  </r>
  <r>
    <s v="Tiền Giang"/>
    <s v="TGCB68"/>
    <s v="TGCB68"/>
    <s v="Swap"/>
    <s v="Dual-band"/>
    <n v="4"/>
    <s v="Swap"/>
    <s v="Swap (PS mới 5G B)"/>
    <n v="105.91766"/>
    <n v="10.337870000000001"/>
    <s v="Cai Be"/>
    <n v="0"/>
    <s v="Swap_L18 + L21 + NR 2.6 64T + NR 3.8"/>
    <s v="Outdoor"/>
    <s v="Swap_0"/>
    <x v="2"/>
    <x v="18"/>
    <m/>
    <e v="#N/A"/>
    <s v="Macro"/>
    <m/>
    <n v="1"/>
  </r>
  <r>
    <s v="Tiền Giang"/>
    <s v="TGCB69"/>
    <s v="TGCB69"/>
    <s v="Swap"/>
    <s v="Single-Band"/>
    <n v="3"/>
    <m/>
    <m/>
    <n v="105.93631000000001"/>
    <n v="10.39772"/>
    <s v="Cai Be"/>
    <n v="0"/>
    <s v="Swap_L18"/>
    <s v="Outdoor"/>
    <s v="Swap_0"/>
    <x v="2"/>
    <x v="19"/>
    <m/>
    <e v="#N/A"/>
    <s v="Macro"/>
    <m/>
    <n v="1"/>
  </r>
  <r>
    <s v="Tiền Giang"/>
    <s v="TGCB72"/>
    <s v="TGCB72"/>
    <s v="Swap"/>
    <s v="Single-Band"/>
    <n v="3"/>
    <m/>
    <m/>
    <n v="106.0035"/>
    <n v="10.33619"/>
    <s v="Cai Be"/>
    <n v="0"/>
    <s v="Swap_L18"/>
    <s v="Outdoor"/>
    <s v="Swap_0"/>
    <x v="2"/>
    <x v="17"/>
    <m/>
    <e v="#N/A"/>
    <s v="Macro"/>
    <m/>
    <n v="1"/>
  </r>
  <r>
    <s v="Tiền Giang"/>
    <s v="TGCB31"/>
    <s v="TGCB74"/>
    <s v="Swap"/>
    <s v="Dual-band"/>
    <n v="4"/>
    <s v="New"/>
    <s v="PS mới 5G C"/>
    <n v="105.91715000000001"/>
    <n v="10.37612"/>
    <s v="Cai Be"/>
    <n v="0"/>
    <s v="Swap_L18 + L21 + NR 2.6 32T"/>
    <s v="Outdoor"/>
    <s v="Swap_0"/>
    <x v="2"/>
    <x v="20"/>
    <m/>
    <s v="OK"/>
    <s v="CRAN"/>
    <s v="Sub"/>
    <n v="2"/>
  </r>
  <r>
    <s v="Tiền Giang"/>
    <s v="TGCB74"/>
    <s v="TGCB74"/>
    <s v="Swap"/>
    <s v="Dual-band"/>
    <n v="3"/>
    <s v="New"/>
    <s v="PS mới 5G C"/>
    <n v="105.92735"/>
    <n v="10.359719999999999"/>
    <s v="Cai Be"/>
    <n v="0"/>
    <s v="Swap_L18 + L21 + NR 2.6 32T"/>
    <s v="Outdoor"/>
    <s v="Swap_0"/>
    <x v="2"/>
    <x v="20"/>
    <m/>
    <e v="#N/A"/>
    <s v="Macro"/>
    <s v="Master"/>
    <n v="2"/>
  </r>
  <r>
    <s v="Tiền Giang"/>
    <s v="TGCB76"/>
    <s v="TGCB76"/>
    <s v="Swap"/>
    <s v="Dual-band"/>
    <n v="3"/>
    <m/>
    <m/>
    <n v="105.8957795"/>
    <n v="10.3360161"/>
    <s v="Cai Be"/>
    <n v="0"/>
    <s v="Swap_L18 + L21"/>
    <s v="Outdoor"/>
    <s v="Swap_0"/>
    <x v="2"/>
    <x v="20"/>
    <m/>
    <e v="#N/A"/>
    <s v="Macro"/>
    <m/>
    <n v="1"/>
  </r>
  <r>
    <s v="Tiền Giang"/>
    <s v="TGCB79"/>
    <s v="TGCB79"/>
    <s v="Swap"/>
    <s v="Single-Band"/>
    <n v="3"/>
    <s v="New"/>
    <s v="PS mới 5G C"/>
    <n v="106.01266630000001"/>
    <n v="10.3805225"/>
    <s v="Cai Be"/>
    <n v="0"/>
    <s v="Swap_L18 + NR 2.6 32T"/>
    <s v="Outdoor"/>
    <s v="Swap_0"/>
    <x v="2"/>
    <x v="17"/>
    <m/>
    <e v="#N/A"/>
    <s v="Macro"/>
    <m/>
    <n v="1"/>
  </r>
  <r>
    <s v="Tiền Giang"/>
    <s v="TGCB82"/>
    <s v="TGCB82"/>
    <s v="Swap"/>
    <s v="Single-Band"/>
    <n v="3"/>
    <m/>
    <m/>
    <n v="105.821"/>
    <n v="10.350899999999999"/>
    <s v="Cai Be"/>
    <n v="0"/>
    <s v="Swap_L18"/>
    <s v="Outdoor"/>
    <s v="Swap_0"/>
    <x v="2"/>
    <x v="20"/>
    <m/>
    <e v="#N/A"/>
    <s v="Macro"/>
    <m/>
    <n v="1"/>
  </r>
  <r>
    <s v="Tiền Giang"/>
    <s v="TGCB83"/>
    <s v="TGCB83"/>
    <s v="Swap"/>
    <s v="Single-Band"/>
    <n v="3"/>
    <m/>
    <m/>
    <n v="105.9102"/>
    <n v="10.3452"/>
    <s v="Cai Be"/>
    <n v="0"/>
    <s v="Swap_L18"/>
    <s v="Outdoor"/>
    <s v="Swap_0"/>
    <x v="2"/>
    <x v="20"/>
    <m/>
    <e v="#N/A"/>
    <s v="Macro"/>
    <m/>
    <n v="1"/>
  </r>
  <r>
    <s v="Tiền Giang"/>
    <s v="TGCB84"/>
    <s v="TGCB84"/>
    <s v="Swap"/>
    <s v="Single-Band"/>
    <n v="3"/>
    <m/>
    <m/>
    <n v="105.89657"/>
    <n v="10.405754999999999"/>
    <s v="Cai Be"/>
    <n v="0"/>
    <s v="Swap_L18"/>
    <s v="Outdoor"/>
    <s v="Swap_0"/>
    <x v="2"/>
    <x v="20"/>
    <m/>
    <e v="#N/A"/>
    <s v="Macro"/>
    <m/>
    <n v="1"/>
  </r>
  <r>
    <s v="Tiền Giang"/>
    <s v="TGCB86"/>
    <s v="TGCB86"/>
    <s v="Swap"/>
    <s v="Single-Band"/>
    <n v="3"/>
    <m/>
    <m/>
    <n v="105.95385"/>
    <n v="10.426450000000001"/>
    <s v="Cai Be"/>
    <n v="0"/>
    <s v="Swap_L18"/>
    <s v="Outdoor"/>
    <s v="Swap_0"/>
    <x v="2"/>
    <x v="19"/>
    <m/>
    <e v="#N/A"/>
    <s v="Macro"/>
    <m/>
    <n v="1"/>
  </r>
  <r>
    <s v="Tiền Giang"/>
    <s v="TGCB87"/>
    <s v="TGCB87"/>
    <s v="Swap"/>
    <s v="Single-Band"/>
    <n v="3"/>
    <m/>
    <m/>
    <n v="105.9423"/>
    <n v="10.533799999999999"/>
    <s v="Cai Be"/>
    <n v="0"/>
    <s v="Swap_L18"/>
    <s v="Outdoor"/>
    <s v="Swap_0"/>
    <x v="2"/>
    <x v="19"/>
    <m/>
    <e v="#N/A"/>
    <s v="Macro"/>
    <m/>
    <n v="1"/>
  </r>
  <r>
    <s v="Tiền Giang"/>
    <s v="TGCB89"/>
    <s v="TGCB89"/>
    <s v="Swap"/>
    <s v="Single-Band"/>
    <n v="3"/>
    <m/>
    <m/>
    <n v="105.96651"/>
    <n v="10.52596"/>
    <s v="Cai Be"/>
    <n v="0"/>
    <s v="Swap_L18"/>
    <s v="Outdoor"/>
    <s v="Swap_0"/>
    <x v="2"/>
    <x v="19"/>
    <m/>
    <e v="#N/A"/>
    <s v="Macro"/>
    <m/>
    <n v="1"/>
  </r>
  <r>
    <s v="Tiền Giang"/>
    <s v="TGCB90"/>
    <s v="TGCB90"/>
    <s v="Swap"/>
    <s v="Single-Band"/>
    <n v="3"/>
    <m/>
    <m/>
    <n v="105.89076"/>
    <n v="10.373989999999999"/>
    <s v="Cai Be"/>
    <n v="0"/>
    <s v="Swap_L18"/>
    <s v="Outdoor"/>
    <s v="Swap_0"/>
    <x v="2"/>
    <x v="20"/>
    <m/>
    <e v="#N/A"/>
    <s v="Macro"/>
    <m/>
    <n v="1"/>
  </r>
  <r>
    <s v="Tiền Giang"/>
    <s v="TGCB91"/>
    <s v="TGCB91"/>
    <s v="Swap"/>
    <s v="Single-Band"/>
    <n v="3"/>
    <m/>
    <m/>
    <n v="105.872"/>
    <n v="10.3"/>
    <s v="Cai Be"/>
    <n v="0"/>
    <s v="Swap_L18"/>
    <s v="Outdoor"/>
    <s v="Swap_0"/>
    <x v="2"/>
    <x v="18"/>
    <m/>
    <e v="#N/A"/>
    <s v="Macro"/>
    <m/>
    <n v="1"/>
  </r>
  <r>
    <s v="Tiền Giang"/>
    <s v="TGCG01"/>
    <s v="TGCG01"/>
    <s v="Swap"/>
    <s v="Dual-band"/>
    <n v="4"/>
    <s v="New"/>
    <s v="PS mới 5G C"/>
    <n v="106.4614"/>
    <n v="10.353719999999999"/>
    <s v="Cho Gao"/>
    <s v="Month 2"/>
    <s v="Swap_L18 + L21 + NR 2.6 32T"/>
    <s v="Outdoor"/>
    <s v="Swap_Month 2"/>
    <x v="3"/>
    <x v="21"/>
    <m/>
    <e v="#N/A"/>
    <s v="Macro"/>
    <m/>
    <n v="1"/>
  </r>
  <r>
    <s v="Tiền Giang"/>
    <s v="TGCG02"/>
    <s v="TGCG02"/>
    <s v="Swap"/>
    <s v="Single-Band"/>
    <n v="3"/>
    <s v="New"/>
    <s v="PS mới 5G C"/>
    <n v="106.3528774"/>
    <n v="10.4171472"/>
    <s v="Cho Gao"/>
    <s v="Month 2"/>
    <s v="Swap_L18 + NR 2.6 32T"/>
    <s v="Outdoor"/>
    <s v="Swap_Month 2"/>
    <x v="3"/>
    <x v="22"/>
    <m/>
    <e v="#N/A"/>
    <s v="Macro"/>
    <m/>
    <n v="1"/>
  </r>
  <r>
    <s v="Tiền Giang"/>
    <s v="TGCG03"/>
    <s v="TGCG03"/>
    <s v="Swap"/>
    <s v="Single-Band"/>
    <n v="3"/>
    <s v="New"/>
    <s v="PS mới 5G C"/>
    <n v="106.53541"/>
    <n v="10.329190000000001"/>
    <s v="Cho Gao"/>
    <s v="Month 2"/>
    <s v="Swap_L18 + NR 2.6 32T"/>
    <s v="Outdoor"/>
    <s v="Swap_Month 2"/>
    <x v="3"/>
    <x v="21"/>
    <m/>
    <e v="#N/A"/>
    <s v="Macro"/>
    <m/>
    <n v="1"/>
  </r>
  <r>
    <s v="Tiền Giang"/>
    <s v="TGCG04"/>
    <s v="TGCG04"/>
    <s v="Swap"/>
    <s v="Single-Band"/>
    <n v="3"/>
    <m/>
    <m/>
    <n v="106.50693"/>
    <n v="10.32258"/>
    <s v="Cho Gao"/>
    <s v="Month 2"/>
    <s v="Swap_L18"/>
    <s v="Outdoor"/>
    <s v="Swap_Month 2"/>
    <x v="3"/>
    <x v="21"/>
    <m/>
    <e v="#N/A"/>
    <s v="Macro"/>
    <m/>
    <n v="1"/>
  </r>
  <r>
    <s v="Tiền Giang"/>
    <s v="TGCG05"/>
    <s v="TGCG05"/>
    <s v="Swap"/>
    <s v="Dual-band"/>
    <n v="3"/>
    <s v="New"/>
    <s v="PS mới 5G C"/>
    <n v="106.45285"/>
    <n v="10.389089999999999"/>
    <s v="Cho Gao"/>
    <s v="Month 2"/>
    <s v="Swap_L18 + L21 + NR 2.6 32T"/>
    <s v="Outdoor"/>
    <s v="Swap_Month 2"/>
    <x v="3"/>
    <x v="23"/>
    <m/>
    <e v="#N/A"/>
    <s v="Macro"/>
    <m/>
    <n v="1"/>
  </r>
  <r>
    <s v="Tiền Giang"/>
    <s v="TGCG06"/>
    <s v="TGCG06"/>
    <s v="Swap"/>
    <s v="Single-Band"/>
    <n v="3"/>
    <m/>
    <m/>
    <n v="106.46590999999999"/>
    <n v="10.33013"/>
    <s v="Cho Gao"/>
    <s v="Month 2"/>
    <s v="Swap_L18 + NR 7 + L9"/>
    <s v="Outdoor"/>
    <s v="Swap_Month 2"/>
    <x v="3"/>
    <x v="21"/>
    <m/>
    <e v="#N/A"/>
    <s v="Macro"/>
    <m/>
    <n v="1"/>
  </r>
  <r>
    <s v="Tiền Giang"/>
    <s v="TGCG09"/>
    <s v="TGCG09"/>
    <s v="Swap"/>
    <s v="Dual-band"/>
    <n v="3"/>
    <s v="New"/>
    <s v="PS mới 5G C"/>
    <n v="106.36767999999999"/>
    <n v="10.439819999999999"/>
    <s v="Cho Gao"/>
    <s v="Month 2"/>
    <s v="Swap_L18 + L21 + NR 2.6 32T"/>
    <s v="Outdoor"/>
    <s v="Swap_Month 2"/>
    <x v="3"/>
    <x v="22"/>
    <m/>
    <e v="#N/A"/>
    <s v="Macro"/>
    <m/>
    <n v="1"/>
  </r>
  <r>
    <s v="Tiền Giang"/>
    <s v="TGCG10"/>
    <s v="TGCG10"/>
    <s v="Swap"/>
    <s v="Dual-band"/>
    <n v="3"/>
    <s v="New"/>
    <s v="PS mới 5G C"/>
    <n v="106.51067"/>
    <n v="10.39845"/>
    <s v="Cho Gao"/>
    <s v="Month 2"/>
    <s v="Swap_L18 + L21 + NR 2.6 32T"/>
    <s v="Outdoor"/>
    <s v="Swap_Month 2"/>
    <x v="3"/>
    <x v="23"/>
    <m/>
    <e v="#N/A"/>
    <s v="Macro"/>
    <m/>
    <n v="1"/>
  </r>
  <r>
    <s v="Tiền Giang"/>
    <s v="TGCG11"/>
    <s v="TGCG11"/>
    <s v="Swap"/>
    <s v="Dual-band"/>
    <n v="4"/>
    <s v="New"/>
    <s v="PS mới 5G C"/>
    <n v="106.42202"/>
    <n v="10.350519999999999"/>
    <s v="Cho Gao"/>
    <s v="Month 2"/>
    <s v="Swap_L18 + L21 + NR 2.6 32T"/>
    <s v="Outdoor"/>
    <s v="Swap_Month 2"/>
    <x v="3"/>
    <x v="21"/>
    <m/>
    <e v="#N/A"/>
    <s v="Macro"/>
    <m/>
    <n v="1"/>
  </r>
  <r>
    <s v="Tiền Giang"/>
    <s v="TGCG12"/>
    <s v="TGCG12"/>
    <s v="Swap"/>
    <s v="Dual-band"/>
    <n v="3"/>
    <s v="New"/>
    <s v="PS mới 5G C"/>
    <n v="106.38806"/>
    <n v="10.36833"/>
    <s v="Cho Gao"/>
    <s v="Month 2"/>
    <s v="Swap_L18 + L21 + NR 2.6 32T"/>
    <s v="Outdoor"/>
    <s v="Swap_Month 2"/>
    <x v="3"/>
    <x v="24"/>
    <m/>
    <e v="#N/A"/>
    <s v="Macro"/>
    <m/>
    <n v="1"/>
  </r>
  <r>
    <s v="Tiền Giang"/>
    <s v="TGCG49"/>
    <s v="TGCG14"/>
    <s v="Swap"/>
    <s v="Single-Band"/>
    <n v="3"/>
    <m/>
    <m/>
    <n v="106.50171"/>
    <n v="10.35188"/>
    <s v="Cho Gao"/>
    <s v="Month 2"/>
    <s v="Swap_L18"/>
    <s v="Outdoor"/>
    <s v="Swap_Month 2"/>
    <x v="3"/>
    <x v="21"/>
    <m/>
    <e v="#N/A"/>
    <s v="CRAN"/>
    <s v="Sub"/>
    <n v="1"/>
  </r>
  <r>
    <s v="Tiền Giang"/>
    <s v="TGCG15"/>
    <s v="TGCG15"/>
    <s v="Swap"/>
    <s v="Single-Band"/>
    <n v="3"/>
    <m/>
    <m/>
    <n v="106.42116"/>
    <n v="10.435129999999999"/>
    <s v="Cho Gao"/>
    <s v="Month 2"/>
    <s v="Swap_L18"/>
    <s v="Outdoor"/>
    <s v="Swap_Month 2"/>
    <x v="3"/>
    <x v="22"/>
    <m/>
    <e v="#N/A"/>
    <s v="Macro"/>
    <m/>
    <n v="1"/>
  </r>
  <r>
    <s v="Tiền Giang"/>
    <s v="TGCG16"/>
    <s v="TGCG16"/>
    <s v="Swap"/>
    <s v="Single-Band"/>
    <n v="3"/>
    <s v="New"/>
    <s v="PS mới 5G C"/>
    <n v="106.38326000000001"/>
    <n v="10.423220000000001"/>
    <s v="Cho Gao"/>
    <s v="Month 2"/>
    <s v="Swap_L18 + NR 2.6 32T"/>
    <s v="Outdoor"/>
    <s v="Swap_Month 2"/>
    <x v="3"/>
    <x v="22"/>
    <m/>
    <e v="#N/A"/>
    <s v="Macro"/>
    <m/>
    <n v="1"/>
  </r>
  <r>
    <s v="Tiền Giang"/>
    <s v="TGCG13"/>
    <s v="TGCG17"/>
    <s v="Swap"/>
    <s v="Single-Band"/>
    <n v="3"/>
    <s v="New"/>
    <s v="PS mới 5G C"/>
    <n v="106.4135"/>
    <n v="10.416729999999999"/>
    <s v="Cho Gao"/>
    <s v="Month 2"/>
    <s v="Swap_L18 + NR 2.6 32T"/>
    <s v="Outdoor"/>
    <s v="Swap_Month 2"/>
    <x v="3"/>
    <x v="22"/>
    <m/>
    <s v="OK"/>
    <s v="CRAN"/>
    <s v="Sub"/>
    <n v="3"/>
  </r>
  <r>
    <s v="Tiền Giang"/>
    <s v="TGCG17"/>
    <s v="TGCG17"/>
    <s v="Swap"/>
    <s v="Single-Band"/>
    <n v="3"/>
    <m/>
    <m/>
    <n v="106.37967999999999"/>
    <n v="10.406319999999999"/>
    <s v="Cho Gao"/>
    <s v="Month 2"/>
    <s v="Swap_L18"/>
    <s v="Outdoor"/>
    <s v="Swap_Month 2"/>
    <x v="3"/>
    <x v="22"/>
    <m/>
    <e v="#N/A"/>
    <s v="Macro"/>
    <s v="Master"/>
    <n v="3"/>
  </r>
  <r>
    <s v="Tiền Giang"/>
    <s v="TGCG55"/>
    <s v="TGCG17"/>
    <s v="Swap"/>
    <s v="Single-Band"/>
    <n v="3"/>
    <m/>
    <m/>
    <n v="106.39591"/>
    <n v="10.40929"/>
    <s v="Cho Gao"/>
    <s v="Month 2"/>
    <s v="Swap_L18"/>
    <s v="Outdoor"/>
    <s v="Swap_Month 2"/>
    <x v="3"/>
    <x v="22"/>
    <m/>
    <e v="#N/A"/>
    <s v="CRAN"/>
    <s v="Sub"/>
    <n v="3"/>
  </r>
  <r>
    <s v="Tiền Giang"/>
    <s v="TGCG18"/>
    <s v="TGCG18"/>
    <s v="Swap"/>
    <s v="Single-Band"/>
    <n v="4"/>
    <m/>
    <m/>
    <n v="106.43335"/>
    <n v="10.333"/>
    <s v="Cho Gao"/>
    <s v="Month 2"/>
    <s v="Swap_L18"/>
    <s v="Outdoor"/>
    <s v="Swap_Month 2"/>
    <x v="3"/>
    <x v="21"/>
    <m/>
    <e v="#N/A"/>
    <s v="Macro"/>
    <s v="Master"/>
    <n v="2"/>
  </r>
  <r>
    <s v="Tiền Giang"/>
    <s v="TGCG37"/>
    <s v="TGCG18"/>
    <s v="Swap"/>
    <s v="Single-Band"/>
    <n v="3"/>
    <m/>
    <m/>
    <n v="106.41168999999999"/>
    <n v="10.3361"/>
    <s v="Cho Gao"/>
    <s v="Month 2"/>
    <s v="Swap_L18"/>
    <s v="Outdoor"/>
    <s v="Swap_Month 2"/>
    <x v="3"/>
    <x v="21"/>
    <m/>
    <e v="#N/A"/>
    <s v="CRAN"/>
    <s v="Sub"/>
    <n v="2"/>
  </r>
  <r>
    <s v="Tiền Giang"/>
    <s v="TGCG19"/>
    <s v="TGCG19"/>
    <s v="Swap"/>
    <s v="Dual-band"/>
    <n v="3"/>
    <s v="New"/>
    <s v="PS mới 5G C"/>
    <n v="106.48647"/>
    <n v="10.374919999999999"/>
    <s v="Cho Gao"/>
    <s v="Month 2"/>
    <s v="Swap_L18 + L21 + NR 2.6 32T"/>
    <s v="Outdoor"/>
    <s v="Swap_Month 2"/>
    <x v="3"/>
    <x v="23"/>
    <m/>
    <e v="#N/A"/>
    <s v="Macro"/>
    <s v="Master"/>
    <n v="2"/>
  </r>
  <r>
    <s v="Tiền Giang"/>
    <s v="TGCGX1"/>
    <s v="TGCG19"/>
    <s v="Swap"/>
    <s v="Dual-band"/>
    <n v="3"/>
    <s v="New"/>
    <s v="PS mới 5G C"/>
    <n v="106.472984"/>
    <n v="10.365474000000001"/>
    <s v="Cho Gao"/>
    <s v="Month 2"/>
    <s v="Swap_L18 + L21 + NR 2.6 32T"/>
    <s v="Outdoor"/>
    <s v="Swap_Month 2"/>
    <x v="3"/>
    <x v="23"/>
    <m/>
    <e v="#N/A"/>
    <s v="CRAN"/>
    <s v="Sub"/>
    <n v="2"/>
  </r>
  <r>
    <s v="Tiền Giang"/>
    <s v="TGCG20"/>
    <s v="TGCG20"/>
    <s v="Swap"/>
    <s v="Single-Band"/>
    <n v="3"/>
    <m/>
    <m/>
    <n v="106.44001"/>
    <n v="10.339779999999999"/>
    <s v="Cho Gao"/>
    <s v="Month 2"/>
    <s v="Swap_L18"/>
    <s v="Outdoor"/>
    <s v="Swap_Month 2"/>
    <x v="3"/>
    <x v="21"/>
    <m/>
    <e v="#N/A"/>
    <s v="Macro"/>
    <m/>
    <n v="1"/>
  </r>
  <r>
    <s v="Tiền Giang"/>
    <s v="TGCG21"/>
    <s v="TGCG21"/>
    <s v="Swap"/>
    <s v="Single-Band"/>
    <n v="3"/>
    <s v="New"/>
    <s v="PS mới 5G C"/>
    <n v="106.45180999999999"/>
    <n v="10.368840000000001"/>
    <s v="Cho Gao"/>
    <s v="Month 2"/>
    <s v="Swap_L18 + NR 2.6 32T"/>
    <s v="Outdoor"/>
    <s v="Swap_Month 2"/>
    <x v="3"/>
    <x v="23"/>
    <m/>
    <e v="#N/A"/>
    <s v="Macro"/>
    <m/>
    <n v="1"/>
  </r>
  <r>
    <s v="Tiền Giang"/>
    <s v="TGCG22"/>
    <s v="TGCG22"/>
    <s v="Swap"/>
    <s v="Single-Band"/>
    <n v="3"/>
    <m/>
    <m/>
    <n v="106.48502000000001"/>
    <n v="10.396739999999999"/>
    <s v="Cho Gao"/>
    <s v="Month 2"/>
    <s v="Swap_L18"/>
    <s v="Outdoor"/>
    <s v="Swap_Month 2"/>
    <x v="3"/>
    <x v="23"/>
    <m/>
    <e v="#N/A"/>
    <s v="Macro"/>
    <m/>
    <n v="1"/>
  </r>
  <r>
    <s v="Tiền Giang"/>
    <s v="TGCG23"/>
    <s v="TGCG23"/>
    <s v="Swap"/>
    <s v="Dual-band"/>
    <n v="3"/>
    <s v="New"/>
    <s v="PS mới 5G C"/>
    <n v="106.53482"/>
    <n v="10.388210000000001"/>
    <s v="Cho Gao"/>
    <s v="Month 2"/>
    <s v="Swap_L18 + L21 + NR 2.6 32T"/>
    <s v="Outdoor"/>
    <s v="Swap_Month 2"/>
    <x v="3"/>
    <x v="23"/>
    <m/>
    <e v="#N/A"/>
    <s v="Macro"/>
    <m/>
    <n v="1"/>
  </r>
  <r>
    <s v="Tiền Giang"/>
    <s v="TGCG24"/>
    <s v="TGCG24"/>
    <s v="Swap"/>
    <s v="Single-Band"/>
    <n v="3"/>
    <m/>
    <m/>
    <n v="106.53686"/>
    <n v="10.31255"/>
    <s v="Cho Gao"/>
    <s v="Month 2"/>
    <s v="Swap_L18"/>
    <s v="Outdoor"/>
    <s v="Swap_Month 2"/>
    <x v="3"/>
    <x v="21"/>
    <m/>
    <e v="#N/A"/>
    <s v="Macro"/>
    <m/>
    <n v="1"/>
  </r>
  <r>
    <s v="Tiền Giang"/>
    <s v="TGCG25"/>
    <s v="TGCG25"/>
    <s v="Swap"/>
    <s v="Dual-band"/>
    <n v="3"/>
    <s v="New"/>
    <s v="PS mới 5G C"/>
    <n v="106.51353"/>
    <n v="10.376569999999999"/>
    <s v="Cho Gao"/>
    <s v="Month 2"/>
    <s v="Swap_L18 + L21 + NR 2.6 32T"/>
    <s v="Outdoor"/>
    <s v="Swap_Month 2"/>
    <x v="3"/>
    <x v="23"/>
    <m/>
    <e v="#N/A"/>
    <s v="Macro"/>
    <m/>
    <n v="1"/>
  </r>
  <r>
    <s v="Tiền Giang"/>
    <s v="TGCG26"/>
    <s v="TGCG26"/>
    <s v="Swap"/>
    <s v="Single-Band"/>
    <n v="3"/>
    <m/>
    <m/>
    <n v="106.428"/>
    <n v="10.39015"/>
    <s v="Cho Gao"/>
    <s v="Month 2"/>
    <s v="Swap_L18"/>
    <s v="Outdoor"/>
    <s v="Swap_Month 2"/>
    <x v="3"/>
    <x v="23"/>
    <m/>
    <e v="#N/A"/>
    <s v="Macro"/>
    <m/>
    <n v="1"/>
  </r>
  <r>
    <s v="Tiền Giang"/>
    <s v="TGCG27"/>
    <s v="TGCG27"/>
    <s v="Swap"/>
    <s v="Dual-band"/>
    <n v="3"/>
    <m/>
    <m/>
    <n v="106.47596"/>
    <n v="10.350059999999999"/>
    <s v="Cho Gao"/>
    <s v="Month 2"/>
    <s v="Swap_L18 + L21"/>
    <s v="Outdoor"/>
    <s v="Swap_Month 2"/>
    <x v="3"/>
    <x v="21"/>
    <m/>
    <e v="#N/A"/>
    <s v="Macro"/>
    <m/>
    <n v="1"/>
  </r>
  <r>
    <s v="Tiền Giang"/>
    <s v="TGCG28"/>
    <s v="TGCG28"/>
    <s v="Swap"/>
    <s v="Single-Band"/>
    <n v="3"/>
    <m/>
    <m/>
    <n v="106.39722"/>
    <n v="10.44112"/>
    <s v="Cho Gao"/>
    <s v="Month 2"/>
    <s v="Swap_L18"/>
    <s v="Outdoor"/>
    <s v="Swap_Month 2"/>
    <x v="3"/>
    <x v="22"/>
    <m/>
    <e v="#N/A"/>
    <s v="Macro"/>
    <m/>
    <n v="1"/>
  </r>
  <r>
    <s v="Tiền Giang"/>
    <s v="TGCG29"/>
    <s v="TGCG29"/>
    <s v="Swap"/>
    <s v="Dual-band"/>
    <n v="4"/>
    <s v="New"/>
    <s v="PS mới 5G C"/>
    <n v="106.44280000000001"/>
    <n v="10.3512"/>
    <s v="Cho Gao"/>
    <s v="Month 2"/>
    <s v="Swap_L18 + L21 + NR 2.6 32T"/>
    <s v="Outdoor"/>
    <s v="Swap_Month 2"/>
    <x v="3"/>
    <x v="21"/>
    <m/>
    <e v="#N/A"/>
    <s v="Macro"/>
    <m/>
    <n v="1"/>
  </r>
  <r>
    <s v="Tiền Giang"/>
    <s v="TGCG30"/>
    <s v="TGCG30"/>
    <s v="Swap"/>
    <s v="Dual-band"/>
    <n v="3"/>
    <s v="New"/>
    <s v="PS mới 5G C"/>
    <n v="106.38343"/>
    <n v="10.45964"/>
    <s v="Cho Gao"/>
    <s v="Month 2"/>
    <s v="Swap_L18 + L21 + NR 2.6 32T"/>
    <s v="Outdoor"/>
    <s v="Swap_Month 2"/>
    <x v="3"/>
    <x v="22"/>
    <m/>
    <e v="#N/A"/>
    <s v="Macro"/>
    <s v="Master"/>
    <n v="3"/>
  </r>
  <r>
    <s v="Tiền Giang"/>
    <s v="TGCG39"/>
    <s v="TGCG30"/>
    <s v="Swap"/>
    <s v="Single-Band"/>
    <n v="3"/>
    <m/>
    <m/>
    <n v="106.39102"/>
    <n v="10.476660000000001"/>
    <s v="Cho Gao"/>
    <s v="Month 2"/>
    <s v="Swap_L18"/>
    <s v="Outdoor"/>
    <s v="Swap_Month 2"/>
    <x v="3"/>
    <x v="22"/>
    <m/>
    <e v="#N/A"/>
    <s v="CRAN"/>
    <s v="Sub"/>
    <n v="3"/>
  </r>
  <r>
    <s v="Tiền Giang"/>
    <s v="TGCG53"/>
    <s v="TGCG30"/>
    <s v="Swap"/>
    <s v="Single-Band"/>
    <n v="3"/>
    <s v="New"/>
    <s v="PS mới 5G C"/>
    <n v="106.40535"/>
    <n v="10.452680000000001"/>
    <s v="Cho Gao"/>
    <s v="Month 2"/>
    <s v="Swap_L18 + NR 2.6 32T"/>
    <s v="Outdoor"/>
    <s v="Swap_Month 2"/>
    <x v="3"/>
    <x v="22"/>
    <m/>
    <e v="#N/A"/>
    <s v="CRAN"/>
    <s v="Sub"/>
    <n v="3"/>
  </r>
  <r>
    <s v="Tiền Giang"/>
    <s v="TGCG31"/>
    <s v="TGCG31"/>
    <s v="Swap"/>
    <s v="Single-Band"/>
    <n v="3"/>
    <m/>
    <m/>
    <n v="106.4404"/>
    <n v="10.4514"/>
    <s v="Cho Gao"/>
    <s v="Month 2"/>
    <s v="Swap_L18"/>
    <s v="Outdoor"/>
    <s v="Swap_Month 2"/>
    <x v="3"/>
    <x v="22"/>
    <m/>
    <e v="#N/A"/>
    <s v="Macro"/>
    <m/>
    <n v="1"/>
  </r>
  <r>
    <s v="Tiền Giang"/>
    <s v="TGCG32"/>
    <s v="TGCG32"/>
    <s v="Swap"/>
    <s v="Single-Band"/>
    <n v="3"/>
    <s v="New"/>
    <s v="PS mới 5G C"/>
    <n v="106.51257649999999"/>
    <n v="10.357574899999999"/>
    <s v="Cho Gao"/>
    <s v="Month 2"/>
    <s v="Swap_L18 + NR 2.6 32T"/>
    <s v="Outdoor"/>
    <s v="Swap_Month 2"/>
    <x v="3"/>
    <x v="23"/>
    <m/>
    <e v="#N/A"/>
    <s v="Macro"/>
    <m/>
    <n v="1"/>
  </r>
  <r>
    <s v="Tiền Giang"/>
    <s v="TGCG50"/>
    <s v="TGCG33"/>
    <s v="Swap"/>
    <s v="Dual-band"/>
    <n v="3"/>
    <s v="New"/>
    <s v="PS mới 5G C"/>
    <n v="106.52445"/>
    <n v="10.3279"/>
    <s v="Cho Gao"/>
    <s v="Month 2"/>
    <s v="Swap_L18 + L21 + NR 2.6 32T"/>
    <s v="Outdoor"/>
    <s v="Swap_Month 2"/>
    <x v="3"/>
    <x v="21"/>
    <m/>
    <e v="#N/A"/>
    <s v="CRAN"/>
    <s v="Sub"/>
    <n v="1"/>
  </r>
  <r>
    <s v="Tiền Giang"/>
    <s v="TGCG35"/>
    <s v="TGCG35"/>
    <s v="Swap"/>
    <s v="Single-Band"/>
    <n v="3"/>
    <s v="New"/>
    <s v="PS mới 5G C"/>
    <n v="106.465"/>
    <n v="10.34652"/>
    <s v="Cho Gao"/>
    <s v="Month 2"/>
    <s v="Swap_L18 + NR 2.6 32T"/>
    <s v="Outdoor"/>
    <s v="Swap_Month 2"/>
    <x v="3"/>
    <x v="21"/>
    <m/>
    <e v="#N/A"/>
    <s v="Macro"/>
    <m/>
    <n v="1"/>
  </r>
  <r>
    <s v="Tiền Giang"/>
    <s v="TGCG36"/>
    <s v="TGCG36"/>
    <s v="Swap"/>
    <s v="Single-Band"/>
    <n v="3"/>
    <s v="New"/>
    <s v="PS mới 5G C"/>
    <n v="106.42883"/>
    <n v="10.37533"/>
    <s v="Cho Gao"/>
    <s v="Month 2"/>
    <s v="Swap_L18 + NR 2.6 32T"/>
    <s v="Outdoor"/>
    <s v="Swap_Month 2"/>
    <x v="3"/>
    <x v="23"/>
    <m/>
    <e v="#N/A"/>
    <s v="Macro"/>
    <m/>
    <n v="1"/>
  </r>
  <r>
    <s v="Tiền Giang"/>
    <s v="TGCG38"/>
    <s v="TGCG38"/>
    <s v="Swap"/>
    <s v="Single-Band"/>
    <n v="3"/>
    <m/>
    <m/>
    <n v="106.4629935"/>
    <n v="10.3154203"/>
    <s v="Cho Gao"/>
    <s v="Month 2"/>
    <s v="Swap_L18"/>
    <s v="Outdoor"/>
    <s v="Swap_Month 2"/>
    <x v="3"/>
    <x v="21"/>
    <m/>
    <e v="#N/A"/>
    <s v="Macro"/>
    <m/>
    <n v="1"/>
  </r>
  <r>
    <s v="Tiền Giang"/>
    <s v="TGCG40"/>
    <s v="TGCG40"/>
    <s v="Swap"/>
    <s v="Single-Band"/>
    <n v="3"/>
    <s v="New"/>
    <s v="PS mới 5G C"/>
    <n v="106.48909"/>
    <n v="10.36265"/>
    <s v="Cho Gao"/>
    <s v="Month 2"/>
    <s v="Swap_L18 + NR 2.6 32T"/>
    <s v="Outdoor"/>
    <s v="Swap_Month 2"/>
    <x v="3"/>
    <x v="23"/>
    <m/>
    <e v="#N/A"/>
    <s v="Macro"/>
    <m/>
    <n v="1"/>
  </r>
  <r>
    <s v="Tiền Giang"/>
    <s v="TGCG41"/>
    <s v="TGCG41"/>
    <s v="Swap"/>
    <s v="Single-Band"/>
    <n v="3"/>
    <m/>
    <m/>
    <n v="106.44687"/>
    <n v="10.319380000000001"/>
    <s v="Cho Gao"/>
    <s v="Month 2"/>
    <s v="Swap_L18"/>
    <s v="Outdoor"/>
    <s v="Swap_Month 2"/>
    <x v="3"/>
    <x v="21"/>
    <m/>
    <e v="#N/A"/>
    <s v="Macro"/>
    <m/>
    <n v="1"/>
  </r>
  <r>
    <s v="Tiền Giang"/>
    <s v="TGCG42"/>
    <s v="TGCG42"/>
    <s v="Swap"/>
    <s v="Single-Band"/>
    <n v="3"/>
    <m/>
    <m/>
    <n v="106.46913000000001"/>
    <n v="10.37834"/>
    <s v="Cho Gao"/>
    <s v="Month 2"/>
    <s v="Swap_L18"/>
    <s v="Outdoor"/>
    <s v="Swap_Month 2"/>
    <x v="3"/>
    <x v="23"/>
    <m/>
    <e v="#N/A"/>
    <s v="Macro"/>
    <m/>
    <n v="1"/>
  </r>
  <r>
    <s v="Tiền Giang"/>
    <s v="TGCG43"/>
    <s v="TGCG43"/>
    <s v="Swap"/>
    <s v="Single-Band"/>
    <n v="3"/>
    <m/>
    <m/>
    <n v="106.4858"/>
    <n v="10.3215"/>
    <s v="Cho Gao"/>
    <s v="Month 2"/>
    <s v="Swap_L18"/>
    <s v="Outdoor"/>
    <s v="Swap_Month 2"/>
    <x v="3"/>
    <x v="21"/>
    <m/>
    <e v="#N/A"/>
    <s v="Macro"/>
    <m/>
    <n v="1"/>
  </r>
  <r>
    <s v="Tiền Giang"/>
    <s v="TGCG44"/>
    <s v="TGCG44"/>
    <s v="Swap"/>
    <s v="Single-Band"/>
    <n v="3"/>
    <m/>
    <m/>
    <n v="106.41562999999999"/>
    <n v="10.464119999999999"/>
    <s v="Cho Gao"/>
    <s v="Month 2"/>
    <s v="Swap_L18"/>
    <s v="Outdoor"/>
    <s v="Swap_Month 2"/>
    <x v="3"/>
    <x v="22"/>
    <m/>
    <e v="#N/A"/>
    <s v="Macro"/>
    <m/>
    <n v="1"/>
  </r>
  <r>
    <s v="Tiền Giang"/>
    <s v="TGCG45"/>
    <s v="TGCG45"/>
    <s v="Swap"/>
    <s v="Dual-band"/>
    <n v="3"/>
    <s v="New"/>
    <s v="PS mới 5G C"/>
    <n v="106.45653"/>
    <n v="10.35534"/>
    <s v="Cho Gao"/>
    <s v="Month 2"/>
    <s v="Swap_L18 + L21 + NR 2.6 32T"/>
    <s v="Outdoor"/>
    <s v="Swap_Month 2"/>
    <x v="3"/>
    <x v="21"/>
    <m/>
    <e v="#N/A"/>
    <s v="Macro"/>
    <m/>
    <n v="1"/>
  </r>
  <r>
    <s v="Tiền Giang"/>
    <s v="TGCG46"/>
    <s v="TGCG46"/>
    <s v="Swap"/>
    <s v="Single-Band"/>
    <n v="3"/>
    <m/>
    <m/>
    <n v="106.35383"/>
    <n v="10.400449999999999"/>
    <s v="Cho Gao"/>
    <s v="Month 2"/>
    <s v="Swap_L18"/>
    <s v="Outdoor"/>
    <s v="Swap_Month 2"/>
    <x v="3"/>
    <x v="22"/>
    <m/>
    <e v="#N/A"/>
    <s v="Macro"/>
    <m/>
    <n v="1"/>
  </r>
  <r>
    <s v="Tiền Giang"/>
    <s v="TGCG48"/>
    <s v="TGCG48"/>
    <s v="Swap"/>
    <s v="Dual-band"/>
    <n v="3"/>
    <s v="New"/>
    <s v="PS mới 5G C"/>
    <n v="106.46720999999999"/>
    <n v="10.353730000000001"/>
    <s v="Cho Gao"/>
    <s v="Month 2"/>
    <s v="Swap_L18 + L21 + NR 2.6 32T"/>
    <s v="Outdoor"/>
    <s v="Swap_Month 2"/>
    <x v="3"/>
    <x v="21"/>
    <m/>
    <e v="#N/A"/>
    <s v="Macro"/>
    <m/>
    <n v="1"/>
  </r>
  <r>
    <s v="Tiền Giang"/>
    <s v="TGCG14"/>
    <s v="TGCG49"/>
    <s v="Swap"/>
    <s v="Single-Band"/>
    <n v="3"/>
    <s v="New"/>
    <s v="PS mới 5G C"/>
    <n v="106.49108"/>
    <n v="10.34728"/>
    <s v="Cho Gao"/>
    <s v="Month 2"/>
    <s v="Swap_L18 + NR 2.6 32T"/>
    <s v="Outdoor"/>
    <s v="Swap_Month 2"/>
    <x v="3"/>
    <x v="21"/>
    <m/>
    <e v="#N/A"/>
    <s v="Macro"/>
    <s v="Master"/>
    <n v="1"/>
  </r>
  <r>
    <s v="Tiền Giang"/>
    <s v="TGCG33"/>
    <s v="TGCG50"/>
    <s v="Swap"/>
    <s v="Single-Band"/>
    <n v="3"/>
    <m/>
    <m/>
    <n v="106.5186637"/>
    <n v="10.3442205"/>
    <s v="Cho Gao"/>
    <s v="Month 2"/>
    <s v="Swap_L18"/>
    <s v="Outdoor"/>
    <s v="Swap_Month 2"/>
    <x v="3"/>
    <x v="21"/>
    <m/>
    <e v="#N/A"/>
    <s v="Macro"/>
    <s v="Master"/>
    <n v="1"/>
  </r>
  <r>
    <s v="Tiền Giang"/>
    <s v="TGCG51"/>
    <s v="TGCG51"/>
    <s v="Swap"/>
    <s v="Single-Band"/>
    <n v="3"/>
    <m/>
    <m/>
    <n v="106.41088999999999"/>
    <n v="10.38401"/>
    <s v="Cho Gao"/>
    <s v="Month 2"/>
    <s v="Swap_L18"/>
    <s v="Outdoor"/>
    <s v="Swap_Month 2"/>
    <x v="3"/>
    <x v="23"/>
    <m/>
    <e v="#N/A"/>
    <s v="Macro"/>
    <m/>
    <n v="1"/>
  </r>
  <r>
    <s v="Tiền Giang"/>
    <s v="TGCG34"/>
    <s v="TGCG52"/>
    <s v="Swap"/>
    <s v="Single-Band"/>
    <n v="3"/>
    <m/>
    <m/>
    <n v="106.4345"/>
    <n v="10.407539999999999"/>
    <s v="Cho Gao"/>
    <s v="Month 2"/>
    <s v="Swap_L18"/>
    <s v="Outdoor"/>
    <s v="Swap_Month 2"/>
    <x v="3"/>
    <x v="23"/>
    <m/>
    <s v="OK"/>
    <s v="CRAN"/>
    <s v="Sub"/>
    <n v="4"/>
  </r>
  <r>
    <s v="Tiền Giang"/>
    <s v="TGCG52"/>
    <s v="TGCG52"/>
    <s v="Swap"/>
    <s v="Single-Band"/>
    <n v="3"/>
    <m/>
    <m/>
    <n v="106.44213000000001"/>
    <n v="10.3919"/>
    <s v="Cho Gao"/>
    <s v="Month 2"/>
    <s v="Swap_L18"/>
    <s v="Outdoor"/>
    <s v="Swap_Month 2"/>
    <x v="3"/>
    <x v="23"/>
    <m/>
    <e v="#N/A"/>
    <s v="Macro"/>
    <s v="Master"/>
    <n v="4"/>
  </r>
  <r>
    <s v="Tiền Giang"/>
    <s v="TGCG57"/>
    <s v="TGCG52"/>
    <s v="Swap"/>
    <s v="Single-Band"/>
    <n v="3"/>
    <m/>
    <m/>
    <n v="106.46892"/>
    <n v="10.39371"/>
    <s v="Cho Gao"/>
    <s v="Month 2"/>
    <s v="Swap_L18"/>
    <s v="Outdoor"/>
    <s v="Swap_Month 2"/>
    <x v="3"/>
    <x v="23"/>
    <m/>
    <s v="OK"/>
    <s v="CRAN"/>
    <s v="Sub"/>
    <n v="4"/>
  </r>
  <r>
    <s v="Tiền Giang"/>
    <s v="TGCG63"/>
    <s v="TGCG52"/>
    <s v="Swap"/>
    <s v="Single-Band"/>
    <n v="3"/>
    <m/>
    <m/>
    <n v="106.41509000000001"/>
    <n v="10.40212"/>
    <s v="Cho Gao"/>
    <s v="Month 2"/>
    <s v="Swap_L18"/>
    <s v="Outdoor"/>
    <s v="Swap_Month 2"/>
    <x v="3"/>
    <x v="22"/>
    <m/>
    <e v="#N/A"/>
    <s v="CRAN"/>
    <s v="Sub"/>
    <n v="4"/>
  </r>
  <r>
    <s v="Tiền Giang"/>
    <s v="TGCG54"/>
    <s v="TGCG54"/>
    <s v="Swap"/>
    <s v="Dual-band"/>
    <n v="3"/>
    <s v="New"/>
    <s v="PS mới 5G C"/>
    <n v="106.41114"/>
    <n v="10.34914"/>
    <s v="Cho Gao"/>
    <s v="Month 2"/>
    <s v="Swap_L18 + L21 + NR 2.6 32T"/>
    <s v="Outdoor"/>
    <s v="Swap_Month 2"/>
    <x v="3"/>
    <x v="21"/>
    <m/>
    <e v="#N/A"/>
    <s v="Macro"/>
    <m/>
    <n v="1"/>
  </r>
  <r>
    <s v="Tiền Giang"/>
    <s v="TGCG56"/>
    <s v="TGCG56"/>
    <s v="Swap"/>
    <s v="Single-Band"/>
    <n v="3"/>
    <m/>
    <m/>
    <n v="106.4436748"/>
    <n v="10.379390600000001"/>
    <s v="Cho Gao"/>
    <s v="Month 2"/>
    <s v="Swap_L18"/>
    <s v="Outdoor"/>
    <s v="Swap_Month 2"/>
    <x v="3"/>
    <x v="23"/>
    <m/>
    <e v="#N/A"/>
    <s v="Macro"/>
    <m/>
    <n v="1"/>
  </r>
  <r>
    <s v="Tiền Giang"/>
    <s v="TGCG59"/>
    <s v="TGCG59"/>
    <s v="Swap"/>
    <s v="Single-Band"/>
    <n v="3"/>
    <m/>
    <m/>
    <n v="106.49341389999999"/>
    <n v="10.3137553"/>
    <s v="Cho Gao"/>
    <s v="Month 2"/>
    <s v="Swap_L18"/>
    <s v="Outdoor"/>
    <s v="Swap_Month 2"/>
    <x v="3"/>
    <x v="21"/>
    <m/>
    <e v="#N/A"/>
    <s v="Macro"/>
    <m/>
    <n v="1"/>
  </r>
  <r>
    <s v="Tiền Giang"/>
    <s v="TGCG60"/>
    <s v="TGCG60"/>
    <s v="Swap"/>
    <s v="Single-Band"/>
    <n v="3"/>
    <m/>
    <m/>
    <n v="106.50283"/>
    <n v="10.406677999999999"/>
    <s v="Cho Gao"/>
    <s v="Month 2"/>
    <s v="Swap_L18"/>
    <s v="Outdoor"/>
    <s v="Swap_Month 2"/>
    <x v="3"/>
    <x v="23"/>
    <m/>
    <e v="#N/A"/>
    <s v="Macro"/>
    <m/>
    <n v="1"/>
  </r>
  <r>
    <s v="Tiền Giang"/>
    <s v="TGCG64"/>
    <s v="TGCG64"/>
    <s v="Swap"/>
    <s v="Single-Band"/>
    <n v="3"/>
    <m/>
    <m/>
    <n v="106.52760000000001"/>
    <n v="10.3703"/>
    <s v="Cho Gao"/>
    <s v="Month 2"/>
    <s v="Swap_L18"/>
    <s v="Outdoor"/>
    <s v="Swap_Month 2"/>
    <x v="3"/>
    <x v="23"/>
    <m/>
    <e v="#N/A"/>
    <s v="Macro"/>
    <m/>
    <n v="1"/>
  </r>
  <r>
    <s v="Tiền Giang"/>
    <s v="TGCL03"/>
    <s v="TGCL03"/>
    <s v="Swap"/>
    <s v="Dual-band"/>
    <n v="4"/>
    <s v="New"/>
    <s v="PS mới 5G C"/>
    <n v="106.0786457"/>
    <n v="10.4143089"/>
    <s v="Cai Lay"/>
    <n v="0"/>
    <s v="Swap_L18 + L21 + NR 2.6 32T"/>
    <s v="Outdoor"/>
    <s v="Swap_0"/>
    <x v="4"/>
    <x v="25"/>
    <m/>
    <e v="#N/A"/>
    <s v="Macro"/>
    <s v="Master"/>
    <n v="3"/>
  </r>
  <r>
    <s v="Tiền Giang"/>
    <s v="TGCL69"/>
    <s v="TGCL03"/>
    <s v="Swap"/>
    <s v="Dual-band"/>
    <n v="4"/>
    <s v="New"/>
    <s v="PS mới 5G C"/>
    <n v="106.0798301"/>
    <n v="10.4027142"/>
    <s v="Cai Lay"/>
    <n v="0"/>
    <s v="Swap_L18 + L21 + NR 2.6 32T"/>
    <s v="Outdoor"/>
    <s v="Swap_0"/>
    <x v="4"/>
    <x v="25"/>
    <m/>
    <s v="OK"/>
    <s v="CRAN"/>
    <s v="Sub"/>
    <n v="3"/>
  </r>
  <r>
    <s v="Tiền Giang"/>
    <s v="TGCL81"/>
    <s v="TGCL03"/>
    <s v="Swap"/>
    <s v="Single-Band"/>
    <n v="3"/>
    <s v="New"/>
    <s v="PS mới 5G C"/>
    <n v="106.08287"/>
    <n v="10.422409999999999"/>
    <s v="Cai Lay"/>
    <n v="0"/>
    <s v="Swap_L18 + NR 2.6 32T"/>
    <s v="Outdoor"/>
    <s v="Swap_0"/>
    <x v="4"/>
    <x v="25"/>
    <m/>
    <s v="OK"/>
    <s v="CRAN"/>
    <s v="Sub"/>
    <n v="3"/>
  </r>
  <r>
    <s v="Tiền Giang"/>
    <s v="TGCL04"/>
    <s v="TGCL04"/>
    <s v="Swap"/>
    <s v="Dual-band"/>
    <n v="4"/>
    <s v="New"/>
    <s v="PS mới 5G C"/>
    <n v="106.0503622"/>
    <n v="10.404416599999999"/>
    <s v="Cai Lay"/>
    <n v="0"/>
    <s v="Swap_L18 + L21 + NR 2.6 32T"/>
    <s v="Outdoor"/>
    <s v="Swap_0"/>
    <x v="4"/>
    <x v="25"/>
    <m/>
    <e v="#N/A"/>
    <s v="Macro"/>
    <s v="Master"/>
    <n v="2"/>
  </r>
  <r>
    <s v="Tiền Giang"/>
    <s v="TGCL79"/>
    <s v="TGCL04"/>
    <s v="Swap"/>
    <s v="Single-Band"/>
    <n v="3"/>
    <s v="New"/>
    <s v="PS mới 5G C"/>
    <n v="106.03738"/>
    <n v="10.413653999999999"/>
    <s v="Cai Lay"/>
    <n v="0"/>
    <s v="Swap_L18 + NR 2.6 32T"/>
    <s v="Outdoor"/>
    <s v="Swap_0"/>
    <x v="4"/>
    <x v="25"/>
    <m/>
    <s v="OK"/>
    <s v="CRAN"/>
    <s v="Sub"/>
    <n v="2"/>
  </r>
  <r>
    <s v="Tiền Giang"/>
    <s v="TGCL05"/>
    <s v="TGCL05"/>
    <s v="Swap"/>
    <s v="Single-Band"/>
    <n v="3"/>
    <m/>
    <m/>
    <n v="106.0818094"/>
    <n v="10.3735754"/>
    <s v="Cai Lay"/>
    <n v="0"/>
    <s v="Swap_L18"/>
    <s v="Outdoor"/>
    <s v="Swap_0"/>
    <x v="4"/>
    <x v="26"/>
    <m/>
    <e v="#N/A"/>
    <s v="Macro"/>
    <s v="Master"/>
    <n v="2"/>
  </r>
  <r>
    <s v="Tiền Giang"/>
    <s v="TGCY40"/>
    <s v="TGCL05"/>
    <s v="Swap"/>
    <s v="Single-Band"/>
    <n v="3"/>
    <m/>
    <m/>
    <n v="106.10083"/>
    <n v="10.374320000000001"/>
    <s v="TX Cai Lay"/>
    <n v="0"/>
    <s v="Swap_L18"/>
    <s v="Outdoor"/>
    <s v="Swap_0"/>
    <x v="5"/>
    <x v="26"/>
    <m/>
    <e v="#N/A"/>
    <s v="CRAN"/>
    <s v="Sub"/>
    <n v="2"/>
  </r>
  <r>
    <s v="Tiền Giang"/>
    <s v="TGCL06"/>
    <s v="TGCL06"/>
    <s v="Swap"/>
    <s v="Single-Band"/>
    <n v="3"/>
    <m/>
    <m/>
    <n v="106.1381652"/>
    <n v="10.3488238"/>
    <s v="Cai Lay"/>
    <n v="0"/>
    <s v="Swap_L18"/>
    <s v="Outdoor"/>
    <s v="Swap_0"/>
    <x v="4"/>
    <x v="27"/>
    <m/>
    <e v="#N/A"/>
    <s v="Macro"/>
    <s v="Master"/>
    <n v="5"/>
  </r>
  <r>
    <s v="Tiền Giang"/>
    <s v="TGCL29"/>
    <s v="TGCL06"/>
    <s v="Swap"/>
    <s v="Single-Band"/>
    <n v="3"/>
    <s v="New"/>
    <s v="PS mới 5G C"/>
    <n v="106.1547092"/>
    <n v="10.354159299999999"/>
    <s v="Cai Lay"/>
    <n v="0"/>
    <s v="Swap_L18 + NR 2.6 32T"/>
    <s v="Outdoor"/>
    <s v="Swap_0"/>
    <x v="4"/>
    <x v="27"/>
    <m/>
    <e v="#N/A"/>
    <s v="CRAN"/>
    <s v="Sub"/>
    <n v="5"/>
  </r>
  <r>
    <s v="Tiền Giang"/>
    <s v="TGCL53"/>
    <s v="TGCL06"/>
    <s v="Swap"/>
    <s v="Single-Band"/>
    <n v="3"/>
    <m/>
    <m/>
    <n v="106.15494889999999"/>
    <n v="10.334053900000001"/>
    <s v="Cai Lay"/>
    <n v="0"/>
    <s v="Swap_L18"/>
    <s v="Outdoor"/>
    <s v="Swap_0"/>
    <x v="4"/>
    <x v="27"/>
    <m/>
    <e v="#N/A"/>
    <s v="CRAN"/>
    <s v="Sub"/>
    <n v="5"/>
  </r>
  <r>
    <s v="Tiền Giang"/>
    <s v="TGCL62"/>
    <s v="TGCL06"/>
    <s v="Swap"/>
    <s v="Single-Band"/>
    <n v="3"/>
    <s v="New"/>
    <s v="PS mới 5G C"/>
    <n v="106.122818"/>
    <n v="10.342208400000001"/>
    <s v="Cai Lay"/>
    <n v="0"/>
    <s v="Swap_L18 + NR 2.6 32T"/>
    <s v="Outdoor"/>
    <s v="Swap_0"/>
    <x v="4"/>
    <x v="27"/>
    <m/>
    <e v="#N/A"/>
    <s v="CRAN"/>
    <s v="Sub"/>
    <n v="5"/>
  </r>
  <r>
    <s v="Tiền Giang"/>
    <s v="TGCY41"/>
    <s v="TGCL06"/>
    <s v="Swap"/>
    <s v="Single-Band"/>
    <n v="3"/>
    <m/>
    <m/>
    <n v="106.14127999999999"/>
    <n v="10.3749"/>
    <s v="TX Cai Lay"/>
    <n v="0"/>
    <s v="Swap_L18"/>
    <s v="Outdoor"/>
    <s v="Swap_0"/>
    <x v="5"/>
    <x v="28"/>
    <m/>
    <s v="OK"/>
    <s v="CRAN"/>
    <s v="Sub"/>
    <n v="5"/>
  </r>
  <r>
    <s v="Tiền Giang"/>
    <s v="TGCL09"/>
    <s v="TGCL09"/>
    <s v="Swap"/>
    <s v="Single-Band"/>
    <n v="3"/>
    <m/>
    <m/>
    <n v="106.0051004"/>
    <n v="10.4753311"/>
    <s v="Cai Lay"/>
    <n v="0"/>
    <s v="Swap_L18"/>
    <s v="Outdoor"/>
    <s v="Swap_0"/>
    <x v="4"/>
    <x v="25"/>
    <m/>
    <e v="#N/A"/>
    <s v="Macro"/>
    <m/>
    <n v="1"/>
  </r>
  <r>
    <s v="Tiền Giang"/>
    <s v="TGCL10"/>
    <s v="TGCL10"/>
    <s v="Swap"/>
    <s v="Single-Band"/>
    <n v="3"/>
    <s v="New"/>
    <s v="PS mới 5G C"/>
    <n v="106.0504419"/>
    <n v="10.444001099999999"/>
    <s v="Cai Lay"/>
    <n v="0"/>
    <s v="Swap_L18 + NR 2.6 32T"/>
    <s v="Outdoor"/>
    <s v="Swap_0"/>
    <x v="4"/>
    <x v="25"/>
    <m/>
    <e v="#N/A"/>
    <s v="Macro"/>
    <m/>
    <n v="1"/>
  </r>
  <r>
    <s v="Tiền Giang"/>
    <s v="TGCL11"/>
    <s v="TGCL11"/>
    <s v="Swap"/>
    <s v="Single-Band"/>
    <n v="3"/>
    <m/>
    <m/>
    <n v="106.116607"/>
    <n v="10.302769400000001"/>
    <s v="Cai Lay"/>
    <n v="0"/>
    <s v="Swap_L18"/>
    <s v="Outdoor"/>
    <s v="Swap_0"/>
    <x v="4"/>
    <x v="27"/>
    <m/>
    <e v="#N/A"/>
    <s v="Macro"/>
    <s v="Master"/>
    <n v="2"/>
  </r>
  <r>
    <s v="Tiền Giang"/>
    <s v="TGCL43"/>
    <s v="TGCL11"/>
    <s v="Swap"/>
    <s v="Single-Band"/>
    <n v="3"/>
    <m/>
    <m/>
    <n v="106.1406995"/>
    <n v="10.292770300000001"/>
    <s v="Cai Lay"/>
    <n v="0"/>
    <s v="Swap_L18"/>
    <s v="Outdoor"/>
    <s v="Swap_0"/>
    <x v="4"/>
    <x v="27"/>
    <m/>
    <e v="#N/A"/>
    <s v="CRAN"/>
    <s v="Sub"/>
    <n v="2"/>
  </r>
  <r>
    <s v="Tiền Giang"/>
    <s v="TGCL14"/>
    <s v="TGCL14"/>
    <s v="Swap"/>
    <s v="Dual-band"/>
    <n v="4"/>
    <s v="Swap"/>
    <s v="Swap (PS mới 5G A)"/>
    <n v="106.04231299999999"/>
    <n v="10.373279399999999"/>
    <s v="Cai Lay"/>
    <n v="0"/>
    <s v="Swap_L18 + L21 + NR 2.6 64T + NR 3.8"/>
    <s v="Outdoor"/>
    <s v="Swap_0"/>
    <x v="4"/>
    <x v="26"/>
    <m/>
    <e v="#N/A"/>
    <s v="Macro"/>
    <m/>
    <n v="1"/>
  </r>
  <r>
    <s v="Tiền Giang"/>
    <s v="TGCL15"/>
    <s v="TGCL15"/>
    <s v="Swap"/>
    <s v="Dual-band"/>
    <n v="3"/>
    <m/>
    <m/>
    <n v="106.15770999999999"/>
    <n v="10.3103"/>
    <s v="Cai Lay"/>
    <n v="0"/>
    <s v="Swap_L18 + L21"/>
    <s v="Outdoor"/>
    <s v="Swap_0"/>
    <x v="4"/>
    <x v="27"/>
    <m/>
    <e v="#N/A"/>
    <s v="Macro"/>
    <s v="Master"/>
    <n v="2"/>
  </r>
  <r>
    <s v="Tiền Giang"/>
    <s v="TGCL74"/>
    <s v="TGCL15"/>
    <s v="Swap"/>
    <s v="Single-Band"/>
    <n v="3"/>
    <m/>
    <m/>
    <n v="106.1681882"/>
    <n v="10.329634"/>
    <s v="Cai Lay"/>
    <n v="0"/>
    <s v="Swap_L18"/>
    <s v="Outdoor"/>
    <s v="Swap_0"/>
    <x v="4"/>
    <x v="27"/>
    <m/>
    <e v="#N/A"/>
    <s v="CRAN"/>
    <s v="Sub"/>
    <n v="2"/>
  </r>
  <r>
    <s v="Tiền Giang"/>
    <s v="TGCL16"/>
    <s v="TGCL16"/>
    <s v="Swap"/>
    <s v="Single-Band"/>
    <n v="3"/>
    <m/>
    <m/>
    <n v="106.04103000000001"/>
    <n v="10.50901"/>
    <s v="Cai Lay"/>
    <n v="0"/>
    <s v="Swap_L18"/>
    <s v="Outdoor"/>
    <s v="Swap_0"/>
    <x v="4"/>
    <x v="25"/>
    <m/>
    <e v="#N/A"/>
    <s v="Macro"/>
    <m/>
    <n v="1"/>
  </r>
  <r>
    <s v="Tiền Giang"/>
    <s v="TGCL17"/>
    <s v="TGCL17"/>
    <s v="Swap"/>
    <s v="Dual-band"/>
    <n v="4"/>
    <m/>
    <m/>
    <n v="106.0568311"/>
    <n v="10.3711254"/>
    <s v="Cai Lay"/>
    <n v="0"/>
    <s v="Swap_L18 + L21"/>
    <s v="Outdoor"/>
    <s v="Swap_0"/>
    <x v="4"/>
    <x v="26"/>
    <m/>
    <e v="#N/A"/>
    <s v="Macro"/>
    <m/>
    <n v="1"/>
  </r>
  <r>
    <s v="Tiền Giang"/>
    <s v="TGCL20"/>
    <s v="TGCL20"/>
    <s v="Swap"/>
    <s v="Single-Band"/>
    <n v="3"/>
    <m/>
    <m/>
    <n v="106.08636730000001"/>
    <n v="10.353046600000001"/>
    <s v="Cai Lay"/>
    <n v="0"/>
    <s v="Swap_L18"/>
    <s v="Outdoor"/>
    <s v="Swap_0"/>
    <x v="4"/>
    <x v="26"/>
    <m/>
    <e v="#N/A"/>
    <s v="Macro"/>
    <s v="Master"/>
    <n v="3"/>
  </r>
  <r>
    <s v="Tiền Giang"/>
    <s v="TGCL80"/>
    <s v="TGCL20"/>
    <s v="Swap"/>
    <s v="Single-Band"/>
    <n v="3"/>
    <m/>
    <m/>
    <n v="106.10472"/>
    <n v="10.335800000000001"/>
    <s v="Cai Lay"/>
    <n v="0"/>
    <s v="Swap_L18"/>
    <s v="Outdoor"/>
    <s v="Swap_0"/>
    <x v="4"/>
    <x v="26"/>
    <m/>
    <s v="OK"/>
    <s v="CRAN"/>
    <s v="Sub"/>
    <n v="3"/>
  </r>
  <r>
    <s v="Tiền Giang"/>
    <s v="TGCY34"/>
    <s v="TGCL20"/>
    <s v="Swap"/>
    <s v="Single-Band"/>
    <n v="3"/>
    <m/>
    <m/>
    <n v="106.10416669999999"/>
    <n v="10.356373400000001"/>
    <s v="TX Cai Lay"/>
    <n v="0"/>
    <s v="Swap_L18"/>
    <s v="Outdoor"/>
    <s v="Swap_0"/>
    <x v="5"/>
    <x v="26"/>
    <m/>
    <e v="#N/A"/>
    <s v="CRAN"/>
    <s v="Sub"/>
    <n v="3"/>
  </r>
  <r>
    <s v="Tiền Giang"/>
    <s v="TGCL21"/>
    <s v="TGCL21"/>
    <s v="Swap"/>
    <s v="Dual-band"/>
    <n v="3"/>
    <s v="New"/>
    <s v="PS mới 5G C"/>
    <n v="106.18513369999999"/>
    <n v="10.361095000000001"/>
    <s v="Cai Lay"/>
    <n v="0"/>
    <s v="Swap_L18 + L21 + NR 2.6 32T"/>
    <s v="Outdoor"/>
    <s v="Swap_0"/>
    <x v="4"/>
    <x v="29"/>
    <m/>
    <e v="#N/A"/>
    <s v="Macro"/>
    <s v="Master"/>
    <n v="3"/>
  </r>
  <r>
    <s v="Tiền Giang"/>
    <s v="TGCT29"/>
    <s v="TGCL21"/>
    <s v="Swap"/>
    <s v="Single-Band"/>
    <n v="3"/>
    <m/>
    <m/>
    <n v="106.18644999999999"/>
    <n v="10.341519999999999"/>
    <s v="Chau Thanh"/>
    <n v="0"/>
    <s v="Swap_L18"/>
    <s v="Outdoor"/>
    <s v="Swap_0"/>
    <x v="6"/>
    <x v="29"/>
    <m/>
    <e v="#N/A"/>
    <s v="CRAN"/>
    <s v="Sub"/>
    <n v="3"/>
  </r>
  <r>
    <s v="Tiền Giang"/>
    <s v="TGCT63"/>
    <s v="TGCL21"/>
    <s v="Swap"/>
    <s v="Single-Band"/>
    <n v="3"/>
    <m/>
    <m/>
    <n v="106.208715"/>
    <n v="10.363906"/>
    <s v="Chau Thanh"/>
    <n v="0"/>
    <s v="Swap_L18"/>
    <s v="Outdoor"/>
    <s v="Swap_0"/>
    <x v="6"/>
    <x v="29"/>
    <m/>
    <s v="OK"/>
    <s v="CRAN"/>
    <s v="Sub"/>
    <n v="3"/>
  </r>
  <r>
    <s v="Tiền Giang"/>
    <s v="TGCL23"/>
    <s v="TGCL23"/>
    <s v="Swap"/>
    <s v="Single-Band"/>
    <n v="3"/>
    <m/>
    <m/>
    <n v="106.0778121"/>
    <n v="10.392661199999999"/>
    <s v="Cai Lay"/>
    <n v="0"/>
    <s v="Swap_L18"/>
    <s v="Outdoor"/>
    <s v="Swap_0"/>
    <x v="4"/>
    <x v="26"/>
    <m/>
    <e v="#N/A"/>
    <s v="Macro"/>
    <s v="Master"/>
    <n v="2"/>
  </r>
  <r>
    <s v="Tiền Giang"/>
    <s v="TGCY14"/>
    <s v="TGCL23"/>
    <s v="Swap"/>
    <s v="Single-Band"/>
    <n v="3"/>
    <s v="New"/>
    <s v="PS mới 5G C"/>
    <n v="106.0952984"/>
    <n v="10.3869568"/>
    <s v="TX Cai Lay"/>
    <n v="0"/>
    <s v="Swap_L18 + NR 2.6 32T"/>
    <s v="Outdoor"/>
    <s v="Swap_0"/>
    <x v="5"/>
    <x v="28"/>
    <m/>
    <e v="#N/A"/>
    <s v="CRAN"/>
    <s v="Sub"/>
    <n v="2"/>
  </r>
  <r>
    <s v="Tiền Giang"/>
    <s v="TGCB73"/>
    <s v="TGCL30"/>
    <s v="Swap"/>
    <s v="Single-Band"/>
    <n v="3"/>
    <m/>
    <m/>
    <n v="105.98444000000001"/>
    <n v="10.50752"/>
    <s v="Cai Be"/>
    <n v="0"/>
    <s v="Swap_L18"/>
    <s v="Outdoor"/>
    <s v="Swap_0"/>
    <x v="2"/>
    <x v="25"/>
    <m/>
    <e v="#N/A"/>
    <s v="CRAN"/>
    <s v="Sub"/>
    <n v="2"/>
  </r>
  <r>
    <s v="Tiền Giang"/>
    <s v="TGCL30"/>
    <s v="TGCL30"/>
    <s v="Swap"/>
    <s v="Single-Band"/>
    <n v="3"/>
    <m/>
    <m/>
    <n v="106.00552999999999"/>
    <n v="10.509790000000001"/>
    <s v="Cai Lay"/>
    <n v="0"/>
    <s v="Swap_L18 + NR 7 + L9"/>
    <s v="Outdoor"/>
    <s v="Swap_0"/>
    <x v="4"/>
    <x v="25"/>
    <m/>
    <e v="#N/A"/>
    <s v="Macro"/>
    <s v="Master"/>
    <n v="2"/>
  </r>
  <r>
    <s v="Tiền Giang"/>
    <s v="TGCL33"/>
    <s v="TGCL33"/>
    <s v="Swap"/>
    <s v="Dual-band"/>
    <n v="3"/>
    <s v="New"/>
    <s v="PS mới 5G C"/>
    <n v="106.0917931"/>
    <n v="10.322255800000001"/>
    <s v="Cai Lay"/>
    <n v="0"/>
    <s v="Swap_L18 + L21 + NR 2.6 32T"/>
    <s v="Outdoor"/>
    <s v="Swap_0"/>
    <x v="4"/>
    <x v="26"/>
    <m/>
    <e v="#N/A"/>
    <s v="Macro"/>
    <m/>
    <n v="1"/>
  </r>
  <r>
    <s v="Tiền Giang"/>
    <s v="TGCL34"/>
    <s v="TGCL34"/>
    <s v="Swap"/>
    <s v="Single-Band"/>
    <n v="3"/>
    <s v="New"/>
    <s v="PS mới 5G C"/>
    <n v="106.07538"/>
    <n v="10.445510000000001"/>
    <s v="Cai Lay"/>
    <n v="0"/>
    <s v="Swap_L18 + NR 2.6 32T"/>
    <s v="Outdoor"/>
    <s v="Swap_0"/>
    <x v="4"/>
    <x v="25"/>
    <m/>
    <e v="#N/A"/>
    <s v="Macro"/>
    <m/>
    <n v="1"/>
  </r>
  <r>
    <s v="Tiền Giang"/>
    <s v="TGCL41"/>
    <s v="TGCL41"/>
    <s v="Swap"/>
    <s v="Single-Band"/>
    <n v="3"/>
    <m/>
    <m/>
    <n v="106.07319"/>
    <n v="10.47452"/>
    <s v="Cai Lay"/>
    <n v="0"/>
    <s v="Swap_L18"/>
    <s v="Outdoor"/>
    <s v="Swap_0"/>
    <x v="4"/>
    <x v="25"/>
    <m/>
    <e v="#N/A"/>
    <s v="Macro"/>
    <s v="Master"/>
    <n v="2"/>
  </r>
  <r>
    <s v="Tiền Giang"/>
    <s v="TGCL70"/>
    <s v="TGCL41"/>
    <s v="Swap"/>
    <s v="Single-Band"/>
    <n v="3"/>
    <m/>
    <m/>
    <n v="106.06713000000001"/>
    <n v="10.497350000000001"/>
    <s v="Cai Lay"/>
    <n v="0"/>
    <s v="Swap_L18"/>
    <s v="Outdoor"/>
    <s v="Swap_0"/>
    <x v="4"/>
    <x v="25"/>
    <m/>
    <s v="OK"/>
    <s v="CRAN"/>
    <s v="Sub"/>
    <n v="2"/>
  </r>
  <r>
    <s v="Tiền Giang"/>
    <s v="TGCL42"/>
    <s v="TGCL42"/>
    <s v="Swap"/>
    <s v="Single-Band"/>
    <n v="3"/>
    <m/>
    <m/>
    <n v="106.02630000000001"/>
    <n v="10.458449999999999"/>
    <s v="Cai Lay"/>
    <n v="0"/>
    <s v="Swap_L18"/>
    <s v="Outdoor"/>
    <s v="Swap_0"/>
    <x v="4"/>
    <x v="25"/>
    <m/>
    <e v="#N/A"/>
    <s v="Macro"/>
    <m/>
    <n v="1"/>
  </r>
  <r>
    <s v="Tiền Giang"/>
    <s v="TGCL45"/>
    <s v="TGCL45"/>
    <s v="Swap"/>
    <s v="Single-Band"/>
    <n v="3"/>
    <m/>
    <m/>
    <n v="106.0312996"/>
    <n v="10.4277563"/>
    <s v="Cai Lay"/>
    <n v="0"/>
    <s v="Swap_L18"/>
    <s v="Outdoor"/>
    <s v="Swap_0"/>
    <x v="4"/>
    <x v="25"/>
    <m/>
    <e v="#N/A"/>
    <s v="Macro"/>
    <m/>
    <n v="1"/>
  </r>
  <r>
    <s v="Tiền Giang"/>
    <s v="TGCL46"/>
    <s v="TGCL46"/>
    <s v="Swap"/>
    <s v="Single-Band"/>
    <n v="3"/>
    <m/>
    <m/>
    <n v="106.08343000000001"/>
    <n v="10.522830000000001"/>
    <s v="Cai Lay"/>
    <n v="0"/>
    <s v="Swap_L18"/>
    <s v="Outdoor"/>
    <s v="Swap_0"/>
    <x v="4"/>
    <x v="25"/>
    <m/>
    <e v="#N/A"/>
    <s v="Macro"/>
    <s v="Master"/>
    <n v="2"/>
  </r>
  <r>
    <s v="Tiền Giang"/>
    <s v="TGTP22"/>
    <s v="TGCL46"/>
    <s v="Swap"/>
    <s v="Single-Band"/>
    <n v="3"/>
    <m/>
    <m/>
    <n v="106.10242100000001"/>
    <n v="10.522252"/>
    <s v="Tan Phuoc"/>
    <n v="0"/>
    <s v="Swap_L18 + NR 7 + L9"/>
    <s v="Outdoor"/>
    <s v="Swap_0"/>
    <x v="7"/>
    <x v="30"/>
    <m/>
    <e v="#N/A"/>
    <s v="CRAN"/>
    <s v="Sub"/>
    <n v="2"/>
  </r>
  <r>
    <s v="Tiền Giang"/>
    <s v="TGCL24"/>
    <s v="TGCL47"/>
    <s v="Swap"/>
    <s v="Dual-band"/>
    <n v="3"/>
    <s v="New"/>
    <s v="PS mới 5G C"/>
    <n v="106.0615016"/>
    <n v="10.3543246"/>
    <s v="Cai Lay"/>
    <n v="0"/>
    <s v="Swap_L18 + L21 + NR 2.6 32T"/>
    <s v="Outdoor"/>
    <s v="Swap_0"/>
    <x v="4"/>
    <x v="26"/>
    <m/>
    <e v="#N/A"/>
    <s v="CRAN"/>
    <s v="Sub"/>
    <n v="3"/>
  </r>
  <r>
    <s v="Tiền Giang"/>
    <s v="TGCL47"/>
    <s v="TGCL47"/>
    <s v="Swap"/>
    <s v="Dual-band"/>
    <n v="3"/>
    <s v="New"/>
    <s v="PS mới 5G C"/>
    <n v="106.059601"/>
    <n v="10.330411099999999"/>
    <s v="Cai Lay"/>
    <n v="0"/>
    <s v="Swap_L18 + L21 + NR 2.6 32T"/>
    <s v="Outdoor"/>
    <s v="Swap_0"/>
    <x v="4"/>
    <x v="26"/>
    <m/>
    <e v="#N/A"/>
    <s v="Macro"/>
    <s v="Master"/>
    <n v="3"/>
  </r>
  <r>
    <s v="Tiền Giang"/>
    <s v="TGCL68"/>
    <s v="TGCL47"/>
    <s v="Swap"/>
    <s v="Single-Band"/>
    <n v="3"/>
    <m/>
    <m/>
    <n v="106.07579990000001"/>
    <n v="10.3249119"/>
    <s v="Cai Lay"/>
    <n v="0"/>
    <s v="Swap_L18"/>
    <s v="Outdoor"/>
    <s v="Swap_0"/>
    <x v="4"/>
    <x v="26"/>
    <m/>
    <e v="#N/A"/>
    <s v="CRAN"/>
    <s v="Sub"/>
    <n v="3"/>
  </r>
  <r>
    <s v="Tiền Giang"/>
    <s v="TGCL49"/>
    <s v="TGCL49"/>
    <s v="Swap"/>
    <s v="Dual-band"/>
    <n v="3"/>
    <m/>
    <m/>
    <n v="106.12163510000001"/>
    <n v="10.319219"/>
    <s v="Cai Lay"/>
    <n v="0"/>
    <s v="Swap_L18 + L21"/>
    <s v="Outdoor"/>
    <s v="Swap_0"/>
    <x v="4"/>
    <x v="27"/>
    <m/>
    <e v="#N/A"/>
    <s v="Macro"/>
    <s v="Master"/>
    <n v="3"/>
  </r>
  <r>
    <s v="Tiền Giang"/>
    <s v="TGCL67"/>
    <s v="TGCL49"/>
    <s v="Swap"/>
    <s v="Dual-band"/>
    <n v="3"/>
    <s v="New"/>
    <s v="PS mới 5G C"/>
    <n v="106.1193406"/>
    <n v="10.3105054"/>
    <s v="Cai Lay"/>
    <n v="0"/>
    <s v="Swap_L18 + L21 + NR 2.6 32T"/>
    <s v="Outdoor"/>
    <s v="Swap_0"/>
    <x v="4"/>
    <x v="27"/>
    <m/>
    <e v="#N/A"/>
    <s v="CRAN"/>
    <s v="Sub"/>
    <n v="3"/>
  </r>
  <r>
    <s v="Tiền Giang"/>
    <s v="TGCL73"/>
    <s v="TGCL49"/>
    <s v="Swap"/>
    <s v="Single-Band"/>
    <n v="3"/>
    <m/>
    <m/>
    <n v="106.12553"/>
    <n v="10.33131"/>
    <s v="Cai Lay"/>
    <n v="0"/>
    <s v="Swap_L18"/>
    <s v="Outdoor"/>
    <s v="Swap_0"/>
    <x v="4"/>
    <x v="27"/>
    <m/>
    <e v="#N/A"/>
    <s v="CRAN"/>
    <s v="Sub"/>
    <n v="3"/>
  </r>
  <r>
    <s v="Tiền Giang"/>
    <s v="TGCL50"/>
    <s v="TGCL50"/>
    <s v="Swap"/>
    <s v="Dual-band"/>
    <n v="3"/>
    <s v="New"/>
    <s v="PS mới 5G C"/>
    <n v="106.09814"/>
    <n v="10.424200000000001"/>
    <s v="Cai Lay"/>
    <n v="0"/>
    <s v="Swap_L18 + L21 + NR 2.6 32T"/>
    <s v="Outdoor"/>
    <s v="Swap_0"/>
    <x v="4"/>
    <x v="25"/>
    <m/>
    <e v="#N/A"/>
    <s v="Macro"/>
    <m/>
    <n v="1"/>
  </r>
  <r>
    <s v="Tiền Giang"/>
    <s v="TGCL51"/>
    <s v="TGCL51"/>
    <s v="Swap"/>
    <s v="Dual-band"/>
    <n v="3"/>
    <s v="New"/>
    <s v="PS mới 5G C"/>
    <n v="106.1813471"/>
    <n v="10.3182279"/>
    <s v="Cai Lay"/>
    <n v="0"/>
    <s v="Swap_L18 + L21 + NR 2.6 32T"/>
    <s v="Outdoor"/>
    <s v="Swap_0"/>
    <x v="4"/>
    <x v="27"/>
    <m/>
    <e v="#N/A"/>
    <s v="Macro"/>
    <m/>
    <n v="1"/>
  </r>
  <r>
    <s v="Tiền Giang"/>
    <s v="TGCL52"/>
    <s v="TGCL52"/>
    <s v="Swap"/>
    <s v="Single-Band"/>
    <n v="3"/>
    <m/>
    <m/>
    <n v="106.03658"/>
    <n v="10.474539999999999"/>
    <s v="Cai Lay"/>
    <n v="0"/>
    <s v="Swap_L18"/>
    <s v="Outdoor"/>
    <s v="Swap_0"/>
    <x v="4"/>
    <x v="25"/>
    <m/>
    <e v="#N/A"/>
    <s v="Macro"/>
    <m/>
    <n v="1"/>
  </r>
  <r>
    <s v="Tiền Giang"/>
    <s v="TGCL54"/>
    <s v="TGCL54"/>
    <s v="Swap"/>
    <s v="Dual-band"/>
    <n v="4"/>
    <m/>
    <m/>
    <n v="106.05632230000001"/>
    <n v="10.390164"/>
    <s v="Cai Lay"/>
    <n v="0"/>
    <s v="Swap_L18 + L21"/>
    <s v="Outdoor"/>
    <s v="Swap_0"/>
    <x v="4"/>
    <x v="26"/>
    <m/>
    <e v="#N/A"/>
    <s v="Macro"/>
    <m/>
    <n v="1"/>
  </r>
  <r>
    <s v="Tiền Giang"/>
    <s v="TGCL58"/>
    <s v="TGCL58"/>
    <s v="Swap"/>
    <s v="Single-Band"/>
    <n v="3"/>
    <m/>
    <m/>
    <n v="106.088064"/>
    <n v="10.307101299999999"/>
    <s v="Cai Lay"/>
    <n v="0"/>
    <s v="Swap_L18"/>
    <s v="Outdoor"/>
    <s v="Swap_0"/>
    <x v="4"/>
    <x v="26"/>
    <m/>
    <e v="#N/A"/>
    <s v="Macro"/>
    <m/>
    <n v="1"/>
  </r>
  <r>
    <s v="Tiền Giang"/>
    <s v="TGCL59"/>
    <s v="TGCL59"/>
    <s v="Swap"/>
    <s v="Single-Band"/>
    <n v="3"/>
    <m/>
    <m/>
    <n v="106.0629677"/>
    <n v="10.302440499999999"/>
    <s v="Cai Lay"/>
    <n v="0"/>
    <s v="Swap_L18"/>
    <s v="Outdoor"/>
    <s v="Swap_0"/>
    <x v="4"/>
    <x v="26"/>
    <m/>
    <e v="#N/A"/>
    <s v="Macro"/>
    <m/>
    <n v="1"/>
  </r>
  <r>
    <s v="Tiền Giang"/>
    <s v="TGCL60"/>
    <s v="TGCL60"/>
    <s v="Swap"/>
    <s v="Dual-band"/>
    <n v="3"/>
    <s v="New"/>
    <s v="PS mới 5G C"/>
    <n v="106.04050770000001"/>
    <n v="10.317508800000001"/>
    <s v="Cai Lay"/>
    <n v="0"/>
    <s v="Swap_L18 + L21 + NR 2.6 32T"/>
    <s v="Outdoor"/>
    <s v="Swap_0"/>
    <x v="4"/>
    <x v="26"/>
    <m/>
    <e v="#N/A"/>
    <s v="Macro"/>
    <m/>
    <n v="1"/>
  </r>
  <r>
    <s v="Tiền Giang"/>
    <s v="TGCL61"/>
    <s v="TGCL61"/>
    <s v="Swap"/>
    <s v="Dual-band"/>
    <n v="3"/>
    <s v="New"/>
    <s v="PS mới 5G C"/>
    <n v="106.066604"/>
    <n v="10.4305009"/>
    <s v="Cai Lay"/>
    <n v="0"/>
    <s v="Swap_L18 + L21 + NR 2.6 32T"/>
    <s v="Outdoor"/>
    <s v="Swap_0"/>
    <x v="4"/>
    <x v="25"/>
    <m/>
    <e v="#N/A"/>
    <s v="Macro"/>
    <s v="Master"/>
    <n v="2"/>
  </r>
  <r>
    <s v="Tiền Giang"/>
    <s v="TGCLX0"/>
    <s v="TGCL61"/>
    <s v="Swap"/>
    <s v="Single-Band"/>
    <n v="3"/>
    <m/>
    <m/>
    <n v="106.05604270000001"/>
    <n v="10.4195002"/>
    <s v="Cai Lay"/>
    <n v="0"/>
    <s v="Swap_L18 + NR 7 + L9"/>
    <s v="Outdoor"/>
    <s v="Swap_0"/>
    <x v="4"/>
    <x v="25"/>
    <m/>
    <e v="#N/A"/>
    <s v="CRAN"/>
    <s v="Sub"/>
    <n v="2"/>
  </r>
  <r>
    <s v="Tiền Giang"/>
    <s v="TGCL63"/>
    <s v="TGCL63"/>
    <s v="Swap"/>
    <s v="Single-Band"/>
    <n v="3"/>
    <m/>
    <m/>
    <n v="106.08324"/>
    <n v="10.28884"/>
    <s v="Cai Lay"/>
    <n v="0"/>
    <s v="Swap_L18"/>
    <s v="Outdoor"/>
    <s v="Swap_0"/>
    <x v="4"/>
    <x v="26"/>
    <m/>
    <e v="#N/A"/>
    <s v="Macro"/>
    <m/>
    <n v="1"/>
  </r>
  <r>
    <s v="Tiền Giang"/>
    <s v="TGCBX2"/>
    <s v="TGCL64"/>
    <s v="Swap"/>
    <s v="Dual-band"/>
    <n v="3"/>
    <m/>
    <m/>
    <n v="106.02995"/>
    <n v="10.365790000000001"/>
    <s v="Cai Be"/>
    <n v="0"/>
    <s v="Swap_L18 + L21"/>
    <s v="Outdoor"/>
    <s v="Swap_0"/>
    <x v="2"/>
    <x v="26"/>
    <m/>
    <e v="#N/A"/>
    <s v="CRAN"/>
    <s v="Sub"/>
    <n v="3"/>
  </r>
  <r>
    <s v="Tiền Giang"/>
    <s v="TGCL64"/>
    <s v="TGCL64"/>
    <s v="Swap"/>
    <s v="Dual-band"/>
    <n v="4"/>
    <s v="New"/>
    <s v="PS mới 5G C"/>
    <n v="106.03728"/>
    <n v="10.358169999999999"/>
    <s v="Cai Lay"/>
    <n v="0"/>
    <s v="Swap_L18 + L21 + NR 2.6 32T"/>
    <s v="Outdoor"/>
    <s v="Swap_0"/>
    <x v="4"/>
    <x v="26"/>
    <m/>
    <e v="#N/A"/>
    <s v="Macro"/>
    <s v="Master"/>
    <n v="3"/>
  </r>
  <r>
    <s v="Tiền Giang"/>
    <s v="TGCL86"/>
    <s v="TGCL64"/>
    <s v="Swap"/>
    <s v="Dual-band"/>
    <n v="3"/>
    <m/>
    <m/>
    <n v="106.03791"/>
    <n v="10.351380000000001"/>
    <s v="Cai Lay"/>
    <n v="0"/>
    <s v="Swap_L18 + L21"/>
    <s v="Outdoor"/>
    <s v="Swap_0"/>
    <x v="4"/>
    <x v="26"/>
    <m/>
    <e v="#N/A"/>
    <s v="CRAN"/>
    <s v="Sub"/>
    <n v="3"/>
  </r>
  <r>
    <s v="Tiền Giang"/>
    <s v="TGCL65"/>
    <s v="TGCL65"/>
    <s v="Swap"/>
    <s v="Single-Band"/>
    <n v="3"/>
    <m/>
    <m/>
    <n v="106.146"/>
    <n v="10.30899"/>
    <s v="Cai Lay"/>
    <n v="0"/>
    <s v="Swap_L18 + NR 7 + L9"/>
    <s v="Outdoor"/>
    <s v="Swap_0"/>
    <x v="4"/>
    <x v="27"/>
    <m/>
    <e v="#N/A"/>
    <s v="Macro"/>
    <s v="Master"/>
    <n v="2"/>
  </r>
  <r>
    <s v="Tiền Giang"/>
    <s v="TGCL84"/>
    <s v="TGCL65"/>
    <s v="Swap"/>
    <s v="Single-Band"/>
    <n v="3"/>
    <m/>
    <m/>
    <n v="106.1416808"/>
    <n v="10.323672800000001"/>
    <s v="Cai Lay"/>
    <n v="0"/>
    <s v="Swap_L18"/>
    <s v="Outdoor"/>
    <s v="Swap_0"/>
    <x v="4"/>
    <x v="27"/>
    <m/>
    <e v="#N/A"/>
    <s v="CRAN"/>
    <s v="Sub"/>
    <n v="2"/>
  </r>
  <r>
    <s v="Tiền Giang"/>
    <s v="TGCL66"/>
    <s v="TGCL66"/>
    <s v="Swap"/>
    <s v="Dual-band"/>
    <n v="4"/>
    <s v="New"/>
    <s v="PS mới 5G C"/>
    <n v="106.04537000000001"/>
    <n v="10.3866721"/>
    <s v="Cai Lay"/>
    <n v="0"/>
    <s v="Swap_L18 + L21 + NR 2.6 32T"/>
    <s v="Outdoor"/>
    <s v="Swap_0"/>
    <x v="4"/>
    <x v="26"/>
    <m/>
    <e v="#N/A"/>
    <s v="Macro"/>
    <m/>
    <n v="1"/>
  </r>
  <r>
    <s v="Tiền Giang"/>
    <s v="TGCL78"/>
    <s v="TGCL78"/>
    <s v="Swap"/>
    <s v="Dual-band"/>
    <n v="4"/>
    <s v="Swap"/>
    <s v="Swap (PS mới 5G B)"/>
    <n v="106.06404449999999"/>
    <n v="10.4115147"/>
    <s v="Cai Lay"/>
    <n v="0"/>
    <s v="Swap_L18 + L21 + NR 2.6 64T + NR 3.8"/>
    <s v="Outdoor"/>
    <s v="Swap_0"/>
    <x v="4"/>
    <x v="25"/>
    <m/>
    <e v="#N/A"/>
    <s v="Macro"/>
    <m/>
    <n v="1"/>
  </r>
  <r>
    <s v="Tiền Giang"/>
    <s v="TGCL82"/>
    <s v="TGCL82"/>
    <s v="Swap"/>
    <s v="Single-Band"/>
    <n v="3"/>
    <m/>
    <m/>
    <n v="106.00133700000001"/>
    <n v="10.4951177"/>
    <s v="Cai Lay"/>
    <n v="0"/>
    <s v="Swap_L18"/>
    <s v="Outdoor"/>
    <s v="Swap_0"/>
    <x v="4"/>
    <x v="25"/>
    <m/>
    <e v="#N/A"/>
    <s v="Macro"/>
    <m/>
    <n v="1"/>
  </r>
  <r>
    <s v="Tiền Giang"/>
    <s v="TGCL83"/>
    <s v="TGCL83"/>
    <s v="Swap"/>
    <s v="Single-Band"/>
    <n v="3"/>
    <m/>
    <m/>
    <n v="106.02726149999999"/>
    <n v="10.4896838"/>
    <s v="Cai Lay"/>
    <n v="0"/>
    <s v="Swap_L18"/>
    <s v="Outdoor"/>
    <s v="Swap_0"/>
    <x v="4"/>
    <x v="25"/>
    <m/>
    <e v="#N/A"/>
    <s v="Macro"/>
    <m/>
    <n v="1"/>
  </r>
  <r>
    <s v="Tiền Giang"/>
    <s v="TGCL85"/>
    <s v="TGCL85"/>
    <s v="Swap"/>
    <s v="Single-Band"/>
    <n v="3"/>
    <m/>
    <m/>
    <n v="106.04452000000001"/>
    <n v="10.46142"/>
    <s v="Cai Lay"/>
    <n v="0"/>
    <s v="Swap_L18"/>
    <s v="Outdoor"/>
    <s v="Swap_0"/>
    <x v="4"/>
    <x v="25"/>
    <m/>
    <e v="#N/A"/>
    <s v="Macro"/>
    <m/>
    <n v="1"/>
  </r>
  <r>
    <s v="Tiền Giang"/>
    <s v="TGCL87"/>
    <s v="TGCL87"/>
    <s v="Swap"/>
    <s v="Single-Band"/>
    <n v="3"/>
    <m/>
    <m/>
    <n v="106.10227999999999"/>
    <n v="10.295076"/>
    <s v="Cai Lay"/>
    <n v="0"/>
    <s v="Swap_L18"/>
    <s v="Outdoor"/>
    <s v="Swap_0"/>
    <x v="4"/>
    <x v="26"/>
    <m/>
    <e v="#N/A"/>
    <s v="Macro"/>
    <m/>
    <n v="1"/>
  </r>
  <r>
    <s v="Tiền Giang"/>
    <s v="TGCL88"/>
    <s v="TGCL88"/>
    <s v="Swap"/>
    <s v="Single-Band"/>
    <n v="3"/>
    <m/>
    <m/>
    <n v="106.08147"/>
    <n v="10.339437999999999"/>
    <s v="Cai Lay"/>
    <n v="0"/>
    <s v="Swap_L18"/>
    <s v="Outdoor"/>
    <s v="Swap_0"/>
    <x v="4"/>
    <x v="26"/>
    <m/>
    <e v="#N/A"/>
    <s v="Macro"/>
    <m/>
    <n v="1"/>
  </r>
  <r>
    <s v="Tiền Giang"/>
    <s v="TGCL89"/>
    <s v="TGCL89"/>
    <s v="Swap"/>
    <s v="Single-Band"/>
    <n v="3"/>
    <m/>
    <m/>
    <n v="106.03937000000001"/>
    <n v="10.52838"/>
    <s v="Cai Lay"/>
    <n v="0"/>
    <s v="Swap_L18"/>
    <s v="Outdoor"/>
    <s v="Swap_0"/>
    <x v="4"/>
    <x v="25"/>
    <m/>
    <e v="#N/A"/>
    <s v="Macro"/>
    <m/>
    <n v="1"/>
  </r>
  <r>
    <s v="Tiền Giang"/>
    <s v="TGCT01"/>
    <s v="TGCT01"/>
    <s v="Swap"/>
    <s v="Single-Band"/>
    <n v="3"/>
    <m/>
    <m/>
    <n v="106.21747000000001"/>
    <n v="10.377319999999999"/>
    <s v="Chau Thanh"/>
    <n v="0"/>
    <s v="Swap_L18"/>
    <s v="Outdoor"/>
    <s v="Swap_0"/>
    <x v="6"/>
    <x v="29"/>
    <m/>
    <e v="#N/A"/>
    <s v="Macro"/>
    <m/>
    <n v="1"/>
  </r>
  <r>
    <s v="Tiền Giang"/>
    <s v="TGCT02"/>
    <s v="TGCT02"/>
    <s v="Swap"/>
    <s v="Single-Band"/>
    <n v="3"/>
    <s v="New"/>
    <s v="PS mới 5G C"/>
    <n v="106.24486"/>
    <n v="10.3264"/>
    <s v="Chau Thanh"/>
    <n v="0"/>
    <s v="Swap_L18 + NR 2.6 32T"/>
    <s v="Outdoor"/>
    <s v="Swap_0"/>
    <x v="6"/>
    <x v="29"/>
    <m/>
    <e v="#N/A"/>
    <s v="Macro"/>
    <m/>
    <n v="1"/>
  </r>
  <r>
    <s v="Tiền Giang"/>
    <s v="TGCT03"/>
    <s v="TGCT03"/>
    <s v="Swap"/>
    <s v="Dual-band"/>
    <n v="3"/>
    <s v="Swap"/>
    <s v="Swap (PS mới 5G A)"/>
    <n v="106.2552"/>
    <n v="10.40211"/>
    <s v="Chau Thanh"/>
    <n v="0"/>
    <s v="Swap_L18 + L21 + NR 2.6 64T + NR 3.8"/>
    <s v="Outdoor"/>
    <s v="Swap_0"/>
    <x v="6"/>
    <x v="31"/>
    <m/>
    <e v="#N/A"/>
    <s v="Macro"/>
    <s v="Master"/>
    <n v="2"/>
  </r>
  <r>
    <s v="Tiền Giang"/>
    <s v="TGCT74"/>
    <s v="TGCT03"/>
    <s v="Swap"/>
    <s v="Single-Band"/>
    <n v="3"/>
    <m/>
    <m/>
    <n v="106.24527"/>
    <n v="10.39099"/>
    <s v="Chau Thanh"/>
    <n v="0"/>
    <s v="Swap_L18"/>
    <s v="Outdoor"/>
    <s v="Swap_0"/>
    <x v="6"/>
    <x v="31"/>
    <m/>
    <e v="#N/A"/>
    <s v="CRAN"/>
    <s v="Sub"/>
    <n v="2"/>
  </r>
  <r>
    <s v="Tiền Giang"/>
    <s v="TGCT04"/>
    <s v="TGCT04"/>
    <s v="Swap"/>
    <s v="Single-Band"/>
    <n v="3"/>
    <m/>
    <m/>
    <n v="106.2745268"/>
    <n v="10.364713699999999"/>
    <s v="Chau Thanh"/>
    <n v="0"/>
    <s v="Swap_L18 + NR 7 + L9"/>
    <s v="Outdoor"/>
    <s v="Swap_0"/>
    <x v="6"/>
    <x v="29"/>
    <m/>
    <e v="#N/A"/>
    <s v="Macro"/>
    <s v="Master"/>
    <n v="3"/>
  </r>
  <r>
    <s v="Tiền Giang"/>
    <s v="TGCT44"/>
    <s v="TGCT04"/>
    <s v="Swap"/>
    <s v="Single-Band"/>
    <n v="3"/>
    <m/>
    <m/>
    <n v="106.28305"/>
    <n v="10.362159999999999"/>
    <s v="Chau Thanh"/>
    <n v="0"/>
    <s v="Swap_L18"/>
    <s v="Outdoor"/>
    <s v="Swap_0"/>
    <x v="6"/>
    <x v="29"/>
    <m/>
    <e v="#N/A"/>
    <s v="CRAN"/>
    <s v="Sub"/>
    <n v="3"/>
  </r>
  <r>
    <s v="Tiền Giang"/>
    <s v="TGCT60"/>
    <s v="TGCT04"/>
    <s v="Swap"/>
    <s v="Single-Band"/>
    <n v="3"/>
    <s v="New"/>
    <s v="PS mới 5G C"/>
    <n v="106.2966"/>
    <n v="10.3552"/>
    <s v="Chau Thanh"/>
    <n v="0"/>
    <s v="Swap_L18 + NR 2.6 32T"/>
    <s v="Outdoor"/>
    <s v="Swap_0"/>
    <x v="6"/>
    <x v="29"/>
    <m/>
    <e v="#N/A"/>
    <s v="CRAN"/>
    <s v="Sub"/>
    <n v="3"/>
  </r>
  <r>
    <s v="Tiền Giang"/>
    <s v="TGCT05"/>
    <s v="TGCT05"/>
    <s v="Swap"/>
    <s v="Dual-band"/>
    <n v="3"/>
    <s v="New"/>
    <s v="PS mới 5G C"/>
    <n v="106.21947"/>
    <n v="10.405200000000001"/>
    <s v="Chau Thanh"/>
    <n v="0"/>
    <s v="Swap_L18 + L21 + NR 2.6 32T"/>
    <s v="Outdoor"/>
    <s v="Swap_0"/>
    <x v="6"/>
    <x v="31"/>
    <m/>
    <e v="#N/A"/>
    <s v="Macro"/>
    <s v="Master"/>
    <n v="5"/>
  </r>
  <r>
    <s v="Tiền Giang"/>
    <s v="TGCT35"/>
    <s v="TGCT05"/>
    <s v="Swap"/>
    <s v="Dual-band"/>
    <n v="4"/>
    <s v="New"/>
    <s v="PS mới 5G C"/>
    <n v="106.21856270000001"/>
    <n v="10.421725199999999"/>
    <s v="Chau Thanh"/>
    <n v="0"/>
    <s v="Swap_L18 + L21 + NR 2.6 32T"/>
    <s v="Outdoor"/>
    <s v="Swap_0"/>
    <x v="6"/>
    <x v="31"/>
    <m/>
    <s v="OK"/>
    <s v="CRAN"/>
    <s v="Sub"/>
    <n v="5"/>
  </r>
  <r>
    <s v="Tiền Giang"/>
    <s v="TGCT37"/>
    <s v="TGCT05"/>
    <s v="Swap"/>
    <s v="Dual-band"/>
    <n v="3"/>
    <s v="New"/>
    <s v="PS mới 5G C"/>
    <n v="106.21082"/>
    <n v="10.40138"/>
    <s v="Chau Thanh"/>
    <n v="0"/>
    <s v="Swap_L18 + L21 + NR 2.6 32T"/>
    <s v="Outdoor"/>
    <s v="Swap_0"/>
    <x v="6"/>
    <x v="31"/>
    <m/>
    <e v="#N/A"/>
    <s v="CRAN"/>
    <s v="Sub"/>
    <n v="5"/>
  </r>
  <r>
    <s v="Tiền Giang"/>
    <s v="TGCT68"/>
    <s v="TGCT05"/>
    <s v="Swap"/>
    <s v="Single-Band"/>
    <n v="3"/>
    <m/>
    <m/>
    <n v="106.2124"/>
    <n v="10.389659999999999"/>
    <s v="Chau Thanh"/>
    <n v="0"/>
    <s v="Swap_L18"/>
    <s v="Outdoor"/>
    <s v="Swap_0"/>
    <x v="6"/>
    <x v="31"/>
    <m/>
    <e v="#N/A"/>
    <s v="CRAN"/>
    <s v="Sub"/>
    <n v="5"/>
  </r>
  <r>
    <s v="Tiền Giang"/>
    <s v="TGCT85"/>
    <s v="TGCT05"/>
    <s v="Swap"/>
    <s v="Single-Band"/>
    <n v="3"/>
    <s v="New"/>
    <s v="PS mới 5G C"/>
    <n v="106.23033"/>
    <n v="10.402072"/>
    <s v="Chau Thanh"/>
    <n v="0"/>
    <s v="Swap_L18 + NR 2.6 32T"/>
    <s v="Outdoor"/>
    <s v="Swap_0"/>
    <x v="6"/>
    <x v="31"/>
    <m/>
    <e v="#N/A"/>
    <s v="CRAN"/>
    <s v="Sub"/>
    <n v="5"/>
  </r>
  <r>
    <s v="Tiền Giang"/>
    <s v="TGCT06"/>
    <s v="TGCT06"/>
    <s v="Swap"/>
    <s v="Single-Band"/>
    <n v="3"/>
    <s v="New"/>
    <s v="PS mới 5G C"/>
    <n v="106.20639"/>
    <n v="10.32246"/>
    <s v="Chau Thanh"/>
    <n v="0"/>
    <s v="Swap_L18 + NR 2.6 32T"/>
    <s v="Outdoor"/>
    <s v="Swap_0"/>
    <x v="6"/>
    <x v="29"/>
    <m/>
    <e v="#N/A"/>
    <s v="Macro"/>
    <s v="Master"/>
    <n v="3"/>
  </r>
  <r>
    <s v="Tiền Giang"/>
    <s v="TGCT73"/>
    <s v="TGCT06"/>
    <s v="Swap"/>
    <s v="Single-Band"/>
    <n v="3"/>
    <m/>
    <m/>
    <n v="106.20440000000001"/>
    <n v="10.337719999999999"/>
    <s v="Chau Thanh"/>
    <n v="0"/>
    <s v="Swap_L18"/>
    <s v="Outdoor"/>
    <s v="Swap_0"/>
    <x v="6"/>
    <x v="29"/>
    <m/>
    <e v="#N/A"/>
    <s v="CRAN"/>
    <s v="Sub"/>
    <n v="3"/>
  </r>
  <r>
    <s v="Tiền Giang"/>
    <s v="TGCTX3"/>
    <s v="TGCT06"/>
    <s v="Swap"/>
    <s v="Single-Band"/>
    <n v="3"/>
    <m/>
    <m/>
    <n v="106.19"/>
    <n v="10.3285"/>
    <s v="Chau Thanh"/>
    <n v="0"/>
    <s v="Swap_L18"/>
    <s v="Outdoor"/>
    <s v="Swap_0"/>
    <x v="6"/>
    <x v="29"/>
    <m/>
    <e v="#N/A"/>
    <s v="CRAN"/>
    <s v="Sub"/>
    <n v="3"/>
  </r>
  <r>
    <s v="Tiền Giang"/>
    <s v="TGCT07"/>
    <s v="TGCT07"/>
    <s v="Swap"/>
    <s v="Dual-band"/>
    <n v="3"/>
    <s v="New"/>
    <s v="PS mới 5G C"/>
    <n v="106.29062999999999"/>
    <n v="10.39494"/>
    <s v="Chau Thanh"/>
    <n v="0"/>
    <s v="Swap_L18 + L21 + NR 2.6 32T"/>
    <s v="Outdoor"/>
    <s v="Swap_0"/>
    <x v="6"/>
    <x v="31"/>
    <m/>
    <e v="#N/A"/>
    <s v="Macro"/>
    <m/>
    <n v="1"/>
  </r>
  <r>
    <s v="Tiền Giang"/>
    <s v="TGCT08"/>
    <s v="TGCT08"/>
    <s v="Swap"/>
    <s v="Dual-band"/>
    <n v="4"/>
    <s v="New"/>
    <s v="PS mới 5G C"/>
    <n v="106.30540000000001"/>
    <n v="10.375730000000001"/>
    <s v="Chau Thanh"/>
    <n v="0"/>
    <s v="Swap_L18 + L21 + NR 2.6 32T"/>
    <s v="Outdoor"/>
    <s v="Swap_0"/>
    <x v="6"/>
    <x v="29"/>
    <m/>
    <e v="#N/A"/>
    <s v="Macro"/>
    <m/>
    <n v="1"/>
  </r>
  <r>
    <s v="Tiền Giang"/>
    <s v="TGCT09"/>
    <s v="TGCT09"/>
    <s v="Swap"/>
    <s v="Dual-band"/>
    <n v="4"/>
    <s v="New"/>
    <s v="PS mới 5G C"/>
    <n v="106.26869000000001"/>
    <n v="10.33291"/>
    <s v="Chau Thanh"/>
    <n v="0"/>
    <s v="Swap_L18 + L21 + NR 2.6 32T"/>
    <s v="Outdoor"/>
    <s v="Swap_0"/>
    <x v="6"/>
    <x v="29"/>
    <m/>
    <e v="#N/A"/>
    <s v="Macro"/>
    <m/>
    <n v="1"/>
  </r>
  <r>
    <s v="Tiền Giang"/>
    <s v="TGCT10"/>
    <s v="TGCT10"/>
    <s v="Swap"/>
    <s v="Dual-band"/>
    <n v="4"/>
    <s v="Swap"/>
    <s v="Swap (PS mới 5G A)"/>
    <n v="106.34319000000001"/>
    <n v="10.445880000000001"/>
    <s v="Chau Thanh"/>
    <n v="0"/>
    <s v="Swap_L18 + L21 + NR 2.6 64T + NR 3.8"/>
    <s v="Outdoor"/>
    <s v="Swap_0"/>
    <x v="6"/>
    <x v="32"/>
    <m/>
    <e v="#N/A"/>
    <s v="Macro"/>
    <m/>
    <n v="1"/>
  </r>
  <r>
    <s v="Tiền Giang"/>
    <s v="TGCT11"/>
    <s v="TGCT11"/>
    <s v="Swap"/>
    <s v="Dual-band"/>
    <n v="4"/>
    <s v="New"/>
    <s v="PS mới 5G C"/>
    <n v="106.36085"/>
    <n v="10.48171"/>
    <s v="Chau Thanh"/>
    <n v="0"/>
    <s v="Swap_L18 + L21 + NR 2.6 32T"/>
    <s v="Outdoor"/>
    <s v="Swap_0"/>
    <x v="6"/>
    <x v="33"/>
    <m/>
    <e v="#N/A"/>
    <s v="Macro"/>
    <s v="Master"/>
    <n v="3"/>
  </r>
  <r>
    <s v="Tiền Giang"/>
    <s v="TGCTX4"/>
    <s v="TGCT11"/>
    <s v="Swap"/>
    <s v="Single-Band"/>
    <n v="3"/>
    <s v="New"/>
    <s v="PS mới 5G C"/>
    <n v="106.36086"/>
    <n v="10.492559999999999"/>
    <s v="Chau Thanh"/>
    <n v="0"/>
    <s v="Swap_L18 + NR 2.6 32T"/>
    <s v="Outdoor"/>
    <s v="Swap_0"/>
    <x v="6"/>
    <x v="33"/>
    <m/>
    <e v="#N/A"/>
    <s v="CRAN"/>
    <s v="Sub"/>
    <n v="3"/>
  </r>
  <r>
    <s v="Tiền Giang"/>
    <s v="TGCTX5"/>
    <s v="TGCT11"/>
    <s v="Swap"/>
    <s v="Dual-band"/>
    <n v="3"/>
    <s v="New"/>
    <s v="PS mới 5G C"/>
    <n v="106.3575"/>
    <n v="10.482530000000001"/>
    <s v="Chau Thanh"/>
    <n v="0"/>
    <s v="Swap_L18 + L21 + NR 2.6 32T"/>
    <s v="Outdoor"/>
    <s v="Swap_0"/>
    <x v="6"/>
    <x v="33"/>
    <m/>
    <e v="#N/A"/>
    <s v="CRAN"/>
    <s v="Sub"/>
    <n v="3"/>
  </r>
  <r>
    <s v="Tiền Giang"/>
    <s v="TGCT12"/>
    <s v="TGCT12"/>
    <s v="Swap"/>
    <s v="Dual-band"/>
    <n v="3"/>
    <s v="New"/>
    <s v="PS mới 5G C"/>
    <n v="106.34631"/>
    <n v="10.49831"/>
    <s v="Chau Thanh"/>
    <n v="0"/>
    <s v="Swap_L18 + L21 + NR 2.6 32T"/>
    <s v="Outdoor"/>
    <s v="Swap_0"/>
    <x v="6"/>
    <x v="33"/>
    <m/>
    <e v="#N/A"/>
    <s v="Macro"/>
    <s v="Master"/>
    <n v="2"/>
  </r>
  <r>
    <s v="Tiền Giang"/>
    <s v="TGCT55"/>
    <s v="TGCT12"/>
    <s v="Swap"/>
    <s v="Dual-band"/>
    <n v="3"/>
    <s v="New"/>
    <s v="PS mới 5G C"/>
    <n v="106.34468"/>
    <n v="10.508190000000001"/>
    <s v="Chau Thanh"/>
    <n v="0"/>
    <s v="Swap_L18 + L21 + NR 2.6 32T"/>
    <s v="Outdoor"/>
    <s v="Swap_0"/>
    <x v="6"/>
    <x v="33"/>
    <m/>
    <e v="#N/A"/>
    <s v="CRAN"/>
    <s v="Sub"/>
    <n v="2"/>
  </r>
  <r>
    <s v="Tiền Giang"/>
    <s v="TGCT13"/>
    <s v="TGCT13"/>
    <s v="Swap"/>
    <s v="Dual-band"/>
    <n v="4"/>
    <s v="New"/>
    <s v="PS mới 5G C"/>
    <n v="106.3415"/>
    <n v="10.416700000000001"/>
    <s v="Chau Thanh"/>
    <n v="0"/>
    <s v="Swap_L18 + L21 + NR 2.6 32T"/>
    <s v="Outdoor"/>
    <s v="Swap_0"/>
    <x v="6"/>
    <x v="32"/>
    <m/>
    <e v="#N/A"/>
    <s v="Macro"/>
    <s v="Master"/>
    <n v="2"/>
  </r>
  <r>
    <s v="Tiền Giang"/>
    <s v="TGCT61"/>
    <s v="TGCT13"/>
    <s v="Swap"/>
    <s v="Dual-band"/>
    <n v="4"/>
    <s v="New"/>
    <s v="PS mới 5G C"/>
    <n v="106.33578"/>
    <n v="10.422079999999999"/>
    <s v="Chau Thanh"/>
    <n v="0"/>
    <s v="Swap_L18 + L21 + NR 2.6 32T"/>
    <s v="Outdoor"/>
    <s v="Swap_0"/>
    <x v="6"/>
    <x v="32"/>
    <m/>
    <e v="#N/A"/>
    <s v="CRAN"/>
    <s v="Sub"/>
    <n v="2"/>
  </r>
  <r>
    <s v="Tiền Giang"/>
    <s v="TGCT17"/>
    <s v="TGCT17"/>
    <s v="Swap"/>
    <s v="Dual-band"/>
    <n v="3"/>
    <s v="New"/>
    <s v="PS mới 5G C"/>
    <n v="106.31205"/>
    <n v="10.42357"/>
    <s v="Chau Thanh"/>
    <n v="0"/>
    <s v="Swap_L18 + L21 + NR 2.6 32T"/>
    <s v="Outdoor"/>
    <s v="Swap_0"/>
    <x v="6"/>
    <x v="32"/>
    <m/>
    <e v="#N/A"/>
    <s v="Macro"/>
    <s v="Master"/>
    <n v="2"/>
  </r>
  <r>
    <s v="Tiền Giang"/>
    <s v="TGCT22"/>
    <s v="TGCT17"/>
    <s v="Swap"/>
    <s v="Single-Band"/>
    <n v="3"/>
    <m/>
    <m/>
    <n v="106.27634"/>
    <n v="10.42559"/>
    <s v="Chau Thanh"/>
    <n v="0"/>
    <s v="Swap_L18"/>
    <s v="Outdoor"/>
    <s v="Swap_0"/>
    <x v="6"/>
    <x v="31"/>
    <m/>
    <s v="OK"/>
    <s v="CRAN"/>
    <s v="Sub"/>
    <n v="2"/>
  </r>
  <r>
    <s v="Tiền Giang"/>
    <s v="TGCT18"/>
    <s v="TGCT18"/>
    <s v="Swap"/>
    <s v="Dual-band"/>
    <n v="4"/>
    <s v="New"/>
    <s v="PS mới 5G C"/>
    <n v="106.30579"/>
    <n v="10.39241"/>
    <s v="Chau Thanh"/>
    <n v="0"/>
    <s v="Swap_L18 + L21 + NR 2.6 32T"/>
    <s v="Outdoor"/>
    <s v="Swap_0"/>
    <x v="6"/>
    <x v="32"/>
    <m/>
    <e v="#N/A"/>
    <s v="Macro"/>
    <m/>
    <n v="1"/>
  </r>
  <r>
    <s v="Tiền Giang"/>
    <s v="TGCT19"/>
    <s v="TGCT19"/>
    <s v="Swap"/>
    <s v="Dual-band"/>
    <n v="3"/>
    <s v="New"/>
    <s v="PS mới 5G C"/>
    <n v="106.35648999999999"/>
    <n v="10.46848"/>
    <s v="Chau Thanh"/>
    <n v="0"/>
    <s v="Swap_L18 + L21 + NR 2.6 32T"/>
    <s v="Outdoor"/>
    <s v="Swap_0"/>
    <x v="6"/>
    <x v="33"/>
    <m/>
    <e v="#N/A"/>
    <s v="Macro"/>
    <s v="Master"/>
    <n v="3"/>
  </r>
  <r>
    <s v="Tiền Giang"/>
    <s v="TGCT76"/>
    <s v="TGCT19"/>
    <s v="Swap"/>
    <s v="Single-Band"/>
    <n v="3"/>
    <m/>
    <m/>
    <n v="106.36747"/>
    <n v="10.46303"/>
    <s v="Chau Thanh"/>
    <n v="0"/>
    <s v="Swap_L18 + NR 7 + L9"/>
    <s v="Outdoor"/>
    <s v="Swap_0"/>
    <x v="6"/>
    <x v="33"/>
    <m/>
    <s v="OK"/>
    <s v="CRAN"/>
    <s v="Sub"/>
    <n v="3"/>
  </r>
  <r>
    <s v="Tiền Giang"/>
    <s v="TGCTX0"/>
    <s v="TGCT19"/>
    <s v="Swap"/>
    <s v="Dual-band"/>
    <n v="3"/>
    <s v="New"/>
    <s v="PS mới 5G C"/>
    <n v="106.35901200000001"/>
    <n v="10.47443"/>
    <s v="Chau Thanh"/>
    <n v="0"/>
    <s v="Swap_L18 + L21 + NR 2.6 32T"/>
    <s v="Outdoor"/>
    <s v="Swap_0"/>
    <x v="6"/>
    <x v="33"/>
    <m/>
    <e v="#N/A"/>
    <s v="CRAN"/>
    <s v="Sub"/>
    <n v="3"/>
  </r>
  <r>
    <s v="Tiền Giang"/>
    <s v="TGCT20"/>
    <s v="TGCT20"/>
    <s v="Swap"/>
    <s v="Single-Band"/>
    <n v="3"/>
    <m/>
    <m/>
    <n v="106.24536000000001"/>
    <n v="10.381740000000001"/>
    <s v="Chau Thanh"/>
    <n v="0"/>
    <s v="Swap_L18"/>
    <s v="Outdoor"/>
    <s v="Swap_0"/>
    <x v="6"/>
    <x v="29"/>
    <m/>
    <e v="#N/A"/>
    <s v="Macro"/>
    <m/>
    <n v="1"/>
  </r>
  <r>
    <s v="Tiền Giang"/>
    <s v="TGCT21"/>
    <s v="TGCT21"/>
    <s v="Swap"/>
    <s v="Dual-band"/>
    <n v="3"/>
    <s v="New"/>
    <s v="PS mới 5G C"/>
    <n v="106.37246"/>
    <n v="10.495799999999999"/>
    <s v="Chau Thanh"/>
    <n v="0"/>
    <s v="Swap_L18 + L21 + NR 2.6 32T"/>
    <s v="Outdoor"/>
    <s v="Swap_0"/>
    <x v="6"/>
    <x v="33"/>
    <m/>
    <e v="#N/A"/>
    <s v="Macro"/>
    <s v="Master"/>
    <n v="2"/>
  </r>
  <r>
    <s v="Tiền Giang"/>
    <s v="TGCT38"/>
    <s v="TGCT21"/>
    <s v="Swap"/>
    <s v="Dual-band"/>
    <n v="3"/>
    <s v="New"/>
    <s v="PS mới 5G C"/>
    <n v="106.35934"/>
    <n v="10.519590000000001"/>
    <s v="Chau Thanh"/>
    <n v="0"/>
    <s v="Swap_L18 + L21 + NR 2.6 32T"/>
    <s v="Outdoor"/>
    <s v="Swap_0"/>
    <x v="6"/>
    <x v="33"/>
    <m/>
    <s v="OK"/>
    <s v="CRAN"/>
    <s v="Sub"/>
    <n v="2"/>
  </r>
  <r>
    <s v="Tiền Giang"/>
    <s v="TGCT23"/>
    <s v="TGCT23"/>
    <s v="Swap"/>
    <s v="Dual-band"/>
    <n v="4"/>
    <s v="New"/>
    <s v="PS mới 5G C"/>
    <n v="106.32978"/>
    <n v="10.47709"/>
    <s v="Chau Thanh"/>
    <n v="0"/>
    <s v="Swap_L18 + L21 + NR 2.6 32T"/>
    <s v="Outdoor"/>
    <s v="Swap_0"/>
    <x v="6"/>
    <x v="33"/>
    <m/>
    <e v="#N/A"/>
    <s v="Macro"/>
    <s v="Master"/>
    <n v="2"/>
  </r>
  <r>
    <s v="Tiền Giang"/>
    <s v="TGCT83"/>
    <s v="TGCT23"/>
    <s v="Swap"/>
    <s v="Single-Band"/>
    <n v="3"/>
    <m/>
    <m/>
    <n v="106.3201"/>
    <n v="10.4857"/>
    <s v="Chau Thanh"/>
    <n v="0"/>
    <s v="Swap_L18"/>
    <s v="Outdoor"/>
    <s v="Swap_0"/>
    <x v="6"/>
    <x v="33"/>
    <m/>
    <e v="#N/A"/>
    <s v="CRAN"/>
    <s v="Sub"/>
    <n v="2"/>
  </r>
  <r>
    <s v="Tiền Giang"/>
    <s v="TGCT24"/>
    <s v="TGCT24"/>
    <s v="Swap"/>
    <s v="Dual-band"/>
    <n v="4"/>
    <s v="New"/>
    <s v="PS mới 5G C"/>
    <n v="106.24569459999999"/>
    <n v="10.4209519"/>
    <s v="Chau Thanh"/>
    <n v="0"/>
    <s v="Swap_L18 + L21 + NR 2.6 32T"/>
    <s v="Outdoor"/>
    <s v="Swap_0"/>
    <x v="6"/>
    <x v="31"/>
    <m/>
    <e v="#N/A"/>
    <s v="Macro"/>
    <s v="Master"/>
    <n v="3"/>
  </r>
  <r>
    <s v="Tiền Giang"/>
    <s v="TGCTX1"/>
    <s v="TGCT24"/>
    <s v="Swap"/>
    <s v="Single-Band"/>
    <n v="3"/>
    <s v="New"/>
    <s v="PS mới 5G C"/>
    <n v="106.23230770000001"/>
    <n v="10.413912"/>
    <s v="Chau Thanh"/>
    <n v="0"/>
    <s v="Swap_L18 + NR 2.6 32T"/>
    <s v="Outdoor"/>
    <s v="Swap_0"/>
    <x v="6"/>
    <x v="31"/>
    <m/>
    <e v="#N/A"/>
    <s v="CRAN"/>
    <s v="Sub"/>
    <n v="3"/>
  </r>
  <r>
    <s v="Tiền Giang"/>
    <s v="TGTP32"/>
    <s v="TGCT24"/>
    <s v="Swap"/>
    <s v="Dual-band"/>
    <n v="3"/>
    <s v="New"/>
    <s v="PS mới 5G C"/>
    <n v="106.24075000000001"/>
    <n v="10.435449999999999"/>
    <s v="Tan Phuoc"/>
    <n v="0"/>
    <s v="Swap_L18 + L21 + NR 2.6 32T"/>
    <s v="Outdoor"/>
    <s v="Swap_0"/>
    <x v="7"/>
    <x v="34"/>
    <m/>
    <s v="OK"/>
    <s v="CRAN"/>
    <s v="Sub"/>
    <n v="3"/>
  </r>
  <r>
    <s v="Tiền Giang"/>
    <s v="TGCT27"/>
    <s v="TGCT27"/>
    <s v="Swap"/>
    <s v="Dual-band"/>
    <n v="3"/>
    <m/>
    <m/>
    <n v="106.33023"/>
    <n v="10.435029999999999"/>
    <s v="Chau Thanh"/>
    <n v="0"/>
    <s v="Swap_L18 + L21"/>
    <s v="Outdoor"/>
    <s v="Swap_0"/>
    <x v="6"/>
    <x v="32"/>
    <m/>
    <e v="#N/A"/>
    <s v="Macro"/>
    <s v="Master"/>
    <n v="2"/>
  </r>
  <r>
    <s v="Tiền Giang"/>
    <s v="TGCT52"/>
    <s v="TGCT27"/>
    <s v="Swap"/>
    <s v="Dual-band"/>
    <n v="4"/>
    <s v="New"/>
    <s v="PS mới 5G C"/>
    <n v="106.32158"/>
    <n v="10.427638"/>
    <s v="Chau Thanh"/>
    <n v="0"/>
    <s v="Swap_L18 + L21 + NR 2.6 32T"/>
    <s v="Outdoor"/>
    <s v="Swap_0"/>
    <x v="6"/>
    <x v="32"/>
    <m/>
    <s v="done"/>
    <s v="CRAN"/>
    <s v="Sub"/>
    <n v="2"/>
  </r>
  <r>
    <s v="Tiền Giang"/>
    <s v="TGCT28"/>
    <s v="TGCT28"/>
    <s v="Swap"/>
    <s v="Dual-band"/>
    <n v="4"/>
    <s v="New"/>
    <s v="PS mới 5G C"/>
    <n v="106.18823"/>
    <n v="10.4192"/>
    <s v="Chau Thanh"/>
    <n v="0"/>
    <s v="Swap_L18 + L21 + NR 2.6 32T"/>
    <s v="Outdoor"/>
    <s v="Swap_0"/>
    <x v="6"/>
    <x v="35"/>
    <m/>
    <e v="#N/A"/>
    <s v="Macro"/>
    <s v="Master"/>
    <n v="4"/>
  </r>
  <r>
    <s v="Tiền Giang"/>
    <s v="TGCY15"/>
    <s v="TGCT28"/>
    <s v="Swap"/>
    <s v="Dual-band"/>
    <n v="4"/>
    <s v="New"/>
    <s v="PS mới 5G C"/>
    <n v="106.18956"/>
    <n v="10.43563"/>
    <s v="TX Cai Lay"/>
    <n v="0"/>
    <s v="Swap_L18 + L21 + NR 2.6 32T"/>
    <s v="Outdoor"/>
    <s v="Swap_0"/>
    <x v="5"/>
    <x v="35"/>
    <m/>
    <s v="OK"/>
    <s v="CRAN"/>
    <s v="Sub"/>
    <n v="4"/>
  </r>
  <r>
    <s v="Tiền Giang"/>
    <s v="TGCY30"/>
    <s v="TGCT28"/>
    <s v="Swap"/>
    <s v="Single-Band"/>
    <n v="3"/>
    <m/>
    <m/>
    <n v="106.17129"/>
    <n v="10.420579999999999"/>
    <s v="TX Cai Lay"/>
    <n v="0"/>
    <s v="Swap_L18 + NR 7 + L9"/>
    <s v="Outdoor"/>
    <s v="Swap_0"/>
    <x v="5"/>
    <x v="35"/>
    <m/>
    <e v="#N/A"/>
    <s v="CRAN"/>
    <s v="Sub"/>
    <n v="4"/>
  </r>
  <r>
    <s v="Tiền Giang"/>
    <s v="TGCY42"/>
    <s v="TGCT28"/>
    <s v="Swap"/>
    <s v="Single-Band"/>
    <n v="3"/>
    <m/>
    <m/>
    <n v="106.17477"/>
    <n v="10.436400000000001"/>
    <s v="TX Cai Lay"/>
    <n v="0"/>
    <s v="Swap_L18"/>
    <s v="Outdoor"/>
    <s v="Swap_0"/>
    <x v="5"/>
    <x v="35"/>
    <m/>
    <e v="#N/A"/>
    <s v="CRAN"/>
    <s v="Sub"/>
    <n v="4"/>
  </r>
  <r>
    <s v="Tiền Giang"/>
    <s v="TGCT30"/>
    <s v="TGCT30"/>
    <s v="Swap"/>
    <s v="Dual-band"/>
    <n v="4"/>
    <s v="New"/>
    <s v="PS mới 5G C"/>
    <n v="106.346024"/>
    <n v="10.457837"/>
    <s v="Chau Thanh"/>
    <n v="0"/>
    <s v="Swap_L18 + L21 + NR 2.6 32T"/>
    <s v="Outdoor"/>
    <s v="Swap_0"/>
    <x v="6"/>
    <x v="33"/>
    <m/>
    <e v="#N/A"/>
    <s v="Macro"/>
    <m/>
    <n v="1"/>
  </r>
  <r>
    <s v="Tiền Giang"/>
    <s v="TGCT31"/>
    <s v="TGCT31"/>
    <s v="Swap"/>
    <s v="Dual-band"/>
    <n v="4"/>
    <s v="New"/>
    <s v="PS mới 5G C"/>
    <n v="106.33837"/>
    <n v="10.39912"/>
    <s v="Chau Thanh"/>
    <n v="0"/>
    <s v="Swap_L18 + L21 + NR 2.6 32T"/>
    <s v="Outdoor"/>
    <s v="Swap_0"/>
    <x v="6"/>
    <x v="32"/>
    <m/>
    <e v="#N/A"/>
    <s v="Macro"/>
    <m/>
    <n v="1"/>
  </r>
  <r>
    <s v="Tiền Giang"/>
    <s v="TGCT32"/>
    <s v="TGCT32"/>
    <s v="Swap"/>
    <s v="Single-Band"/>
    <n v="3"/>
    <m/>
    <m/>
    <n v="106.28791"/>
    <n v="10.37457"/>
    <s v="Chau Thanh"/>
    <n v="0"/>
    <s v="Swap_L18"/>
    <s v="Outdoor"/>
    <s v="Swap_0"/>
    <x v="6"/>
    <x v="29"/>
    <m/>
    <e v="#N/A"/>
    <s v="Macro"/>
    <m/>
    <n v="1"/>
  </r>
  <r>
    <s v="Tiền Giang"/>
    <s v="TGCT33"/>
    <s v="TGCT33"/>
    <s v="Swap"/>
    <s v="Single-Band"/>
    <n v="3"/>
    <s v="New"/>
    <s v="PS mới 5G C"/>
    <n v="106.29416999999999"/>
    <n v="10.41512"/>
    <s v="Chau Thanh"/>
    <n v="0"/>
    <s v="Swap_L18 + NR 2.6 32T"/>
    <s v="Outdoor"/>
    <s v="Swap_0"/>
    <x v="6"/>
    <x v="31"/>
    <m/>
    <e v="#N/A"/>
    <s v="Macro"/>
    <m/>
    <n v="1"/>
  </r>
  <r>
    <s v="Tiền Giang"/>
    <s v="TGCT34"/>
    <s v="TGCT34"/>
    <s v="Swap"/>
    <s v="Dual-band"/>
    <n v="4"/>
    <s v="New"/>
    <s v="PS mới 5G C"/>
    <n v="106.30298999999999"/>
    <n v="10.40986"/>
    <s v="Chau Thanh"/>
    <n v="0"/>
    <s v="Swap_L18 + L21 + NR 2.6 32T"/>
    <s v="Outdoor"/>
    <s v="Swap_0"/>
    <x v="6"/>
    <x v="32"/>
    <m/>
    <e v="#N/A"/>
    <s v="Macro"/>
    <m/>
    <n v="1"/>
  </r>
  <r>
    <s v="Tiền Giang"/>
    <s v="TGCT36"/>
    <s v="TGCT36"/>
    <s v="Swap"/>
    <s v="Single-Band"/>
    <n v="3"/>
    <m/>
    <m/>
    <n v="106.23309999999999"/>
    <n v="10.36984"/>
    <s v="Chau Thanh"/>
    <n v="0"/>
    <s v="Swap_L18"/>
    <s v="Outdoor"/>
    <s v="Swap_0"/>
    <x v="6"/>
    <x v="29"/>
    <m/>
    <e v="#N/A"/>
    <s v="Macro"/>
    <m/>
    <n v="1"/>
  </r>
  <r>
    <s v="Tiền Giang"/>
    <s v="TGCT39"/>
    <s v="TGCT39"/>
    <s v="Swap"/>
    <s v="Single-Band"/>
    <n v="3"/>
    <s v="New"/>
    <s v="PS mới 5G C"/>
    <n v="106.19707"/>
    <n v="10.39415"/>
    <s v="Chau Thanh"/>
    <n v="0"/>
    <s v="Swap_L18 + NR 2.6 32T"/>
    <s v="Outdoor"/>
    <s v="Swap_0"/>
    <x v="6"/>
    <x v="28"/>
    <m/>
    <e v="#N/A"/>
    <s v="Macro"/>
    <m/>
    <n v="1"/>
  </r>
  <r>
    <s v="Tiền Giang"/>
    <s v="TGCT41"/>
    <s v="TGCT41"/>
    <s v="Swap"/>
    <s v="Dual-band"/>
    <n v="4"/>
    <s v="New"/>
    <s v="PS mới 5G C"/>
    <n v="106.24424999999999"/>
    <n v="10.40165"/>
    <s v="Chau Thanh"/>
    <n v="0"/>
    <s v="Swap_L18 + L21 + NR 2.6 32T"/>
    <s v="Outdoor"/>
    <s v="Swap_0"/>
    <x v="6"/>
    <x v="31"/>
    <m/>
    <e v="#N/A"/>
    <s v="Macro"/>
    <m/>
    <n v="1"/>
  </r>
  <r>
    <s v="Tiền Giang"/>
    <s v="TGCT42"/>
    <s v="TGCT42"/>
    <s v="Swap"/>
    <s v="Dual-band"/>
    <n v="3"/>
    <s v="New"/>
    <s v="PS mới 5G C"/>
    <n v="106.27103870000001"/>
    <n v="10.397076200000001"/>
    <s v="Chau Thanh"/>
    <n v="0"/>
    <s v="Swap_L18 + L21 + NR 2.6 32T"/>
    <s v="Outdoor"/>
    <s v="Swap_0"/>
    <x v="6"/>
    <x v="31"/>
    <m/>
    <e v="#N/A"/>
    <s v="Macro"/>
    <s v="Master"/>
    <n v="2"/>
  </r>
  <r>
    <s v="Tiền Giang"/>
    <s v="TGCT81"/>
    <s v="TGCT42"/>
    <s v="Swap"/>
    <s v="Single-Band"/>
    <n v="3"/>
    <m/>
    <m/>
    <n v="106.26649999999999"/>
    <n v="10.4132"/>
    <s v="Chau Thanh"/>
    <n v="0"/>
    <s v="Swap_L18"/>
    <s v="Outdoor"/>
    <s v="Swap_0"/>
    <x v="6"/>
    <x v="31"/>
    <m/>
    <e v="#N/A"/>
    <s v="CRAN"/>
    <s v="Sub"/>
    <n v="2"/>
  </r>
  <r>
    <s v="Tiền Giang"/>
    <s v="TGCT43"/>
    <s v="TGCT43"/>
    <s v="Swap"/>
    <s v="Single-Band"/>
    <n v="3"/>
    <m/>
    <m/>
    <n v="106.25532"/>
    <n v="10.34634"/>
    <s v="Chau Thanh"/>
    <n v="0"/>
    <s v="Swap_L18"/>
    <s v="Outdoor"/>
    <s v="Swap_0"/>
    <x v="6"/>
    <x v="29"/>
    <m/>
    <e v="#N/A"/>
    <s v="Macro"/>
    <m/>
    <n v="1"/>
  </r>
  <r>
    <s v="Tiền Giang"/>
    <s v="TGCT16"/>
    <s v="TGCT45"/>
    <s v="Swap"/>
    <s v="Single-Band"/>
    <n v="3"/>
    <m/>
    <m/>
    <n v="106.28095999999999"/>
    <n v="10.347049999999999"/>
    <s v="Chau Thanh"/>
    <n v="0"/>
    <s v="Swap_L18"/>
    <s v="Outdoor"/>
    <s v="Swap_0"/>
    <x v="6"/>
    <x v="29"/>
    <m/>
    <s v="done"/>
    <s v="CRAN"/>
    <s v="Sub"/>
    <n v="4"/>
  </r>
  <r>
    <s v="Tiền Giang"/>
    <s v="TGCT45"/>
    <s v="TGCT45"/>
    <s v="Swap"/>
    <s v="Dual-band"/>
    <n v="3"/>
    <s v="New"/>
    <s v="PS mới 5G C"/>
    <n v="106.29627000000001"/>
    <n v="10.34286"/>
    <s v="Chau Thanh"/>
    <n v="0"/>
    <s v="Swap_L18 + L21 + NR 2.6 32T"/>
    <s v="Outdoor"/>
    <s v="Swap_0"/>
    <x v="6"/>
    <x v="29"/>
    <m/>
    <e v="#N/A"/>
    <s v="Macro"/>
    <s v="Master"/>
    <n v="4"/>
  </r>
  <r>
    <s v="Tiền Giang"/>
    <s v="TGCT51"/>
    <s v="TGCT45"/>
    <s v="Swap"/>
    <s v="Dual-band"/>
    <n v="4"/>
    <s v="New"/>
    <s v="PS mới 5G C"/>
    <n v="106.3036"/>
    <n v="10.34125"/>
    <s v="Chau Thanh"/>
    <n v="0"/>
    <s v="Swap_L18 + L21 + NR 2.6 32T"/>
    <s v="Outdoor"/>
    <s v="Swap_0"/>
    <x v="6"/>
    <x v="29"/>
    <m/>
    <e v="#N/A"/>
    <s v="CRAN"/>
    <s v="Sub"/>
    <n v="4"/>
  </r>
  <r>
    <s v="Tiền Giang"/>
    <s v="TGMT82"/>
    <s v="TGCT45"/>
    <s v="Swap"/>
    <s v="Dual-band"/>
    <n v="3"/>
    <s v="New"/>
    <s v="PS mới 5G B"/>
    <n v="106.31305"/>
    <n v="10.34146"/>
    <s v="My Tho"/>
    <n v="0"/>
    <s v="Swap_L18 + L21 + NR 2.6 32T"/>
    <s v="Outdoor"/>
    <s v="Swap_0"/>
    <x v="8"/>
    <x v="36"/>
    <m/>
    <s v="OK"/>
    <s v="CRAN"/>
    <s v="Sub"/>
    <n v="4"/>
  </r>
  <r>
    <s v="Tiền Giang"/>
    <s v="TGCT46"/>
    <s v="TGCT46"/>
    <s v="Swap"/>
    <s v="Dual-band"/>
    <n v="4"/>
    <s v="Swap"/>
    <s v="Swap (PS mới 5G A)"/>
    <n v="106.35476"/>
    <n v="10.486940000000001"/>
    <s v="Chau Thanh"/>
    <n v="0"/>
    <s v="Swap_L18 + L21 + NR 2.6 64T + NR 3.8"/>
    <s v="Outdoor"/>
    <s v="Swap_0"/>
    <x v="6"/>
    <x v="33"/>
    <m/>
    <e v="#N/A"/>
    <s v="Macro"/>
    <m/>
    <n v="1"/>
  </r>
  <r>
    <s v="Tiền Giang"/>
    <s v="TGCT47"/>
    <s v="TGCT47"/>
    <s v="Swap"/>
    <s v="Dual-band"/>
    <n v="4"/>
    <s v="New"/>
    <s v="PS mới 5G C"/>
    <n v="106.36324"/>
    <n v="10.48922"/>
    <s v="Chau Thanh"/>
    <n v="0"/>
    <s v="Swap_L18 + L21 + NR 2.6 32T"/>
    <s v="Outdoor"/>
    <s v="Swap_0"/>
    <x v="6"/>
    <x v="33"/>
    <m/>
    <e v="#N/A"/>
    <s v="Macro"/>
    <m/>
    <n v="1"/>
  </r>
  <r>
    <s v="Tiền Giang"/>
    <s v="TGCT15"/>
    <s v="TGCT50"/>
    <s v="Swap"/>
    <s v="Dual-band"/>
    <n v="3"/>
    <s v="New"/>
    <s v="PS mới 5G C"/>
    <n v="106.24437"/>
    <n v="10.35745"/>
    <s v="Chau Thanh"/>
    <n v="0"/>
    <s v="Swap_L18 + L21 + NR 2.6 32T"/>
    <s v="Outdoor"/>
    <s v="Swap_0"/>
    <x v="6"/>
    <x v="29"/>
    <m/>
    <s v="OK"/>
    <s v="CRAN"/>
    <s v="Sub"/>
    <n v="5"/>
  </r>
  <r>
    <s v="Tiền Giang"/>
    <s v="TGCT25"/>
    <s v="TGCT50"/>
    <s v="Swap"/>
    <s v="Single-Band"/>
    <n v="3"/>
    <m/>
    <m/>
    <n v="106.22060999999999"/>
    <n v="10.34868"/>
    <s v="Chau Thanh"/>
    <n v="0"/>
    <s v="Swap_L18"/>
    <s v="Outdoor"/>
    <s v="Swap_0"/>
    <x v="6"/>
    <x v="29"/>
    <m/>
    <s v="OK"/>
    <s v="CRAN"/>
    <s v="Sub"/>
    <n v="5"/>
  </r>
  <r>
    <s v="Tiền Giang"/>
    <s v="TGCT50"/>
    <s v="TGCT50"/>
    <s v="Swap"/>
    <s v="Single-Band"/>
    <n v="3"/>
    <m/>
    <m/>
    <n v="106.24935000000001"/>
    <n v="10.35374"/>
    <s v="Chau Thanh"/>
    <n v="0"/>
    <s v="Swap_L18"/>
    <s v="Outdoor"/>
    <s v="Swap_0"/>
    <x v="6"/>
    <x v="29"/>
    <m/>
    <e v="#N/A"/>
    <s v="Macro"/>
    <s v="Master"/>
    <n v="5"/>
  </r>
  <r>
    <s v="Tiền Giang"/>
    <s v="TGCT82"/>
    <s v="TGCT50"/>
    <s v="Swap"/>
    <s v="Single-Band"/>
    <n v="3"/>
    <m/>
    <m/>
    <n v="106.26116"/>
    <n v="10.36257"/>
    <s v="Chau Thanh"/>
    <n v="0"/>
    <s v="Swap_L18"/>
    <s v="Outdoor"/>
    <s v="Swap_0"/>
    <x v="6"/>
    <x v="29"/>
    <m/>
    <e v="#N/A"/>
    <s v="CRAN"/>
    <s v="Sub"/>
    <n v="5"/>
  </r>
  <r>
    <s v="Tiền Giang"/>
    <s v="TGCT84"/>
    <s v="TGCT50"/>
    <s v="Swap"/>
    <s v="Single-Band"/>
    <n v="3"/>
    <m/>
    <m/>
    <n v="106.2253"/>
    <n v="10.360440000000001"/>
    <s v="Chau Thanh"/>
    <n v="0"/>
    <s v="Swap_L18"/>
    <s v="Outdoor"/>
    <s v="Swap_0"/>
    <x v="6"/>
    <x v="29"/>
    <m/>
    <e v="#N/A"/>
    <s v="CRAN"/>
    <s v="Sub"/>
    <n v="5"/>
  </r>
  <r>
    <s v="Tiền Giang"/>
    <s v="TGCGX0"/>
    <s v="TGCT53"/>
    <s v="Swap"/>
    <s v="Single-Band"/>
    <n v="3"/>
    <m/>
    <m/>
    <n v="106.346107"/>
    <n v="10.451904000000001"/>
    <s v="Cho Gao"/>
    <s v="Month 2"/>
    <s v="Swap_L18"/>
    <s v="Outdoor"/>
    <s v="Swap_Month 2"/>
    <x v="3"/>
    <x v="22"/>
    <m/>
    <e v="#N/A"/>
    <s v="CRAN"/>
    <s v="Sub"/>
    <n v="2"/>
  </r>
  <r>
    <s v="Tiền Giang"/>
    <s v="TGCT53"/>
    <s v="TGCT53"/>
    <s v="Swap"/>
    <s v="Dual-band"/>
    <n v="3"/>
    <s v="New"/>
    <s v="PS mới 5G C"/>
    <n v="106.34208"/>
    <n v="10.4343"/>
    <s v="Chau Thanh"/>
    <n v="0"/>
    <s v="Swap_L18 + L21 + NR 2.6 32T"/>
    <s v="Outdoor"/>
    <s v="Swap_0"/>
    <x v="6"/>
    <x v="32"/>
    <m/>
    <e v="#N/A"/>
    <s v="Macro"/>
    <s v="Master"/>
    <n v="2"/>
  </r>
  <r>
    <s v="Tiền Giang"/>
    <s v="TGCT54"/>
    <s v="TGCT54"/>
    <s v="Swap"/>
    <s v="Single-Band"/>
    <n v="4"/>
    <s v="New"/>
    <s v="PS mới 5G C"/>
    <n v="106.33571000000001"/>
    <n v="10.493830000000001"/>
    <s v="Chau Thanh"/>
    <n v="0"/>
    <s v="Swap_L18 + NR 2.6 32T"/>
    <s v="Outdoor"/>
    <s v="Swap_0"/>
    <x v="6"/>
    <x v="33"/>
    <m/>
    <e v="#N/A"/>
    <s v="Macro"/>
    <m/>
    <n v="1"/>
  </r>
  <r>
    <s v="Tiền Giang"/>
    <s v="TGCT56"/>
    <s v="TGCT56"/>
    <s v="Swap"/>
    <s v="Dual-band"/>
    <n v="3"/>
    <s v="New"/>
    <s v="PS mới 5G C"/>
    <n v="106.19443"/>
    <n v="10.40395"/>
    <s v="Chau Thanh"/>
    <n v="0"/>
    <s v="Swap_L18 + L21 + NR 2.6 32T"/>
    <s v="Outdoor"/>
    <s v="Swap_0"/>
    <x v="6"/>
    <x v="31"/>
    <m/>
    <e v="#N/A"/>
    <s v="Macro"/>
    <m/>
    <n v="1"/>
  </r>
  <r>
    <s v="Tiền Giang"/>
    <s v="TGCT57"/>
    <s v="TGCT57"/>
    <s v="Swap"/>
    <s v="Dual-band"/>
    <n v="3"/>
    <s v="Swap"/>
    <s v="Swap (PS mới 5G B)"/>
    <n v="106.37044"/>
    <n v="10.48542"/>
    <s v="Chau Thanh"/>
    <n v="0"/>
    <s v="Swap_L18 + L21 + NR 2.6 64T + NR 3.8"/>
    <s v="Outdoor"/>
    <s v="Swap_0"/>
    <x v="6"/>
    <x v="33"/>
    <m/>
    <e v="#N/A"/>
    <s v="Macro"/>
    <s v="Master"/>
    <n v="3"/>
  </r>
  <r>
    <s v="Tiền Giang"/>
    <s v="TGCT75"/>
    <s v="TGCT57"/>
    <s v="Swap"/>
    <s v="Single-Band"/>
    <n v="3"/>
    <m/>
    <m/>
    <n v="106.378"/>
    <n v="10.47852"/>
    <s v="Chau Thanh"/>
    <n v="0"/>
    <s v="Swap_L18"/>
    <s v="Outdoor"/>
    <s v="Swap_0"/>
    <x v="6"/>
    <x v="33"/>
    <m/>
    <e v="#N/A"/>
    <s v="CRAN"/>
    <s v="Sub"/>
    <n v="3"/>
  </r>
  <r>
    <s v="Tiền Giang"/>
    <s v="TGCT79"/>
    <s v="TGCT57"/>
    <s v="Swap"/>
    <s v="Dual-band"/>
    <n v="3"/>
    <s v="New"/>
    <s v="PS mới 5G C"/>
    <n v="106.366"/>
    <n v="10.4817"/>
    <s v="Chau Thanh"/>
    <n v="0"/>
    <s v="Swap_L18 + L21 + NR 2.6 32T"/>
    <s v="Outdoor"/>
    <s v="Swap_0"/>
    <x v="6"/>
    <x v="33"/>
    <m/>
    <e v="#N/A"/>
    <s v="CRAN"/>
    <s v="Sub"/>
    <n v="3"/>
  </r>
  <r>
    <s v="Tiền Giang"/>
    <s v="TGCT59"/>
    <s v="TGCT59"/>
    <s v="Swap"/>
    <s v="Single-Band"/>
    <n v="3"/>
    <m/>
    <m/>
    <n v="106.26611"/>
    <n v="10.38134"/>
    <s v="Chau Thanh"/>
    <n v="0"/>
    <s v="Swap_L18"/>
    <s v="Outdoor"/>
    <s v="Swap_0"/>
    <x v="6"/>
    <x v="29"/>
    <m/>
    <e v="#N/A"/>
    <s v="Macro"/>
    <m/>
    <n v="1"/>
  </r>
  <r>
    <s v="Tiền Giang"/>
    <s v="TGCT40"/>
    <s v="TGCT62"/>
    <s v="Swap"/>
    <s v="Dual-band"/>
    <n v="3"/>
    <s v="New"/>
    <s v="PS mới 5G C"/>
    <n v="106.34081"/>
    <n v="10.47864"/>
    <s v="Chau Thanh"/>
    <n v="0"/>
    <s v="Swap_L18 + L21 + NR 2.6 32T"/>
    <s v="Outdoor"/>
    <s v="Swap_0"/>
    <x v="6"/>
    <x v="33"/>
    <m/>
    <s v="OK"/>
    <s v="CRAN"/>
    <s v="Sub"/>
    <n v="2"/>
  </r>
  <r>
    <s v="Tiền Giang"/>
    <s v="TGCT62"/>
    <s v="TGCT62"/>
    <s v="Swap"/>
    <s v="Dual-band"/>
    <n v="3"/>
    <s v="New"/>
    <s v="PS mới 5G C"/>
    <n v="106.34549"/>
    <n v="10.468859999999999"/>
    <s v="Chau Thanh"/>
    <n v="0"/>
    <s v="Swap_L18 + L21 + NR 2.6 32T"/>
    <s v="Outdoor"/>
    <s v="Swap_0"/>
    <x v="6"/>
    <x v="33"/>
    <m/>
    <e v="#N/A"/>
    <s v="Macro"/>
    <s v="Master"/>
    <n v="2"/>
  </r>
  <r>
    <s v="Tiền Giang"/>
    <s v="TGCT64"/>
    <s v="TGCT64"/>
    <s v="Swap"/>
    <s v="Dual-band"/>
    <n v="3"/>
    <s v="New"/>
    <s v="PS mới 5G C"/>
    <n v="106.35854"/>
    <n v="10.495939999999999"/>
    <s v="Chau Thanh"/>
    <n v="0"/>
    <s v="Swap_L18 + L21 + NR 2.6 32T"/>
    <s v="Outdoor"/>
    <s v="Swap_0"/>
    <x v="6"/>
    <x v="33"/>
    <m/>
    <e v="#N/A"/>
    <s v="Macro"/>
    <m/>
    <n v="1"/>
  </r>
  <r>
    <s v="Tiền Giang"/>
    <s v="TGCT65"/>
    <s v="TGCT65"/>
    <s v="Swap"/>
    <s v="Single-Band"/>
    <n v="3"/>
    <m/>
    <m/>
    <n v="106.35111999999999"/>
    <n v="10.47842"/>
    <s v="Chau Thanh"/>
    <n v="0"/>
    <s v="Swap_L18"/>
    <s v="Outdoor"/>
    <s v="Swap_0"/>
    <x v="6"/>
    <x v="33"/>
    <m/>
    <e v="#N/A"/>
    <s v="Macro"/>
    <m/>
    <n v="1"/>
  </r>
  <r>
    <s v="Tiền Giang"/>
    <s v="TGCT66"/>
    <s v="TGCT66"/>
    <s v="Swap"/>
    <s v="Dual-band"/>
    <n v="4"/>
    <s v="Swap"/>
    <s v="Swap (PS mới 5G B)"/>
    <n v="106.30512"/>
    <n v="10.43769"/>
    <s v="Chau Thanh"/>
    <n v="0"/>
    <s v="Swap_L18 + L21 + NR 2.6 64T + NR 3.8"/>
    <s v="Outdoor"/>
    <s v="Swap_0"/>
    <x v="6"/>
    <x v="32"/>
    <m/>
    <e v="#N/A"/>
    <s v="Macro"/>
    <m/>
    <n v="1"/>
  </r>
  <r>
    <s v="Tiền Giang"/>
    <s v="TGCT67"/>
    <s v="TGCT67"/>
    <s v="Swap"/>
    <s v="Single-Band"/>
    <n v="3"/>
    <m/>
    <m/>
    <n v="106.22628"/>
    <n v="10.32516"/>
    <s v="Chau Thanh"/>
    <n v="0"/>
    <s v="Swap_L18"/>
    <s v="Outdoor"/>
    <s v="Swap_0"/>
    <x v="6"/>
    <x v="29"/>
    <m/>
    <e v="#N/A"/>
    <s v="Macro"/>
    <m/>
    <n v="1"/>
  </r>
  <r>
    <s v="Tiền Giang"/>
    <s v="TGCT69"/>
    <s v="TGCT69"/>
    <s v="Swap"/>
    <s v="Single-Band"/>
    <n v="3"/>
    <m/>
    <m/>
    <n v="106.23520000000001"/>
    <n v="10.340310000000001"/>
    <s v="Chau Thanh"/>
    <n v="0"/>
    <s v="Swap_L18"/>
    <s v="Outdoor"/>
    <s v="Swap_0"/>
    <x v="6"/>
    <x v="29"/>
    <m/>
    <e v="#N/A"/>
    <s v="Macro"/>
    <m/>
    <n v="1"/>
  </r>
  <r>
    <s v="Tiền Giang"/>
    <s v="TGCT70"/>
    <s v="TGCT70"/>
    <s v="Swap"/>
    <s v="Dual-band"/>
    <n v="3"/>
    <s v="New"/>
    <s v="PS mới 5G C"/>
    <n v="106.28156869999999"/>
    <n v="10.3372347"/>
    <s v="Chau Thanh"/>
    <n v="0"/>
    <s v="Swap_L18 + L21 + NR 2.6 32T"/>
    <s v="Outdoor"/>
    <s v="Swap_0"/>
    <x v="6"/>
    <x v="29"/>
    <m/>
    <e v="#N/A"/>
    <s v="Macro"/>
    <m/>
    <n v="1"/>
  </r>
  <r>
    <s v="Tiền Giang"/>
    <s v="TGCT71"/>
    <s v="TGCT71"/>
    <s v="Swap"/>
    <s v="Single-Band"/>
    <n v="3"/>
    <s v="New"/>
    <s v="PS mới 5G C"/>
    <n v="106.2040563"/>
    <n v="10.4242249"/>
    <s v="Chau Thanh"/>
    <n v="0"/>
    <s v="Swap_L18 + NR 2.6 32T"/>
    <s v="Outdoor"/>
    <s v="Swap_0"/>
    <x v="6"/>
    <x v="31"/>
    <m/>
    <e v="#N/A"/>
    <s v="Macro"/>
    <m/>
    <n v="1"/>
  </r>
  <r>
    <s v="Tiền Giang"/>
    <s v="TGCT72"/>
    <s v="TGCT72"/>
    <s v="Swap"/>
    <s v="Single-Band"/>
    <n v="3"/>
    <m/>
    <m/>
    <n v="106.2307211"/>
    <n v="10.3901176"/>
    <s v="Chau Thanh"/>
    <n v="0"/>
    <s v="Swap_L18"/>
    <s v="Outdoor"/>
    <s v="Swap_0"/>
    <x v="6"/>
    <x v="31"/>
    <m/>
    <e v="#N/A"/>
    <s v="Macro"/>
    <m/>
    <n v="1"/>
  </r>
  <r>
    <s v="Tiền Giang"/>
    <s v="TGCT77"/>
    <s v="TGCT77"/>
    <s v="Swap"/>
    <s v="Single-Band"/>
    <n v="4"/>
    <s v="Swap"/>
    <s v="Swap (PS mới 5G B)"/>
    <n v="106.3608"/>
    <n v="10.485910000000001"/>
    <s v="Chau Thanh"/>
    <n v="0"/>
    <s v="Swap_L18 + NR 2.6 64T + NR 3.8"/>
    <s v="Outdoor"/>
    <s v="Swap_0"/>
    <x v="6"/>
    <x v="33"/>
    <m/>
    <e v="#N/A"/>
    <s v="Macro"/>
    <m/>
    <n v="1"/>
  </r>
  <r>
    <s v="Tiền Giang"/>
    <s v="TGCT78"/>
    <s v="TGCT78"/>
    <s v="Swap"/>
    <s v="Dual-band"/>
    <n v="4"/>
    <s v="Swap"/>
    <s v="Swap (PS mới 5G A)"/>
    <n v="106.35720000000001"/>
    <n v="10.479200000000001"/>
    <s v="Chau Thanh"/>
    <n v="0"/>
    <s v="Swap_L18 + L21 + NR 2.6 64T + NR 3.8"/>
    <s v="Outdoor"/>
    <s v="Swap_0"/>
    <x v="6"/>
    <x v="33"/>
    <m/>
    <e v="#N/A"/>
    <s v="Macro"/>
    <m/>
    <n v="1"/>
  </r>
  <r>
    <s v="Tiền Giang"/>
    <s v="TGCT80"/>
    <s v="TGCT80"/>
    <s v="Swap"/>
    <s v="Single-Band"/>
    <n v="3"/>
    <m/>
    <m/>
    <n v="106.29052"/>
    <n v="10.432408000000001"/>
    <s v="Chau Thanh"/>
    <n v="0"/>
    <s v="Swap_L18"/>
    <s v="Outdoor"/>
    <s v="Swap_0"/>
    <x v="6"/>
    <x v="31"/>
    <m/>
    <e v="#N/A"/>
    <s v="Macro"/>
    <m/>
    <n v="1"/>
  </r>
  <r>
    <s v="Tiền Giang"/>
    <s v="TGCY01"/>
    <s v="TGCY01"/>
    <s v="Swap"/>
    <s v="Dual-band"/>
    <n v="4"/>
    <s v="Swap"/>
    <s v="Swap (PS mới 5G A)"/>
    <n v="106.11812"/>
    <n v="10.40804"/>
    <s v="TX Cai Lay"/>
    <n v="0"/>
    <s v="Swap_L18 + L21 + NR 2.6 64T + NR 3.8"/>
    <s v="Outdoor"/>
    <s v="Swap_0"/>
    <x v="5"/>
    <x v="28"/>
    <m/>
    <e v="#N/A"/>
    <s v="Macro"/>
    <m/>
    <n v="1"/>
  </r>
  <r>
    <s v="Tiền Giang"/>
    <s v="TGCY03"/>
    <s v="TGCY03"/>
    <s v="Swap"/>
    <s v="Single-Band"/>
    <n v="3"/>
    <s v="New"/>
    <s v="PS mới 5G C"/>
    <n v="106.11324999999999"/>
    <n v="10.45171"/>
    <s v="TX Cai Lay"/>
    <n v="0"/>
    <s v="Swap_L18 + NR 2.6 32T"/>
    <s v="Outdoor"/>
    <s v="Swap_0"/>
    <x v="5"/>
    <x v="35"/>
    <m/>
    <e v="#N/A"/>
    <s v="Macro"/>
    <s v="Master"/>
    <n v="5"/>
  </r>
  <r>
    <s v="Tiền Giang"/>
    <s v="TGCY24"/>
    <s v="TGCY03"/>
    <s v="Swap"/>
    <s v="Single-Band"/>
    <n v="3"/>
    <m/>
    <m/>
    <n v="106.10262"/>
    <n v="10.476290000000001"/>
    <s v="TX Cai Lay"/>
    <n v="0"/>
    <s v="Swap_L18"/>
    <s v="Outdoor"/>
    <s v="Swap_0"/>
    <x v="5"/>
    <x v="35"/>
    <m/>
    <e v="#N/A"/>
    <s v="CRAN"/>
    <s v="Sub"/>
    <n v="5"/>
  </r>
  <r>
    <s v="Tiền Giang"/>
    <s v="TGCY37"/>
    <s v="TGCY03"/>
    <s v="Swap"/>
    <s v="Single-Band"/>
    <n v="3"/>
    <m/>
    <m/>
    <n v="106.11678000000001"/>
    <n v="10.431089999999999"/>
    <s v="TX Cai Lay"/>
    <n v="0"/>
    <s v="Swap_L18"/>
    <s v="Outdoor"/>
    <s v="Swap_0"/>
    <x v="5"/>
    <x v="35"/>
    <m/>
    <e v="#N/A"/>
    <s v="CRAN"/>
    <s v="Sub"/>
    <n v="5"/>
  </r>
  <r>
    <s v="Tiền Giang"/>
    <s v="TGCY38"/>
    <s v="TGCY03"/>
    <s v="Swap"/>
    <s v="Single-Band"/>
    <n v="3"/>
    <m/>
    <m/>
    <n v="106.1264"/>
    <n v="10.4704"/>
    <s v="TX Cai Lay"/>
    <n v="0"/>
    <s v="Swap_L18"/>
    <s v="Outdoor"/>
    <s v="Swap_0"/>
    <x v="5"/>
    <x v="35"/>
    <m/>
    <s v="OK"/>
    <s v="CRAN"/>
    <s v="Sub"/>
    <n v="5"/>
  </r>
  <r>
    <s v="Tiền Giang"/>
    <s v="TGCYX1"/>
    <s v="TGCY03"/>
    <s v="Swap"/>
    <s v="Single-Band"/>
    <n v="3"/>
    <m/>
    <m/>
    <n v="106.0967"/>
    <n v="10.44815"/>
    <s v="TX Cai Lay"/>
    <n v="0"/>
    <s v="Swap_L18"/>
    <s v="Outdoor"/>
    <s v="Swap_0"/>
    <x v="5"/>
    <x v="35"/>
    <m/>
    <e v="#N/A"/>
    <s v="CRAN"/>
    <s v="Sub"/>
    <n v="5"/>
  </r>
  <r>
    <s v="Tiền Giang"/>
    <s v="TGCY04"/>
    <s v="TGCY04"/>
    <s v="Swap"/>
    <s v="Dual-band"/>
    <n v="4"/>
    <s v="New"/>
    <s v="PS mới 5G C"/>
    <n v="106.09641999999999"/>
    <n v="10.49259"/>
    <s v="TX Cai Lay"/>
    <n v="0"/>
    <s v="Swap_L18 + L21 + NR 2.6 32T"/>
    <s v="Outdoor"/>
    <s v="Swap_0"/>
    <x v="5"/>
    <x v="35"/>
    <m/>
    <e v="#N/A"/>
    <s v="Macro"/>
    <m/>
    <n v="1"/>
  </r>
  <r>
    <s v="Tiền Giang"/>
    <s v="TGCY02"/>
    <s v="TGCY05"/>
    <s v="Swap"/>
    <s v="Dual-band"/>
    <n v="3"/>
    <s v="New"/>
    <s v="PS mới 5G C"/>
    <n v="106.12141"/>
    <n v="10.391529999999999"/>
    <s v="TX Cai Lay"/>
    <n v="0"/>
    <s v="Swap_L18 + L21 + NR 2.6 32T"/>
    <s v="Outdoor"/>
    <s v="Swap_0"/>
    <x v="5"/>
    <x v="28"/>
    <m/>
    <e v="#N/A"/>
    <s v="CRAN"/>
    <s v="Sub"/>
    <n v="8"/>
  </r>
  <r>
    <s v="Tiền Giang"/>
    <s v="TGCY05"/>
    <s v="TGCY05"/>
    <s v="Swap"/>
    <s v="Dual-band"/>
    <n v="3"/>
    <s v="New"/>
    <s v="PS mới 5G C"/>
    <n v="106.15243"/>
    <n v="10.4033"/>
    <s v="TX Cai Lay"/>
    <n v="0"/>
    <s v="Swap_L18 + L21 + NR 2.6 32T"/>
    <s v="Outdoor"/>
    <s v="Swap_0"/>
    <x v="5"/>
    <x v="28"/>
    <m/>
    <e v="#N/A"/>
    <s v="Macro"/>
    <s v="Master"/>
    <n v="8"/>
  </r>
  <r>
    <s v="Tiền Giang"/>
    <s v="TGCY08"/>
    <s v="TGCY05"/>
    <s v="Swap"/>
    <s v="Dual-band"/>
    <n v="3"/>
    <s v="New"/>
    <s v="PS mới 5G C"/>
    <n v="106.15439000000001"/>
    <n v="10.412879999999999"/>
    <s v="TX Cai Lay"/>
    <n v="0"/>
    <s v="Swap_L18 + L21 + NR 2.6 32T"/>
    <s v="Outdoor"/>
    <s v="Swap_0"/>
    <x v="5"/>
    <x v="28"/>
    <m/>
    <e v="#N/A"/>
    <s v="CRAN"/>
    <s v="Sub"/>
    <n v="8"/>
  </r>
  <r>
    <s v="Tiền Giang"/>
    <s v="TGCY12"/>
    <s v="TGCY05"/>
    <s v="Swap"/>
    <s v="Single-Band"/>
    <n v="3"/>
    <m/>
    <m/>
    <n v="106.1568437"/>
    <n v="10.3811842"/>
    <s v="TX Cai Lay"/>
    <n v="0"/>
    <s v="Swap_L18"/>
    <s v="Outdoor"/>
    <s v="Swap_0"/>
    <x v="5"/>
    <x v="28"/>
    <m/>
    <e v="#N/A"/>
    <s v="CRAN"/>
    <s v="Sub"/>
    <n v="8"/>
  </r>
  <r>
    <s v="Tiền Giang"/>
    <s v="TGCY20"/>
    <s v="TGCY05"/>
    <s v="Swap"/>
    <s v="Dual-band"/>
    <n v="4"/>
    <s v="New"/>
    <s v="PS mới 5G C"/>
    <n v="106.17104"/>
    <n v="10.40258"/>
    <s v="TX Cai Lay"/>
    <n v="0"/>
    <s v="Swap_L18 + L21 + NR 2.6 32T"/>
    <s v="Outdoor"/>
    <s v="Swap_0"/>
    <x v="5"/>
    <x v="28"/>
    <m/>
    <s v="OK"/>
    <s v="CRAN"/>
    <s v="Sub"/>
    <n v="8"/>
  </r>
  <r>
    <s v="Tiền Giang"/>
    <s v="TGCY28"/>
    <s v="TGCY05"/>
    <s v="Swap"/>
    <s v="Single-Band"/>
    <n v="3"/>
    <s v="New"/>
    <s v="PS mới 5G C"/>
    <n v="106.14243999999999"/>
    <n v="10.41461"/>
    <s v="TX Cai Lay"/>
    <n v="0"/>
    <s v="Swap_L18 + NR 2.6 32T"/>
    <s v="Outdoor"/>
    <s v="Swap_0"/>
    <x v="5"/>
    <x v="28"/>
    <m/>
    <e v="#N/A"/>
    <s v="CRAN"/>
    <s v="Sub"/>
    <n v="8"/>
  </r>
  <r>
    <s v="Tiền Giang"/>
    <s v="TGCY31"/>
    <s v="TGCY05"/>
    <s v="Swap"/>
    <s v="Dual-band"/>
    <n v="4"/>
    <s v="New"/>
    <s v="PS mới 5G C"/>
    <n v="106.1620291"/>
    <n v="10.4024894"/>
    <s v="TX Cai Lay"/>
    <n v="0"/>
    <s v="Swap_L18 + L21 + NR 2.6 32T"/>
    <s v="Outdoor"/>
    <s v="Swap_0"/>
    <x v="5"/>
    <x v="28"/>
    <m/>
    <e v="#N/A"/>
    <s v="CRAN"/>
    <s v="Sub"/>
    <n v="8"/>
  </r>
  <r>
    <s v="Tiền Giang"/>
    <s v="TGCY32"/>
    <s v="TGCY05"/>
    <s v="Swap"/>
    <s v="Single-Band"/>
    <n v="3"/>
    <m/>
    <m/>
    <n v="106.1062757"/>
    <n v="10.388037199999999"/>
    <s v="TX Cai Lay"/>
    <n v="0"/>
    <s v="Swap_L18"/>
    <s v="Outdoor"/>
    <s v="Swap_0"/>
    <x v="5"/>
    <x v="28"/>
    <m/>
    <e v="#N/A"/>
    <s v="CRAN"/>
    <s v="Sub"/>
    <n v="8"/>
  </r>
  <r>
    <s v="Tiền Giang"/>
    <s v="TGCY06"/>
    <s v="TGCY06"/>
    <s v="Swap"/>
    <s v="Dual-band"/>
    <n v="3"/>
    <s v="Swap"/>
    <s v="Swap (PS mới 5G B)"/>
    <n v="106.18237000000001"/>
    <n v="10.402010000000001"/>
    <s v="TX Cai Lay"/>
    <n v="0"/>
    <s v="Swap_L18 + L21 + NR 2.6 64T + NR 3.8"/>
    <s v="Outdoor"/>
    <s v="Swap_0"/>
    <x v="5"/>
    <x v="28"/>
    <m/>
    <e v="#N/A"/>
    <s v="Macro"/>
    <s v="Master"/>
    <n v="3"/>
  </r>
  <r>
    <s v="Tiền Giang"/>
    <s v="TGCY11"/>
    <s v="TGCY06"/>
    <s v="Swap"/>
    <s v="Single-Band"/>
    <n v="3"/>
    <s v="New"/>
    <s v="PS mới 5G C"/>
    <n v="106.18555000000001"/>
    <n v="10.38036"/>
    <s v="TX Cai Lay"/>
    <n v="0"/>
    <s v="Swap_L18 + NR 2.6 32T"/>
    <s v="Outdoor"/>
    <s v="Swap_0"/>
    <x v="5"/>
    <x v="28"/>
    <m/>
    <e v="#N/A"/>
    <s v="CRAN"/>
    <s v="Sub"/>
    <n v="3"/>
  </r>
  <r>
    <s v="Tiền Giang"/>
    <s v="TGCY25"/>
    <s v="TGCY06"/>
    <s v="Swap"/>
    <s v="Single-Band"/>
    <n v="3"/>
    <s v="New"/>
    <s v="PS mới 5G C"/>
    <n v="106.17225000000001"/>
    <n v="10.386620000000001"/>
    <s v="TX Cai Lay"/>
    <n v="0"/>
    <s v="Swap_L18 + NR 2.6 32T"/>
    <s v="Outdoor"/>
    <s v="Swap_0"/>
    <x v="5"/>
    <x v="28"/>
    <m/>
    <e v="#N/A"/>
    <s v="CRAN"/>
    <s v="Sub"/>
    <n v="3"/>
  </r>
  <r>
    <s v="Tiền Giang"/>
    <s v="TGCY07"/>
    <s v="TGCY07"/>
    <s v="Swap"/>
    <s v="Single-Band"/>
    <n v="3"/>
    <m/>
    <m/>
    <n v="106.15228"/>
    <n v="10.465579999999999"/>
    <s v="TX Cai Lay"/>
    <n v="0"/>
    <s v="Swap_L18"/>
    <s v="Outdoor"/>
    <s v="Swap_0"/>
    <x v="5"/>
    <x v="35"/>
    <m/>
    <e v="#N/A"/>
    <s v="Macro"/>
    <m/>
    <n v="1"/>
  </r>
  <r>
    <s v="Tiền Giang"/>
    <s v="TGCY09"/>
    <s v="TGCY09"/>
    <s v="Swap"/>
    <s v="Single-Band"/>
    <n v="3"/>
    <s v="New"/>
    <s v="PS mới 5G C"/>
    <n v="106.11899"/>
    <n v="10.420730000000001"/>
    <s v="TX Cai Lay"/>
    <n v="0"/>
    <s v="Swap_L18 + NR 2.6 32T"/>
    <s v="Outdoor"/>
    <s v="Swap_0"/>
    <x v="5"/>
    <x v="28"/>
    <m/>
    <e v="#N/A"/>
    <s v="Macro"/>
    <s v="Master"/>
    <n v="5"/>
  </r>
  <r>
    <s v="Tiền Giang"/>
    <s v="TGCY19"/>
    <s v="TGCY09"/>
    <s v="Swap"/>
    <s v="Single-Band"/>
    <n v="4"/>
    <m/>
    <m/>
    <n v="106.13708"/>
    <n v="10.433249999999999"/>
    <s v="TX Cai Lay"/>
    <n v="0"/>
    <s v="Swap_L18"/>
    <s v="Outdoor"/>
    <s v="Swap_0"/>
    <x v="5"/>
    <x v="35"/>
    <m/>
    <s v="OK"/>
    <s v="CRAN"/>
    <s v="Sub"/>
    <n v="5"/>
  </r>
  <r>
    <s v="Tiền Giang"/>
    <s v="TGCY36"/>
    <s v="TGCY09"/>
    <s v="Swap"/>
    <s v="Single-Band"/>
    <n v="3"/>
    <m/>
    <m/>
    <n v="106.11354"/>
    <n v="10.39615"/>
    <s v="TX Cai Lay"/>
    <n v="0"/>
    <s v="Swap_L18"/>
    <s v="Outdoor"/>
    <s v="Swap_0"/>
    <x v="5"/>
    <x v="28"/>
    <m/>
    <e v="#N/A"/>
    <s v="CRAN"/>
    <s v="Sub"/>
    <n v="5"/>
  </r>
  <r>
    <s v="Tiền Giang"/>
    <s v="TGCY39"/>
    <s v="TGCY09"/>
    <s v="Swap"/>
    <s v="Single-Band"/>
    <n v="3"/>
    <m/>
    <m/>
    <n v="106.116"/>
    <n v="10.413410000000001"/>
    <s v="TX Cai Lay"/>
    <n v="0"/>
    <s v="Swap_L18"/>
    <s v="Outdoor"/>
    <s v="Swap_0"/>
    <x v="5"/>
    <x v="28"/>
    <m/>
    <s v="OK"/>
    <s v="CRAN"/>
    <s v="Sub"/>
    <n v="5"/>
  </r>
  <r>
    <s v="Tiền Giang"/>
    <s v="TGCYX0"/>
    <s v="TGCY09"/>
    <s v="Swap"/>
    <s v="Single-Band"/>
    <n v="3"/>
    <s v="New"/>
    <s v="PS mới 5G C"/>
    <n v="106.13"/>
    <n v="10.4109"/>
    <s v="TX Cai Lay"/>
    <n v="0"/>
    <s v="Swap_L18 + NR 7 + L9"/>
    <s v="Outdoor"/>
    <s v="Swap_0"/>
    <x v="5"/>
    <x v="28"/>
    <m/>
    <e v="#N/A"/>
    <s v="CRAN"/>
    <s v="Sub"/>
    <n v="5"/>
  </r>
  <r>
    <s v="Tiền Giang"/>
    <s v="TGCY10"/>
    <s v="TGCY10"/>
    <s v="Swap"/>
    <s v="Single-Band"/>
    <n v="3"/>
    <m/>
    <m/>
    <n v="106.15671"/>
    <n v="10.438280000000001"/>
    <s v="TX Cai Lay"/>
    <n v="0"/>
    <s v="Swap_L18 + NR 2.6 32T"/>
    <s v="Outdoor"/>
    <s v="Swap_0"/>
    <x v="5"/>
    <x v="35"/>
    <m/>
    <e v="#N/A"/>
    <s v="Macro"/>
    <m/>
    <n v="1"/>
  </r>
  <r>
    <s v="Tiền Giang"/>
    <s v="TGCY13"/>
    <s v="TGCY13"/>
    <s v="Swap"/>
    <s v="Single-Band"/>
    <n v="3"/>
    <m/>
    <m/>
    <n v="106.12201"/>
    <n v="10.48959"/>
    <s v="TX Cai Lay"/>
    <n v="0"/>
    <s v="Swap_L18"/>
    <s v="Outdoor"/>
    <s v="Swap_0"/>
    <x v="5"/>
    <x v="35"/>
    <m/>
    <e v="#N/A"/>
    <s v="Macro"/>
    <m/>
    <n v="1"/>
  </r>
  <r>
    <s v="Tiền Giang"/>
    <s v="TGCY16"/>
    <s v="TGCY16"/>
    <s v="Swap"/>
    <s v="Single-Band"/>
    <n v="3"/>
    <m/>
    <m/>
    <n v="106.11015999999999"/>
    <n v="10.40977"/>
    <s v="TX Cai Lay"/>
    <n v="0"/>
    <s v="Swap_L18"/>
    <s v="Outdoor"/>
    <s v="Swap_0"/>
    <x v="5"/>
    <x v="28"/>
    <m/>
    <e v="#N/A"/>
    <s v="Macro"/>
    <m/>
    <n v="1"/>
  </r>
  <r>
    <s v="Tiền Giang"/>
    <s v="TGCY17"/>
    <s v="TGCY17"/>
    <s v="Swap"/>
    <s v="Dual-band"/>
    <n v="3"/>
    <s v="New"/>
    <s v="PS mới 5G C"/>
    <n v="106.12358999999999"/>
    <n v="10.372170000000001"/>
    <s v="TX Cai Lay"/>
    <n v="0"/>
    <s v="Swap_L18 + L21 + NR 2.6 32T"/>
    <s v="Outdoor"/>
    <s v="Swap_0"/>
    <x v="5"/>
    <x v="28"/>
    <m/>
    <e v="#N/A"/>
    <s v="Macro"/>
    <m/>
    <n v="1"/>
  </r>
  <r>
    <s v="Tiền Giang"/>
    <s v="TGCY18"/>
    <s v="TGCY18"/>
    <s v="Swap"/>
    <s v="Single-Band"/>
    <n v="3"/>
    <m/>
    <m/>
    <n v="106.17944"/>
    <n v="10.453760000000001"/>
    <s v="TX Cai Lay"/>
    <n v="0"/>
    <s v="Swap_L18"/>
    <s v="Outdoor"/>
    <s v="Swap_0"/>
    <x v="5"/>
    <x v="35"/>
    <m/>
    <e v="#N/A"/>
    <s v="Macro"/>
    <m/>
    <n v="1"/>
  </r>
  <r>
    <s v="Tiền Giang"/>
    <s v="TGCY21"/>
    <s v="TGCY21"/>
    <s v="Swap"/>
    <s v="Dual-band"/>
    <n v="3"/>
    <s v="Swap"/>
    <s v="Swap (PS mới 5G B)"/>
    <n v="106.13122"/>
    <n v="10.40625"/>
    <s v="TX Cai Lay"/>
    <n v="0"/>
    <s v="Swap_L18 + L21 + NR 2.6 64T + NR 3.8"/>
    <s v="Outdoor"/>
    <s v="Swap_0"/>
    <x v="5"/>
    <x v="28"/>
    <m/>
    <e v="#N/A"/>
    <s v="Macro"/>
    <m/>
    <n v="1"/>
  </r>
  <r>
    <s v="Tiền Giang"/>
    <s v="TGCY22"/>
    <s v="TGCY22"/>
    <s v="Swap"/>
    <s v="Dual-band"/>
    <n v="4"/>
    <s v="New"/>
    <s v="PS mới 5G C"/>
    <n v="106.1180914"/>
    <n v="10.4037881"/>
    <s v="TX Cai Lay"/>
    <n v="0"/>
    <s v="Swap_L18 + L21 + NR 2.6 32T"/>
    <s v="Outdoor"/>
    <s v="Swap_0"/>
    <x v="5"/>
    <x v="28"/>
    <m/>
    <e v="#N/A"/>
    <s v="Macro"/>
    <m/>
    <n v="1"/>
  </r>
  <r>
    <s v="Tiền Giang"/>
    <s v="TGCY23"/>
    <s v="TGCY23"/>
    <s v="Swap"/>
    <s v="Dual-band"/>
    <n v="4"/>
    <s v="New"/>
    <s v="PS mới 5G C"/>
    <n v="106.12367"/>
    <n v="10.413779999999999"/>
    <s v="TX Cai Lay"/>
    <n v="0"/>
    <s v="Swap_L18 + L21 + NR 2.6 32T"/>
    <s v="Outdoor"/>
    <s v="Swap_0"/>
    <x v="5"/>
    <x v="28"/>
    <m/>
    <e v="#N/A"/>
    <s v="Macro"/>
    <m/>
    <n v="1"/>
  </r>
  <r>
    <s v="Tiền Giang"/>
    <s v="TGCY27"/>
    <s v="TGCY27"/>
    <s v="Swap"/>
    <s v="Single-Band"/>
    <n v="3"/>
    <m/>
    <m/>
    <n v="106.14133"/>
    <n v="10.39249"/>
    <s v="TX Cai Lay"/>
    <n v="0"/>
    <s v="Swap_L18 + NR 7 + L9"/>
    <s v="Outdoor"/>
    <s v="Swap_0"/>
    <x v="5"/>
    <x v="28"/>
    <m/>
    <e v="#N/A"/>
    <s v="Macro"/>
    <m/>
    <n v="1"/>
  </r>
  <r>
    <s v="Tiền Giang"/>
    <s v="TGCY29"/>
    <s v="TGCY29"/>
    <s v="Swap"/>
    <s v="Dual-band"/>
    <n v="4"/>
    <s v="Swap"/>
    <s v="Swap (PS mới 5G B)"/>
    <n v="106.0974284"/>
    <n v="10.4116135"/>
    <s v="TX Cai Lay"/>
    <n v="0"/>
    <s v="Swap_L18 + L21 + NR 2.6 64T + NR 3.8"/>
    <s v="Outdoor"/>
    <s v="Swap_0"/>
    <x v="5"/>
    <x v="28"/>
    <m/>
    <e v="#N/A"/>
    <s v="Macro"/>
    <m/>
    <n v="1"/>
  </r>
  <r>
    <s v="Tiền Giang"/>
    <s v="TGCY35"/>
    <s v="TGCY35"/>
    <s v="Swap"/>
    <s v="Single-Band"/>
    <n v="3"/>
    <m/>
    <m/>
    <n v="106.17106"/>
    <n v="10.469889999999999"/>
    <s v="TX Cai Lay"/>
    <n v="0"/>
    <s v="Swap_L18"/>
    <s v="Outdoor"/>
    <s v="Swap_0"/>
    <x v="5"/>
    <x v="35"/>
    <m/>
    <e v="#N/A"/>
    <s v="Macro"/>
    <m/>
    <n v="1"/>
  </r>
  <r>
    <s v="Tiền Giang"/>
    <s v="TGCY43"/>
    <s v="TGCY43"/>
    <s v="Swap"/>
    <s v="Single-Band"/>
    <n v="3"/>
    <m/>
    <m/>
    <n v="106.13679999999999"/>
    <n v="10.458399999999999"/>
    <s v="TX Cai Lay"/>
    <n v="0"/>
    <s v="Swap_L18"/>
    <s v="Outdoor"/>
    <s v="Swap_0"/>
    <x v="5"/>
    <x v="35"/>
    <m/>
    <e v="#N/A"/>
    <s v="Macro"/>
    <m/>
    <n v="1"/>
  </r>
  <r>
    <s v="Tiền Giang"/>
    <s v="TGGC01"/>
    <s v="TGGC01"/>
    <s v="Swap"/>
    <s v="Dual-band"/>
    <n v="4"/>
    <s v="New"/>
    <s v="PS mới 5G A"/>
    <n v="106.6755484"/>
    <n v="10.362019500000001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02"/>
    <s v="TGGC03"/>
    <s v="Swap"/>
    <s v="Dual-band"/>
    <n v="3"/>
    <s v="New"/>
    <s v="PS mới 5G C"/>
    <n v="106.682749"/>
    <n v="10.3618881"/>
    <s v="Go Cong"/>
    <s v="Month 2"/>
    <s v="Swap_L18 + L21 + NR 2.6 32T"/>
    <s v="Outdoor"/>
    <s v="Swap_Month 2"/>
    <x v="9"/>
    <x v="37"/>
    <m/>
    <e v="#N/A"/>
    <s v="CRAN"/>
    <s v="Sub"/>
    <n v="3"/>
  </r>
  <r>
    <s v="Tiền Giang"/>
    <s v="TGGC03"/>
    <s v="TGGC03"/>
    <s v="Swap"/>
    <s v="Single-Band"/>
    <n v="3"/>
    <s v="New"/>
    <s v="PS mới 5G C"/>
    <n v="106.6856497"/>
    <n v="10.350479699999999"/>
    <s v="Go Cong"/>
    <s v="Month 2"/>
    <s v="Swap_L18 + NR 2.6 32T"/>
    <s v="Outdoor"/>
    <s v="Swap_Month 2"/>
    <x v="9"/>
    <x v="37"/>
    <m/>
    <e v="#N/A"/>
    <s v="Macro"/>
    <s v="Master"/>
    <n v="3"/>
  </r>
  <r>
    <s v="Tiền Giang"/>
    <s v="TGGD40"/>
    <s v="TGGC03"/>
    <s v="Swap"/>
    <s v="Single-Band"/>
    <n v="3"/>
    <m/>
    <m/>
    <n v="106.69085990000001"/>
    <n v="10.341678699999999"/>
    <s v="Go Cong Dong"/>
    <s v="Month 2"/>
    <s v="Swap_L18"/>
    <s v="Outdoor"/>
    <s v="Swap_Month 2"/>
    <x v="10"/>
    <x v="37"/>
    <m/>
    <e v="#N/A"/>
    <s v="CRAN"/>
    <s v="Sub"/>
    <n v="3"/>
  </r>
  <r>
    <s v="Tiền Giang"/>
    <s v="TGGC04"/>
    <s v="TGGC04"/>
    <s v="Swap"/>
    <s v="Dual-band"/>
    <n v="4"/>
    <s v="New"/>
    <s v="PS mới 5G C"/>
    <n v="106.67931"/>
    <n v="10.36816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06"/>
    <s v="TGGC06"/>
    <s v="Swap"/>
    <s v="Single-Band"/>
    <n v="3"/>
    <s v="New"/>
    <s v="PS mới 5G C"/>
    <n v="106.66700160000001"/>
    <n v="10.427435300000001"/>
    <s v="Go Cong"/>
    <s v="Month 2"/>
    <s v="Swap_L18 + NR 2.6 32T"/>
    <s v="Outdoor"/>
    <s v="Swap_Month 2"/>
    <x v="9"/>
    <x v="38"/>
    <m/>
    <e v="#N/A"/>
    <s v="Macro"/>
    <s v="Master"/>
    <n v="2"/>
  </r>
  <r>
    <s v="Tiền Giang"/>
    <s v="TGGC32"/>
    <s v="TGGC06"/>
    <s v="Swap"/>
    <s v="Single-Band"/>
    <n v="3"/>
    <m/>
    <m/>
    <n v="106.64339"/>
    <n v="10.43754"/>
    <s v="Go Cong"/>
    <s v="Month 2"/>
    <s v="Swap_L18"/>
    <s v="Outdoor"/>
    <s v="Swap_Month 2"/>
    <x v="9"/>
    <x v="38"/>
    <m/>
    <e v="#N/A"/>
    <s v="CRAN"/>
    <s v="Sub"/>
    <n v="2"/>
  </r>
  <r>
    <s v="Tiền Giang"/>
    <s v="TGGC07"/>
    <s v="TGGC07"/>
    <s v="Swap"/>
    <s v="Dual-band"/>
    <n v="3"/>
    <s v="New"/>
    <s v="PS mới 5G C"/>
    <n v="106.67521000000001"/>
    <n v="10.39987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08"/>
    <s v="TGGC08"/>
    <s v="Swap"/>
    <s v="Single-Band"/>
    <n v="3"/>
    <m/>
    <m/>
    <n v="106.651393"/>
    <n v="10.3775409"/>
    <s v="Go Cong"/>
    <s v="Month 2"/>
    <s v="Swap_L18"/>
    <s v="Outdoor"/>
    <s v="Swap_Month 2"/>
    <x v="9"/>
    <x v="37"/>
    <m/>
    <e v="#N/A"/>
    <s v="Macro"/>
    <m/>
    <n v="1"/>
  </r>
  <r>
    <s v="Tiền Giang"/>
    <s v="TGGC09"/>
    <s v="TGGC09"/>
    <s v="Swap"/>
    <s v="Single-Band"/>
    <n v="3"/>
    <m/>
    <m/>
    <n v="106.69392689999999"/>
    <n v="10.3670022"/>
    <s v="Go Cong"/>
    <s v="Month 2"/>
    <s v="Swap_L18"/>
    <s v="Outdoor"/>
    <s v="Swap_Month 2"/>
    <x v="9"/>
    <x v="37"/>
    <m/>
    <e v="#N/A"/>
    <s v="Macro"/>
    <s v="Master"/>
    <n v="3"/>
  </r>
  <r>
    <s v="Tiền Giang"/>
    <s v="TGGC13"/>
    <s v="TGGC09"/>
    <s v="Swap"/>
    <s v="Single-Band"/>
    <n v="3"/>
    <m/>
    <m/>
    <n v="106.70491"/>
    <n v="10.361330000000001"/>
    <s v="Go Cong"/>
    <s v="Month 2"/>
    <s v="Swap_L18"/>
    <s v="Outdoor"/>
    <s v="Swap_Month 2"/>
    <x v="9"/>
    <x v="37"/>
    <m/>
    <e v="#N/A"/>
    <s v="CRAN"/>
    <s v="Sub"/>
    <n v="3"/>
  </r>
  <r>
    <s v="Tiền Giang"/>
    <s v="TGGC28"/>
    <s v="TGGC09"/>
    <s v="Swap"/>
    <s v="Dual-band"/>
    <n v="3"/>
    <s v="New"/>
    <s v="PS mới 5G C"/>
    <n v="106.69437859999999"/>
    <n v="10.3765819"/>
    <s v="Go Cong"/>
    <s v="Month 2"/>
    <s v="Swap_L18 + L21 + NR 2.6 32T"/>
    <s v="Outdoor"/>
    <s v="Swap_Month 2"/>
    <x v="9"/>
    <x v="37"/>
    <m/>
    <s v="OK"/>
    <s v="CRAN"/>
    <s v="Sub"/>
    <n v="3"/>
  </r>
  <r>
    <s v="Tiền Giang"/>
    <s v="TGGC10"/>
    <s v="TGGC10"/>
    <s v="Swap"/>
    <s v="Single-Band"/>
    <n v="3"/>
    <s v="New"/>
    <s v="PS mới 5G C"/>
    <n v="106.62772"/>
    <n v="10.427049999999999"/>
    <s v="Go Cong"/>
    <s v="Month 2"/>
    <s v="Swap_L18 + NR 2.6 32T"/>
    <s v="Outdoor"/>
    <s v="Swap_Month 2"/>
    <x v="9"/>
    <x v="38"/>
    <m/>
    <e v="#N/A"/>
    <s v="Macro"/>
    <m/>
    <n v="1"/>
  </r>
  <r>
    <s v="Tiền Giang"/>
    <s v="TGGC11"/>
    <s v="TGGC11"/>
    <s v="Swap"/>
    <s v="Dual-band"/>
    <n v="3"/>
    <s v="New"/>
    <s v="PS mới 5G C"/>
    <n v="106.6598104"/>
    <n v="10.3592589"/>
    <s v="Go Cong"/>
    <s v="Month 2"/>
    <s v="Swap_L18 + L21 + NR 2.6 32T"/>
    <s v="Outdoor"/>
    <s v="Swap_Month 2"/>
    <x v="9"/>
    <x v="37"/>
    <m/>
    <e v="#N/A"/>
    <s v="Macro"/>
    <s v="Master"/>
    <n v="2"/>
  </r>
  <r>
    <s v="Tiền Giang"/>
    <s v="TGGC24"/>
    <s v="TGGC11"/>
    <s v="Swap"/>
    <s v="Dual-band"/>
    <n v="3"/>
    <m/>
    <m/>
    <n v="106.664947"/>
    <n v="10.356858000000001"/>
    <s v="Go Cong"/>
    <s v="Month 2"/>
    <s v="Swap_L18 + L21"/>
    <s v="Outdoor"/>
    <s v="Swap_Month 2"/>
    <x v="9"/>
    <x v="37"/>
    <m/>
    <e v="#N/A"/>
    <s v="CRAN"/>
    <s v="Sub"/>
    <n v="2"/>
  </r>
  <r>
    <s v="Tiền Giang"/>
    <s v="TGGC12"/>
    <s v="TGGC12"/>
    <s v="Swap"/>
    <s v="Dual-band"/>
    <n v="3"/>
    <s v="New"/>
    <s v="PS mới 5G C"/>
    <n v="106.68273929999999"/>
    <n v="10.3829949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14"/>
    <s v="TGGC14"/>
    <s v="Swap"/>
    <s v="Single-Band"/>
    <n v="3"/>
    <m/>
    <m/>
    <n v="106.63282"/>
    <n v="10.4038"/>
    <s v="Go Cong"/>
    <s v="Month 2"/>
    <s v="Swap_L18 + NR 7 + L9"/>
    <s v="Outdoor"/>
    <s v="Swap_Month 2"/>
    <x v="9"/>
    <x v="38"/>
    <m/>
    <e v="#N/A"/>
    <s v="Macro"/>
    <m/>
    <n v="1"/>
  </r>
  <r>
    <s v="Tiền Giang"/>
    <s v="TGGC16"/>
    <s v="TGGC16"/>
    <s v="Swap"/>
    <s v="Single-Band"/>
    <n v="3"/>
    <m/>
    <m/>
    <n v="106.65470999999999"/>
    <n v="10.440469999999999"/>
    <s v="Go Cong"/>
    <s v="Month 2"/>
    <s v="Swap_L18"/>
    <s v="Outdoor"/>
    <s v="Swap_Month 2"/>
    <x v="9"/>
    <x v="38"/>
    <m/>
    <e v="#N/A"/>
    <s v="Macro"/>
    <m/>
    <n v="1"/>
  </r>
  <r>
    <s v="Tiền Giang"/>
    <s v="TGGC17"/>
    <s v="TGGC17"/>
    <s v="Swap"/>
    <s v="Dual-band"/>
    <n v="4"/>
    <s v="New"/>
    <s v="PS mới 5G C"/>
    <n v="106.67119099999999"/>
    <n v="10.3640905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18"/>
    <s v="TGGC18"/>
    <s v="Swap"/>
    <s v="Single-Band"/>
    <n v="3"/>
    <m/>
    <m/>
    <n v="106.61481000000001"/>
    <n v="10.416"/>
    <s v="Go Cong"/>
    <s v="Month 2"/>
    <s v="Swap_L18"/>
    <s v="Outdoor"/>
    <s v="Swap_Month 2"/>
    <x v="9"/>
    <x v="38"/>
    <m/>
    <e v="#N/A"/>
    <s v="Macro"/>
    <m/>
    <n v="1"/>
  </r>
  <r>
    <s v="Tiền Giang"/>
    <s v="TGGC15"/>
    <s v="TGGC19"/>
    <s v="Swap"/>
    <s v="Single-Band"/>
    <n v="3"/>
    <m/>
    <m/>
    <n v="106.6715384"/>
    <n v="10.3465167"/>
    <s v="Go Cong"/>
    <s v="Month 2"/>
    <s v="Swap_L18"/>
    <s v="Outdoor"/>
    <s v="Swap_Month 2"/>
    <x v="9"/>
    <x v="37"/>
    <m/>
    <e v="#N/A"/>
    <s v="CRAN"/>
    <s v="Sub"/>
    <n v="2"/>
  </r>
  <r>
    <s v="Tiền Giang"/>
    <s v="TGGC19"/>
    <s v="TGGC19"/>
    <s v="Swap"/>
    <s v="Dual-band"/>
    <n v="3"/>
    <m/>
    <m/>
    <n v="106.6766616"/>
    <n v="10.3523716"/>
    <s v="Go Cong"/>
    <s v="Month 2"/>
    <s v="Swap_L18 + L21"/>
    <s v="Outdoor"/>
    <s v="Swap_Month 2"/>
    <x v="9"/>
    <x v="37"/>
    <m/>
    <e v="#N/A"/>
    <s v="Macro"/>
    <s v="Master"/>
    <n v="2"/>
  </r>
  <r>
    <s v="Tiền Giang"/>
    <s v="TGGC20"/>
    <s v="TGGC20"/>
    <s v="Swap"/>
    <s v="Dual-band"/>
    <n v="3"/>
    <s v="New"/>
    <s v="PS mới 5G C"/>
    <n v="106.67270929999999"/>
    <n v="10.370312200000001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21"/>
    <s v="TGGC21"/>
    <s v="Swap"/>
    <s v="Dual-band"/>
    <n v="4"/>
    <s v="New"/>
    <s v="PS mới 5G C"/>
    <n v="106.67744500000001"/>
    <n v="10.357284999999999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22"/>
    <s v="TGGC22"/>
    <s v="Swap"/>
    <s v="Single-Band"/>
    <n v="3"/>
    <s v="New"/>
    <s v="PS mới 5G C"/>
    <n v="106.69309"/>
    <n v="10.423870000000001"/>
    <s v="Go Cong"/>
    <n v="0"/>
    <s v="Swap_L18 + NR 2.6 32T"/>
    <s v="Outdoor"/>
    <s v="Swap_0"/>
    <x v="9"/>
    <x v="39"/>
    <m/>
    <e v="#N/A"/>
    <s v="Macro"/>
    <m/>
    <n v="1"/>
  </r>
  <r>
    <s v="Tiền Giang"/>
    <s v="TGGC23"/>
    <s v="TGGC23"/>
    <s v="Swap"/>
    <s v="Single-Band"/>
    <n v="3"/>
    <m/>
    <m/>
    <n v="106.6422647"/>
    <n v="10.467040600000001"/>
    <s v="Go Cong"/>
    <s v="Month 2"/>
    <s v="Swap_L18"/>
    <s v="Outdoor"/>
    <s v="Swap_Month 2"/>
    <x v="9"/>
    <x v="38"/>
    <m/>
    <e v="#N/A"/>
    <s v="Macro"/>
    <m/>
    <n v="1"/>
  </r>
  <r>
    <s v="Tiền Giang"/>
    <s v="TGGC26"/>
    <s v="TGGC26"/>
    <s v="Swap"/>
    <s v="Single-Band"/>
    <n v="3"/>
    <m/>
    <m/>
    <n v="106.69407"/>
    <n v="10.36115"/>
    <s v="Go Cong"/>
    <s v="Month 2"/>
    <s v="Swap_L18"/>
    <s v="Outdoor"/>
    <s v="Swap_Month 2"/>
    <x v="9"/>
    <x v="37"/>
    <m/>
    <e v="#N/A"/>
    <s v="Macro"/>
    <m/>
    <n v="1"/>
  </r>
  <r>
    <s v="Tiền Giang"/>
    <s v="TGGC27"/>
    <s v="TGGC27"/>
    <s v="Swap"/>
    <s v="Dual-band"/>
    <n v="3"/>
    <m/>
    <m/>
    <n v="106.6524869"/>
    <n v="10.3582635"/>
    <s v="Go Cong"/>
    <s v="Month 2"/>
    <s v="Swap_L18 + L21"/>
    <s v="Outdoor"/>
    <s v="Swap_Month 2"/>
    <x v="9"/>
    <x v="37"/>
    <m/>
    <e v="#N/A"/>
    <s v="Macro"/>
    <m/>
    <n v="1"/>
  </r>
  <r>
    <s v="Tiền Giang"/>
    <s v="TGGC29"/>
    <s v="TGGC29"/>
    <s v="Swap"/>
    <s v="Dual-band"/>
    <n v="3"/>
    <m/>
    <m/>
    <n v="106.67516999999999"/>
    <n v="10.416130000000001"/>
    <s v="Go Cong"/>
    <s v="Month 2"/>
    <s v="Swap_L18 + L21"/>
    <s v="Outdoor"/>
    <s v="Swap_Month 2"/>
    <x v="9"/>
    <x v="37"/>
    <m/>
    <e v="#N/A"/>
    <s v="Macro"/>
    <m/>
    <n v="1"/>
  </r>
  <r>
    <s v="Tiền Giang"/>
    <s v="TGGC30"/>
    <s v="TGGC30"/>
    <s v="Swap"/>
    <s v="Dual-band"/>
    <n v="3"/>
    <s v="New"/>
    <s v="PS mới 5G C"/>
    <n v="106.6092397"/>
    <n v="10.436410800000001"/>
    <s v="Go Cong"/>
    <s v="Month 2"/>
    <s v="Swap_L18 + L21 + NR 2.6 32T"/>
    <s v="Outdoor"/>
    <s v="Swap_Month 2"/>
    <x v="9"/>
    <x v="38"/>
    <m/>
    <e v="#N/A"/>
    <s v="Macro"/>
    <m/>
    <n v="1"/>
  </r>
  <r>
    <s v="Tiền Giang"/>
    <s v="TGGC33"/>
    <s v="TGGC33"/>
    <s v="Swap"/>
    <s v="Dual-band"/>
    <n v="3"/>
    <s v="New"/>
    <s v="PS mới 5G C"/>
    <n v="106.67064999999999"/>
    <n v="10.35594"/>
    <s v="Go Cong"/>
    <s v="Month 2"/>
    <s v="Swap_L18 + L21 + NR 2.6 32T"/>
    <s v="Outdoor"/>
    <s v="Swap_Month 2"/>
    <x v="9"/>
    <x v="37"/>
    <m/>
    <e v="#N/A"/>
    <s v="Macro"/>
    <m/>
    <n v="1"/>
  </r>
  <r>
    <s v="Tiền Giang"/>
    <s v="TGGC05"/>
    <s v="TGGC34"/>
    <s v="Swap"/>
    <s v="Dual-band"/>
    <n v="3"/>
    <m/>
    <m/>
    <n v="106.63755"/>
    <n v="10.45654"/>
    <s v="Go Cong"/>
    <s v="Month 2"/>
    <s v="Swap_L18 + L21"/>
    <s v="Outdoor"/>
    <s v="Swap_Month 2"/>
    <x v="9"/>
    <x v="38"/>
    <m/>
    <e v="#N/A"/>
    <s v="CRAN"/>
    <s v="Sub"/>
    <n v="2"/>
  </r>
  <r>
    <s v="Tiền Giang"/>
    <s v="TGGC34"/>
    <s v="TGGC34"/>
    <s v="Swap"/>
    <s v="Single-Band"/>
    <n v="3"/>
    <s v="New"/>
    <s v="PS mới 5G C"/>
    <n v="106.64886"/>
    <n v="10.45172"/>
    <s v="Go Cong"/>
    <s v="Month 2"/>
    <s v="Swap_L18 + NR 2.6 32T"/>
    <s v="Outdoor"/>
    <s v="Swap_Month 2"/>
    <x v="9"/>
    <x v="38"/>
    <m/>
    <e v="#N/A"/>
    <s v="Macro"/>
    <s v="Master"/>
    <n v="2"/>
  </r>
  <r>
    <s v="Tiền Giang"/>
    <s v="TGGC35"/>
    <s v="TGGC35"/>
    <s v="Swap"/>
    <s v="Single-Band"/>
    <n v="3"/>
    <m/>
    <m/>
    <n v="106.654597"/>
    <n v="10.397194000000001"/>
    <s v="Go Cong"/>
    <s v="Month 2"/>
    <s v="Swap_L18"/>
    <s v="Outdoor"/>
    <s v="Swap_Month 2"/>
    <x v="9"/>
    <x v="37"/>
    <m/>
    <e v="#N/A"/>
    <s v="Macro"/>
    <m/>
    <n v="1"/>
  </r>
  <r>
    <s v="Tiền Giang"/>
    <s v="TGGD01"/>
    <s v="TGGD01"/>
    <s v="Swap"/>
    <s v="Dual-band"/>
    <n v="3"/>
    <s v="New"/>
    <s v="PS mới 5G C"/>
    <n v="106.7127539"/>
    <n v="10.319948999999999"/>
    <s v="Go Cong Dong"/>
    <s v="Month 2"/>
    <s v="Swap_L18 + L21 + NR 2.6 32T"/>
    <s v="Outdoor"/>
    <s v="Swap_Month 2"/>
    <x v="10"/>
    <x v="40"/>
    <m/>
    <e v="#N/A"/>
    <s v="Macro"/>
    <m/>
    <n v="1"/>
  </r>
  <r>
    <s v="Tiền Giang"/>
    <s v="TGGD02"/>
    <s v="TGGD02"/>
    <s v="Swap"/>
    <s v="Single-Band"/>
    <n v="3"/>
    <m/>
    <m/>
    <n v="106.72176"/>
    <n v="10.360099999999999"/>
    <s v="Go Cong Dong"/>
    <s v="Month 2"/>
    <s v="Swap_L18"/>
    <s v="Outdoor"/>
    <s v="Swap_Month 2"/>
    <x v="10"/>
    <x v="41"/>
    <m/>
    <e v="#N/A"/>
    <s v="Macro"/>
    <m/>
    <n v="1"/>
  </r>
  <r>
    <s v="Tiền Giang"/>
    <s v="TGGD05"/>
    <s v="TGGD05"/>
    <s v="Swap"/>
    <s v="Single-Band"/>
    <n v="3"/>
    <m/>
    <m/>
    <n v="106.73349"/>
    <n v="10.27725"/>
    <s v="Go Cong Dong"/>
    <s v="Month 2"/>
    <s v="Swap_L18"/>
    <s v="Outdoor"/>
    <s v="Swap_Month 2"/>
    <x v="10"/>
    <x v="40"/>
    <m/>
    <e v="#N/A"/>
    <s v="Macro"/>
    <m/>
    <n v="1"/>
  </r>
  <r>
    <s v="Tiền Giang"/>
    <s v="TGGD06"/>
    <s v="TGGD06"/>
    <s v="Swap"/>
    <s v="Single-Band"/>
    <n v="3"/>
    <s v="New"/>
    <s v="PS mới 5G C"/>
    <n v="106.77599120000001"/>
    <n v="10.288743800000001"/>
    <s v="Go Cong Dong"/>
    <s v="Month 2"/>
    <s v="Swap_L18 + NR 2.6 32T"/>
    <s v="Outdoor"/>
    <s v="Swap_Month 2"/>
    <x v="10"/>
    <x v="40"/>
    <m/>
    <e v="#N/A"/>
    <s v="Macro"/>
    <m/>
    <n v="1"/>
  </r>
  <r>
    <s v="Tiền Giang"/>
    <s v="TGGD08"/>
    <s v="TGGD08"/>
    <s v="Swap"/>
    <s v="Single-Band"/>
    <n v="3"/>
    <m/>
    <m/>
    <n v="106.7573"/>
    <n v="10.3515"/>
    <s v="Go Cong Dong"/>
    <s v="Month 2"/>
    <s v="Swap_L18 + NR 7 + L9"/>
    <s v="Outdoor"/>
    <s v="Swap_Month 2"/>
    <x v="10"/>
    <x v="41"/>
    <m/>
    <e v="#N/A"/>
    <s v="Macro"/>
    <s v="Master"/>
    <n v="2"/>
  </r>
  <r>
    <s v="Tiền Giang"/>
    <s v="TGGDX0"/>
    <s v="TGGD08"/>
    <s v="Swap"/>
    <s v="Single-Band"/>
    <n v="3"/>
    <m/>
    <m/>
    <n v="106.78039"/>
    <n v="10.358712000000001"/>
    <s v="Go Cong Dong"/>
    <s v="Month 2"/>
    <s v="Swap_L18"/>
    <s v="Outdoor"/>
    <s v="Swap_Month 2"/>
    <x v="10"/>
    <x v="41"/>
    <m/>
    <e v="#N/A"/>
    <s v="CRAN"/>
    <s v="Sub"/>
    <n v="2"/>
  </r>
  <r>
    <s v="Tiền Giang"/>
    <s v="TGGD09"/>
    <s v="TGGD09"/>
    <s v="Swap"/>
    <s v="Single-Band"/>
    <n v="3"/>
    <s v="New"/>
    <s v="PS mới 5G C"/>
    <n v="106.71036599999999"/>
    <n v="10.443583200000001"/>
    <s v="Go Cong Dong"/>
    <n v="0"/>
    <s v="Swap_L18 + NR 2.6 32T"/>
    <s v="Outdoor"/>
    <s v="Swap_0"/>
    <x v="10"/>
    <x v="39"/>
    <m/>
    <e v="#N/A"/>
    <s v="Macro"/>
    <m/>
    <n v="1"/>
  </r>
  <r>
    <s v="Tiền Giang"/>
    <s v="TGGD10"/>
    <s v="TGGD10"/>
    <s v="Swap"/>
    <s v="Dual-band"/>
    <n v="3"/>
    <s v="New"/>
    <s v="PS mới 5G C"/>
    <n v="106.71598"/>
    <n v="10.401059999999999"/>
    <s v="Go Cong Dong"/>
    <s v="Month 2"/>
    <s v="Swap_L18 + L21 + NR 2.6 32T"/>
    <s v="Outdoor"/>
    <s v="Swap_Month 2"/>
    <x v="10"/>
    <x v="41"/>
    <m/>
    <e v="#N/A"/>
    <s v="Macro"/>
    <m/>
    <n v="1"/>
  </r>
  <r>
    <s v="Tiền Giang"/>
    <s v="TGGD11"/>
    <s v="TGGD11"/>
    <s v="Swap"/>
    <s v="Single-Band"/>
    <n v="3"/>
    <m/>
    <m/>
    <n v="106.75774"/>
    <n v="10.408099999999999"/>
    <s v="Go Cong Dong"/>
    <s v="Month 2"/>
    <s v="Swap_L18"/>
    <s v="Outdoor"/>
    <s v="Swap_Month 2"/>
    <x v="10"/>
    <x v="41"/>
    <m/>
    <e v="#N/A"/>
    <s v="Macro"/>
    <s v="Master"/>
    <n v="2"/>
  </r>
  <r>
    <s v="Tiền Giang"/>
    <s v="TGGD41"/>
    <s v="TGGD11"/>
    <s v="Swap"/>
    <s v="Single-Band"/>
    <n v="3"/>
    <m/>
    <m/>
    <n v="106.7648513"/>
    <n v="10.410625"/>
    <s v="Go Cong Dong"/>
    <s v="Month 2"/>
    <s v="Swap_L18"/>
    <s v="Outdoor"/>
    <s v="Swap_Month 2"/>
    <x v="10"/>
    <x v="41"/>
    <m/>
    <e v="#N/A"/>
    <s v="CRAN"/>
    <s v="Sub"/>
    <n v="2"/>
  </r>
  <r>
    <s v="Tiền Giang"/>
    <s v="TGGD12"/>
    <s v="TGGD12"/>
    <s v="Swap"/>
    <s v="Single-Band"/>
    <n v="3"/>
    <s v="New"/>
    <s v="PS mới 5G C"/>
    <n v="106.7427193"/>
    <n v="10.3935861"/>
    <s v="Go Cong Dong"/>
    <s v="Month 2"/>
    <s v="Swap_L18 + NR 2.6 32T"/>
    <s v="Outdoor"/>
    <s v="Swap_Month 2"/>
    <x v="10"/>
    <x v="41"/>
    <m/>
    <e v="#N/A"/>
    <s v="Macro"/>
    <s v="Master"/>
    <n v="3"/>
  </r>
  <r>
    <s v="Tiền Giang"/>
    <s v="TGGD22"/>
    <s v="TGGD12"/>
    <s v="Swap"/>
    <s v="Single-Band"/>
    <n v="3"/>
    <m/>
    <m/>
    <n v="106.7610023"/>
    <n v="10.381358799999999"/>
    <s v="Go Cong Dong"/>
    <s v="Month 2"/>
    <s v="Swap_L18"/>
    <s v="Outdoor"/>
    <s v="Swap_Month 2"/>
    <x v="10"/>
    <x v="41"/>
    <m/>
    <s v="OK"/>
    <s v="CRAN"/>
    <s v="Sub"/>
    <n v="3"/>
  </r>
  <r>
    <s v="Tiền Giang"/>
    <s v="TGGD36"/>
    <s v="TGGD12"/>
    <s v="Swap"/>
    <s v="Single-Band"/>
    <n v="3"/>
    <m/>
    <m/>
    <n v="106.74520630000001"/>
    <n v="10.3961215"/>
    <s v="Go Cong Dong"/>
    <s v="Month 2"/>
    <s v="Swap_L18"/>
    <s v="Outdoor"/>
    <s v="Swap_Month 2"/>
    <x v="10"/>
    <x v="41"/>
    <m/>
    <s v="OK"/>
    <s v="CRAN"/>
    <s v="Sub"/>
    <n v="3"/>
  </r>
  <r>
    <s v="Tiền Giang"/>
    <s v="TGGD14"/>
    <s v="TGGD14"/>
    <s v="Swap"/>
    <s v="Single-Band"/>
    <n v="3"/>
    <m/>
    <m/>
    <n v="106.72858100000001"/>
    <n v="10.337308800000001"/>
    <s v="Go Cong Dong"/>
    <s v="Month 2"/>
    <s v="Swap_L18"/>
    <s v="Outdoor"/>
    <s v="Swap_Month 2"/>
    <x v="10"/>
    <x v="40"/>
    <m/>
    <e v="#N/A"/>
    <s v="Macro"/>
    <m/>
    <n v="1"/>
  </r>
  <r>
    <s v="Tiền Giang"/>
    <s v="TGGD15"/>
    <s v="TGGD15"/>
    <s v="Swap"/>
    <s v="Single-Band"/>
    <n v="3"/>
    <m/>
    <m/>
    <n v="106.73780050000001"/>
    <n v="10.358418800000001"/>
    <s v="Go Cong Dong"/>
    <s v="Month 2"/>
    <s v="Swap_L18 + NR 7 + L9"/>
    <s v="Outdoor"/>
    <s v="Swap_Month 2"/>
    <x v="10"/>
    <x v="41"/>
    <m/>
    <e v="#N/A"/>
    <s v="Macro"/>
    <m/>
    <n v="1"/>
  </r>
  <r>
    <s v="Tiền Giang"/>
    <s v="TGGD07"/>
    <s v="TGGD16"/>
    <s v="Swap"/>
    <s v="Single-Band"/>
    <n v="3"/>
    <m/>
    <m/>
    <n v="106.705789"/>
    <n v="10.292809"/>
    <s v="Go Cong Dong"/>
    <s v="Month 2"/>
    <s v="Swap_L18"/>
    <s v="Outdoor"/>
    <s v="Swap_Month 2"/>
    <x v="10"/>
    <x v="40"/>
    <m/>
    <e v="#N/A"/>
    <s v="CRAN"/>
    <s v="Sub"/>
    <n v="2"/>
  </r>
  <r>
    <s v="Tiền Giang"/>
    <s v="TGGD16"/>
    <s v="TGGD16"/>
    <s v="Swap"/>
    <s v="Single-Band"/>
    <n v="3"/>
    <s v="New"/>
    <s v="PS mới 5G C"/>
    <n v="106.7176539"/>
    <n v="10.302466000000001"/>
    <s v="Go Cong Dong"/>
    <s v="Month 2"/>
    <s v="Swap_L18 + NR 2.6 32T"/>
    <s v="Outdoor"/>
    <s v="Swap_Month 2"/>
    <x v="10"/>
    <x v="40"/>
    <m/>
    <e v="#N/A"/>
    <s v="Macro"/>
    <s v="Master"/>
    <n v="2"/>
  </r>
  <r>
    <s v="Tiền Giang"/>
    <s v="TGGD17"/>
    <s v="TGGD17"/>
    <s v="Swap"/>
    <s v="Dual-band"/>
    <n v="3"/>
    <s v="New"/>
    <s v="PS mới 5G C"/>
    <n v="106.7705996"/>
    <n v="10.4123123"/>
    <s v="Go Cong Dong"/>
    <s v="Month 2"/>
    <s v="Swap_L18 + L21 + NR 2.6 32T"/>
    <s v="Outdoor"/>
    <s v="Swap_Month 2"/>
    <x v="10"/>
    <x v="41"/>
    <m/>
    <e v="#N/A"/>
    <s v="Macro"/>
    <s v="Master"/>
    <n v="2"/>
  </r>
  <r>
    <s v="Tiền Giang"/>
    <s v="TGGD46"/>
    <s v="TGGD17"/>
    <s v="Swap"/>
    <s v="Single-Band"/>
    <n v="3"/>
    <m/>
    <m/>
    <n v="106.75818"/>
    <n v="10.42258"/>
    <s v="Go Cong Dong"/>
    <n v="0"/>
    <s v="Swap_L18"/>
    <s v="Outdoor"/>
    <s v="Swap_0"/>
    <x v="10"/>
    <x v="41"/>
    <m/>
    <e v="#N/A"/>
    <s v="CRAN"/>
    <s v="Sub"/>
    <n v="2"/>
  </r>
  <r>
    <s v="Tiền Giang"/>
    <s v="TGGD20"/>
    <s v="TGGD20"/>
    <s v="Swap"/>
    <s v="Single-Band"/>
    <n v="3"/>
    <m/>
    <m/>
    <n v="106.7061953"/>
    <n v="10.386372"/>
    <s v="Go Cong Dong"/>
    <s v="Month 2"/>
    <s v="Swap_L18"/>
    <s v="Outdoor"/>
    <s v="Swap_Month 2"/>
    <x v="10"/>
    <x v="41"/>
    <m/>
    <e v="#N/A"/>
    <s v="Macro"/>
    <m/>
    <n v="1"/>
  </r>
  <r>
    <s v="Tiền Giang"/>
    <s v="TGGD21"/>
    <s v="TGGD21"/>
    <s v="Swap"/>
    <s v="Single-Band"/>
    <n v="3"/>
    <m/>
    <m/>
    <n v="106.739469"/>
    <n v="10.370230899999999"/>
    <s v="Go Cong Dong"/>
    <s v="Month 2"/>
    <s v="Swap_L18"/>
    <s v="Outdoor"/>
    <s v="Swap_Month 2"/>
    <x v="10"/>
    <x v="41"/>
    <m/>
    <e v="#N/A"/>
    <s v="Macro"/>
    <m/>
    <n v="1"/>
  </r>
  <r>
    <s v="Tiền Giang"/>
    <s v="TGGD24"/>
    <s v="TGGD24"/>
    <s v="Swap"/>
    <s v="Single-Band"/>
    <n v="3"/>
    <m/>
    <m/>
    <n v="106.7545521"/>
    <n v="10.3386862"/>
    <s v="Go Cong Dong"/>
    <s v="Month 2"/>
    <s v="Swap_L18"/>
    <s v="Outdoor"/>
    <s v="Swap_Month 2"/>
    <x v="10"/>
    <x v="40"/>
    <m/>
    <e v="#N/A"/>
    <s v="Macro"/>
    <m/>
    <n v="1"/>
  </r>
  <r>
    <s v="Tiền Giang"/>
    <s v="TGGD27"/>
    <s v="TGGD27"/>
    <s v="Swap"/>
    <s v="Single-Band"/>
    <n v="3"/>
    <m/>
    <m/>
    <n v="106.6995196"/>
    <n v="10.4039032"/>
    <s v="Go Cong Dong"/>
    <n v="0"/>
    <s v="Swap_L18"/>
    <s v="Outdoor"/>
    <s v="Swap_0"/>
    <x v="10"/>
    <x v="39"/>
    <m/>
    <e v="#N/A"/>
    <s v="Macro"/>
    <m/>
    <n v="1"/>
  </r>
  <r>
    <s v="Tiền Giang"/>
    <s v="TGGD03"/>
    <s v="TGGD28"/>
    <s v="Swap"/>
    <s v="Single-Band"/>
    <n v="3"/>
    <m/>
    <m/>
    <n v="106.69696"/>
    <n v="10.33497"/>
    <s v="Go Cong Dong"/>
    <s v="Month 2"/>
    <s v="Swap_L18"/>
    <s v="Outdoor"/>
    <s v="Swap_Month 2"/>
    <x v="10"/>
    <x v="40"/>
    <m/>
    <e v="#N/A"/>
    <s v="CRAN"/>
    <s v="Sub"/>
    <n v="2"/>
  </r>
  <r>
    <s v="Tiền Giang"/>
    <s v="TGGD28"/>
    <s v="TGGD28"/>
    <s v="Swap"/>
    <s v="Single-Band"/>
    <n v="3"/>
    <m/>
    <m/>
    <n v="106.7115713"/>
    <n v="10.349454"/>
    <s v="Go Cong Dong"/>
    <s v="Month 2"/>
    <s v="Swap_L18"/>
    <s v="Outdoor"/>
    <s v="Swap_Month 2"/>
    <x v="10"/>
    <x v="40"/>
    <m/>
    <e v="#N/A"/>
    <s v="Macro"/>
    <s v="Master"/>
    <n v="2"/>
  </r>
  <r>
    <s v="Tiền Giang"/>
    <s v="TGGD04"/>
    <s v="TGGD30"/>
    <s v="Swap"/>
    <s v="Single-Band"/>
    <n v="3"/>
    <s v="New"/>
    <s v="PS mới 5G C"/>
    <n v="106.75063"/>
    <n v="10.317259999999999"/>
    <s v="Go Cong Dong"/>
    <s v="Month 2"/>
    <s v="Swap_L18 + NR 2.6 32T"/>
    <s v="Outdoor"/>
    <s v="Swap_Month 2"/>
    <x v="10"/>
    <x v="40"/>
    <m/>
    <s v="OK"/>
    <s v="CRAN"/>
    <s v="Sub"/>
    <n v="5"/>
  </r>
  <r>
    <s v="Tiền Giang"/>
    <s v="TGGD18"/>
    <s v="TGGD30"/>
    <s v="Swap"/>
    <s v="Single-Band"/>
    <n v="3"/>
    <m/>
    <m/>
    <n v="106.7609156"/>
    <n v="10.2765285"/>
    <s v="Go Cong Dong"/>
    <s v="Month 2"/>
    <s v="Swap_L18"/>
    <s v="Outdoor"/>
    <s v="Swap_Month 2"/>
    <x v="10"/>
    <x v="40"/>
    <m/>
    <s v="OK"/>
    <s v="CRAN"/>
    <s v="Sub"/>
    <n v="5"/>
  </r>
  <r>
    <s v="Tiền Giang"/>
    <s v="TGGD29"/>
    <s v="TGGD30"/>
    <s v="Swap"/>
    <s v="Single-Band"/>
    <n v="3"/>
    <m/>
    <m/>
    <n v="106.74311299999999"/>
    <n v="10.297205999999999"/>
    <s v="Go Cong Dong"/>
    <s v="Month 2"/>
    <s v="Swap_L18"/>
    <s v="Outdoor"/>
    <s v="Swap_Month 2"/>
    <x v="10"/>
    <x v="40"/>
    <m/>
    <e v="#N/A"/>
    <s v="CRAN"/>
    <s v="Sub"/>
    <n v="5"/>
  </r>
  <r>
    <s v="Tiền Giang"/>
    <s v="TGGD30"/>
    <s v="TGGD30"/>
    <s v="Swap"/>
    <s v="Single-Band"/>
    <n v="3"/>
    <m/>
    <m/>
    <n v="106.76405"/>
    <n v="10.30341"/>
    <s v="Go Cong Dong"/>
    <s v="Month 2"/>
    <s v="Swap_L18"/>
    <s v="Outdoor"/>
    <s v="Swap_Month 2"/>
    <x v="10"/>
    <x v="40"/>
    <m/>
    <e v="#N/A"/>
    <s v="Macro"/>
    <s v="Master"/>
    <n v="5"/>
  </r>
  <r>
    <s v="Tiền Giang"/>
    <s v="TGGD44"/>
    <s v="TGGD30"/>
    <s v="Swap"/>
    <s v="Single-Band"/>
    <n v="3"/>
    <m/>
    <m/>
    <n v="106.7793092"/>
    <n v="10.3220683"/>
    <s v="Go Cong Dong"/>
    <s v="Month 2"/>
    <s v="Swap_L18"/>
    <s v="Outdoor"/>
    <s v="Swap_Month 2"/>
    <x v="10"/>
    <x v="40"/>
    <m/>
    <e v="#N/A"/>
    <s v="CRAN"/>
    <s v="Sub"/>
    <n v="5"/>
  </r>
  <r>
    <s v="Tiền Giang"/>
    <s v="TGGD25"/>
    <s v="TGGD31"/>
    <s v="Swap"/>
    <s v="Single-Band"/>
    <n v="3"/>
    <m/>
    <m/>
    <n v="106.7131991"/>
    <n v="10.4668755"/>
    <s v="Go Cong Dong"/>
    <n v="0"/>
    <s v="Swap_L18"/>
    <s v="Outdoor"/>
    <s v="Swap_0"/>
    <x v="10"/>
    <x v="39"/>
    <m/>
    <e v="#N/A"/>
    <s v="CRAN"/>
    <s v="Sub"/>
    <n v="3"/>
  </r>
  <r>
    <s v="Tiền Giang"/>
    <s v="TGGD26"/>
    <s v="TGGD31"/>
    <s v="Swap"/>
    <s v="Single-Band"/>
    <n v="3"/>
    <m/>
    <m/>
    <n v="106.73997129999999"/>
    <n v="10.419915700000001"/>
    <s v="Go Cong Dong"/>
    <n v="0"/>
    <s v="Swap_L18"/>
    <s v="Outdoor"/>
    <s v="Swap_0"/>
    <x v="10"/>
    <x v="39"/>
    <m/>
    <s v="OK"/>
    <s v="CRAN"/>
    <s v="Sub"/>
    <n v="3"/>
  </r>
  <r>
    <s v="Tiền Giang"/>
    <s v="TGGD31"/>
    <s v="TGGD31"/>
    <s v="Swap"/>
    <s v="Single-Band"/>
    <n v="3"/>
    <s v="New"/>
    <s v="PS mới 5G C"/>
    <n v="106.7170308"/>
    <n v="10.423196900000001"/>
    <s v="Go Cong Dong"/>
    <n v="0"/>
    <s v="Swap_L18 + NR 2.6 32T"/>
    <s v="Outdoor"/>
    <s v="Swap_0"/>
    <x v="10"/>
    <x v="39"/>
    <m/>
    <e v="#N/A"/>
    <s v="Macro"/>
    <s v="Master"/>
    <n v="3"/>
  </r>
  <r>
    <s v="Tiền Giang"/>
    <s v="TGGD32"/>
    <s v="TGGD32"/>
    <s v="Swap"/>
    <s v="Dual-band"/>
    <n v="3"/>
    <s v="New"/>
    <s v="PS mới 5G C"/>
    <n v="106.72844499999999"/>
    <n v="10.4423482"/>
    <s v="Go Cong Dong"/>
    <n v="0"/>
    <s v="Swap_L18 + L21 + NR 2.6 32T"/>
    <s v="Outdoor"/>
    <s v="Swap_0"/>
    <x v="10"/>
    <x v="39"/>
    <m/>
    <e v="#N/A"/>
    <s v="Macro"/>
    <m/>
    <n v="1"/>
  </r>
  <r>
    <s v="Tiền Giang"/>
    <s v="TGGD34"/>
    <s v="TGGD34"/>
    <s v="Swap"/>
    <s v="Single-Band"/>
    <n v="3"/>
    <m/>
    <m/>
    <n v="106.7307359"/>
    <n v="10.3181639"/>
    <s v="Go Cong Dong"/>
    <s v="Month 2"/>
    <s v="Swap_L18"/>
    <s v="Outdoor"/>
    <s v="Swap_Month 2"/>
    <x v="10"/>
    <x v="40"/>
    <m/>
    <e v="#N/A"/>
    <s v="Macro"/>
    <m/>
    <n v="1"/>
  </r>
  <r>
    <s v="Tiền Giang"/>
    <s v="TGGD35"/>
    <s v="TGGD35"/>
    <s v="Swap"/>
    <s v="Single-Band"/>
    <n v="3"/>
    <m/>
    <m/>
    <n v="106.749325"/>
    <n v="10.272679"/>
    <s v="Go Cong Dong"/>
    <s v="Month 2"/>
    <s v="Swap_L18"/>
    <s v="Outdoor"/>
    <s v="Swap_Month 2"/>
    <x v="10"/>
    <x v="40"/>
    <m/>
    <e v="#N/A"/>
    <s v="Macro"/>
    <m/>
    <n v="1"/>
  </r>
  <r>
    <s v="Tiền Giang"/>
    <s v="TGGD13"/>
    <s v="TGGD37"/>
    <s v="Swap"/>
    <s v="Single-Band"/>
    <n v="3"/>
    <m/>
    <m/>
    <n v="106.6877253"/>
    <n v="10.312784199999999"/>
    <s v="Go Cong Dong"/>
    <s v="Month 2"/>
    <s v="Swap_L18"/>
    <s v="Outdoor"/>
    <s v="Swap_Month 2"/>
    <x v="10"/>
    <x v="40"/>
    <m/>
    <s v="OK"/>
    <s v="CRAN"/>
    <s v="Sub"/>
    <n v="3"/>
  </r>
  <r>
    <s v="Tiền Giang"/>
    <s v="TGGD33"/>
    <s v="TGGD37"/>
    <s v="Swap"/>
    <s v="Single-Band"/>
    <n v="3"/>
    <m/>
    <m/>
    <n v="106.70901550000001"/>
    <n v="10.3144011"/>
    <s v="Go Cong Dong"/>
    <s v="Month 2"/>
    <s v="Swap_L18"/>
    <s v="Outdoor"/>
    <s v="Swap_Month 2"/>
    <x v="10"/>
    <x v="40"/>
    <m/>
    <e v="#N/A"/>
    <s v="CRAN"/>
    <s v="Sub"/>
    <n v="3"/>
  </r>
  <r>
    <s v="Tiền Giang"/>
    <s v="TGGD37"/>
    <s v="TGGD37"/>
    <s v="Swap"/>
    <s v="Single-Band"/>
    <n v="3"/>
    <m/>
    <m/>
    <n v="106.703576"/>
    <n v="10.322753000000001"/>
    <s v="Go Cong Dong"/>
    <s v="Month 2"/>
    <s v="Swap_L18"/>
    <s v="Outdoor"/>
    <s v="Swap_Month 2"/>
    <x v="10"/>
    <x v="40"/>
    <m/>
    <e v="#N/A"/>
    <s v="Macro"/>
    <s v="Master"/>
    <n v="3"/>
  </r>
  <r>
    <s v="Tiền Giang"/>
    <s v="TGGD38"/>
    <s v="TGGD38"/>
    <s v="Swap"/>
    <s v="Single-Band"/>
    <n v="3"/>
    <m/>
    <m/>
    <n v="106.728323"/>
    <n v="10.394338299999999"/>
    <s v="Go Cong Dong"/>
    <s v="Month 2"/>
    <s v="Swap_L18"/>
    <s v="Outdoor"/>
    <s v="Swap_Month 2"/>
    <x v="10"/>
    <x v="41"/>
    <m/>
    <e v="#N/A"/>
    <s v="Macro"/>
    <m/>
    <n v="1"/>
  </r>
  <r>
    <s v="Tiền Giang"/>
    <s v="TGGD42"/>
    <s v="TGGD42"/>
    <s v="Swap"/>
    <s v="Single-Band"/>
    <n v="3"/>
    <m/>
    <m/>
    <n v="106.72077"/>
    <n v="10.37716"/>
    <s v="Go Cong Dong"/>
    <s v="Month 2"/>
    <s v="Swap_L18"/>
    <s v="Outdoor"/>
    <s v="Swap_Month 2"/>
    <x v="10"/>
    <x v="41"/>
    <m/>
    <e v="#N/A"/>
    <s v="Macro"/>
    <m/>
    <n v="1"/>
  </r>
  <r>
    <s v="Tiền Giang"/>
    <s v="TGGD47"/>
    <s v="TGGD47"/>
    <s v="Swap"/>
    <s v="Single-Band"/>
    <n v="3"/>
    <m/>
    <m/>
    <n v="106.76036000000001"/>
    <n v="10.366400000000001"/>
    <s v="Go Cong Dong"/>
    <s v="Month 2"/>
    <s v="Swap_L18"/>
    <s v="Outdoor"/>
    <s v="Swap_Month 2"/>
    <x v="10"/>
    <x v="41"/>
    <m/>
    <e v="#N/A"/>
    <s v="Macro"/>
    <m/>
    <n v="1"/>
  </r>
  <r>
    <s v="Tiền Giang"/>
    <s v="TGGD49"/>
    <s v="TGGD49"/>
    <s v="Swap"/>
    <s v="Dual-band"/>
    <n v="3"/>
    <s v="New"/>
    <s v="PS mới 5G C"/>
    <n v="106.7450893"/>
    <n v="10.447417700000001"/>
    <s v="Go Cong Dong"/>
    <n v="0"/>
    <s v="Swap_L18 + L21 + NR 2.6 32T"/>
    <s v="Outdoor"/>
    <s v="Swap_0"/>
    <x v="10"/>
    <x v="39"/>
    <m/>
    <e v="#N/A"/>
    <s v="Macro"/>
    <m/>
    <n v="1"/>
  </r>
  <r>
    <s v="Tiền Giang"/>
    <s v="TGGD50"/>
    <s v="TGGD50"/>
    <s v="Swap"/>
    <s v="Single-Band"/>
    <n v="3"/>
    <m/>
    <m/>
    <n v="106.76622"/>
    <n v="10.290158999999999"/>
    <s v="Go Cong Dong"/>
    <s v="Month 2"/>
    <s v="Swap_L18"/>
    <s v="Outdoor"/>
    <s v="Swap_Month 2"/>
    <x v="2"/>
    <x v="40"/>
    <m/>
    <e v="#N/A"/>
    <s v="Macro"/>
    <m/>
    <n v="1"/>
  </r>
  <r>
    <s v="Tiền Giang"/>
    <s v="TGGD51"/>
    <s v="TGGD51"/>
    <s v="Swap"/>
    <s v="Single-Band"/>
    <n v="3"/>
    <m/>
    <m/>
    <n v="106.74666000000001"/>
    <n v="10.382621"/>
    <s v="Go Cong Dong"/>
    <s v="Month 2"/>
    <s v="Swap_L18"/>
    <s v="Outdoor"/>
    <s v="Swap_Month 2"/>
    <x v="10"/>
    <x v="41"/>
    <m/>
    <e v="#N/A"/>
    <s v="Macro"/>
    <m/>
    <n v="1"/>
  </r>
  <r>
    <s v="Tiền Giang"/>
    <s v="TGGD52"/>
    <s v="TGGD52"/>
    <s v="Swap"/>
    <s v="Single-Band"/>
    <n v="3"/>
    <m/>
    <m/>
    <n v="106.74034"/>
    <n v="10.404714999999999"/>
    <s v="Go Cong Dong"/>
    <s v="Month 2"/>
    <s v="Swap_L18"/>
    <s v="Outdoor"/>
    <s v="Swap_Month 2"/>
    <x v="10"/>
    <x v="39"/>
    <m/>
    <e v="#N/A"/>
    <s v="Macro"/>
    <m/>
    <n v="1"/>
  </r>
  <r>
    <s v="Tiền Giang"/>
    <s v="TGGD53"/>
    <s v="TGGD53"/>
    <s v="Swap"/>
    <s v="Single-Band"/>
    <n v="3"/>
    <m/>
    <m/>
    <n v="106.72091"/>
    <n v="10.45871"/>
    <s v="Go Cong Dong"/>
    <n v="0"/>
    <s v="Swap_L18"/>
    <s v="Outdoor"/>
    <s v="Swap_0"/>
    <x v="10"/>
    <x v="39"/>
    <m/>
    <e v="#N/A"/>
    <s v="Macro"/>
    <m/>
    <n v="1"/>
  </r>
  <r>
    <s v="Tiền Giang"/>
    <s v="TGGT01"/>
    <s v="TGGT01"/>
    <s v="Swap"/>
    <s v="Dual-band"/>
    <n v="3"/>
    <s v="New"/>
    <s v="PS mới 5G C"/>
    <n v="106.58063"/>
    <n v="10.34451"/>
    <s v="Go Cong Tay"/>
    <s v="Month 2"/>
    <s v="Swap_L18 + L21 + NR 2.6 32T"/>
    <s v="Outdoor"/>
    <s v="Swap_Month 2"/>
    <x v="11"/>
    <x v="42"/>
    <m/>
    <e v="#N/A"/>
    <s v="Macro"/>
    <m/>
    <n v="1"/>
  </r>
  <r>
    <s v="Tiền Giang"/>
    <s v="TGGT02"/>
    <s v="TGGT02"/>
    <s v="Swap"/>
    <s v="Single-Band"/>
    <n v="3"/>
    <m/>
    <m/>
    <n v="106.64551"/>
    <n v="10.357810000000001"/>
    <s v="Go Cong Tay"/>
    <s v="Month 2"/>
    <s v="Swap_L18"/>
    <s v="Outdoor"/>
    <s v="Swap_Month 2"/>
    <x v="11"/>
    <x v="43"/>
    <m/>
    <e v="#N/A"/>
    <s v="Macro"/>
    <m/>
    <n v="1"/>
  </r>
  <r>
    <s v="Tiền Giang"/>
    <s v="TGGT03"/>
    <s v="TGGT03"/>
    <s v="Swap"/>
    <s v="Single-Band"/>
    <n v="3"/>
    <s v="New"/>
    <s v="PS mới 5G C"/>
    <n v="106.59724"/>
    <n v="10.403169999999999"/>
    <s v="Go Cong Tay"/>
    <s v="Month 2"/>
    <s v="Swap_L18 + NR 2.6 32T"/>
    <s v="Outdoor"/>
    <s v="Swap_Month 2"/>
    <x v="11"/>
    <x v="38"/>
    <m/>
    <e v="#N/A"/>
    <s v="Macro"/>
    <m/>
    <n v="1"/>
  </r>
  <r>
    <s v="Tiền Giang"/>
    <s v="TGGT04"/>
    <s v="TGGT04"/>
    <s v="Swap"/>
    <s v="Dual-band"/>
    <n v="3"/>
    <s v="New"/>
    <s v="PS mới 5G C"/>
    <n v="106.65952"/>
    <n v="10.33029"/>
    <s v="Go Cong Tay"/>
    <s v="Month 2"/>
    <s v="Swap_L18 + L21 + NR 7 + L9"/>
    <s v="Outdoor"/>
    <s v="Swap_Month 2"/>
    <x v="11"/>
    <x v="42"/>
    <m/>
    <e v="#N/A"/>
    <s v="Macro"/>
    <m/>
    <n v="1"/>
  </r>
  <r>
    <s v="Tiền Giang"/>
    <s v="TGGT05"/>
    <s v="TGGT05"/>
    <s v="Swap"/>
    <s v="Dual-band"/>
    <n v="3"/>
    <s v="New"/>
    <s v="PS mới 5G C"/>
    <n v="106.65164"/>
    <n v="10.31132"/>
    <s v="Go Cong Tay"/>
    <s v="Month 2"/>
    <s v="Swap_L18 + L21 + NR 7 + L9"/>
    <s v="Outdoor"/>
    <s v="Swap_Month 2"/>
    <x v="11"/>
    <x v="42"/>
    <m/>
    <e v="#N/A"/>
    <s v="Macro"/>
    <m/>
    <n v="1"/>
  </r>
  <r>
    <s v="Tiền Giang"/>
    <s v="TGGT06"/>
    <s v="TGGT06"/>
    <s v="Swap"/>
    <s v="Dual-band"/>
    <n v="4"/>
    <s v="New"/>
    <s v="PS mới 5G C"/>
    <n v="106.57655"/>
    <n v="10.394349999999999"/>
    <s v="Go Cong Tay"/>
    <s v="Month 2"/>
    <s v="Swap_L18 + L21 + NR 2.6 32T"/>
    <s v="Outdoor"/>
    <s v="Swap_Month 2"/>
    <x v="11"/>
    <x v="38"/>
    <m/>
    <e v="#N/A"/>
    <s v="Macro"/>
    <m/>
    <n v="1"/>
  </r>
  <r>
    <s v="Tiền Giang"/>
    <s v="TGGT07"/>
    <s v="TGGT07"/>
    <s v="Swap"/>
    <s v="Single-Band"/>
    <n v="3"/>
    <s v="New"/>
    <s v="PS mới 5G C"/>
    <n v="106.62607"/>
    <n v="10.30077"/>
    <s v="Go Cong Tay"/>
    <s v="Month 2"/>
    <s v="Swap_L18 + NR 2.6 32T"/>
    <s v="Outdoor"/>
    <s v="Swap_Month 2"/>
    <x v="11"/>
    <x v="42"/>
    <m/>
    <e v="#N/A"/>
    <s v="Macro"/>
    <m/>
    <n v="1"/>
  </r>
  <r>
    <s v="Tiền Giang"/>
    <s v="TGGT08"/>
    <s v="TGGT08"/>
    <s v="Swap"/>
    <s v="Single-Band"/>
    <n v="3"/>
    <m/>
    <m/>
    <n v="106.61160630000001"/>
    <n v="10.317372799999999"/>
    <s v="Go Cong Tay"/>
    <s v="Month 2"/>
    <s v="Swap_L18"/>
    <s v="Outdoor"/>
    <s v="Swap_Month 2"/>
    <x v="11"/>
    <x v="42"/>
    <m/>
    <e v="#N/A"/>
    <s v="Macro"/>
    <s v="Master"/>
    <n v="2"/>
  </r>
  <r>
    <s v="Tiền Giang"/>
    <s v="TGGT21"/>
    <s v="TGGT08"/>
    <s v="Swap"/>
    <s v="Single-Band"/>
    <n v="3"/>
    <m/>
    <m/>
    <n v="106.59220999999999"/>
    <n v="10.30621"/>
    <s v="Go Cong Tay"/>
    <s v="Month 2"/>
    <s v="Swap_L18"/>
    <s v="Outdoor"/>
    <s v="Swap_Month 2"/>
    <x v="11"/>
    <x v="42"/>
    <m/>
    <e v="#N/A"/>
    <s v="CRAN"/>
    <s v="Sub"/>
    <n v="2"/>
  </r>
  <r>
    <s v="Tiền Giang"/>
    <s v="TGGT09"/>
    <s v="TGGT09"/>
    <s v="Swap"/>
    <s v="Single-Band"/>
    <n v="3"/>
    <m/>
    <m/>
    <n v="106.63276"/>
    <n v="10.380649999999999"/>
    <s v="Go Cong Tay"/>
    <s v="Month 2"/>
    <s v="Swap_L18"/>
    <s v="Outdoor"/>
    <s v="Swap_Month 2"/>
    <x v="11"/>
    <x v="43"/>
    <m/>
    <e v="#N/A"/>
    <s v="Macro"/>
    <m/>
    <n v="1"/>
  </r>
  <r>
    <s v="Tiền Giang"/>
    <s v="TGGT10"/>
    <s v="TGGT10"/>
    <s v="Swap"/>
    <s v="Dual-band"/>
    <n v="3"/>
    <m/>
    <m/>
    <n v="106.52986"/>
    <n v="10.35721"/>
    <s v="Go Cong Tay"/>
    <s v="Month 2"/>
    <s v="Swap_L18 + L21"/>
    <s v="Outdoor"/>
    <s v="Swap_Month 2"/>
    <x v="11"/>
    <x v="43"/>
    <m/>
    <e v="#N/A"/>
    <s v="Macro"/>
    <m/>
    <n v="1"/>
  </r>
  <r>
    <s v="Tiền Giang"/>
    <s v="TGGT13"/>
    <s v="TGGT13"/>
    <s v="Swap"/>
    <s v="Dual-band"/>
    <n v="4"/>
    <s v="New"/>
    <s v="PS mới 5G C"/>
    <n v="106.5278"/>
    <n v="10.41314"/>
    <s v="Go Cong Tay"/>
    <s v="Month 2"/>
    <s v="Swap_L18 + L21 + NR 2.6 32T"/>
    <s v="Outdoor"/>
    <s v="Swap_Month 2"/>
    <x v="11"/>
    <x v="38"/>
    <m/>
    <e v="#N/A"/>
    <s v="Macro"/>
    <m/>
    <n v="1"/>
  </r>
  <r>
    <s v="Tiền Giang"/>
    <s v="TGGT14"/>
    <s v="TGGT14"/>
    <s v="Swap"/>
    <s v="Single-Band"/>
    <n v="3"/>
    <m/>
    <m/>
    <n v="106.5862616"/>
    <n v="10.324335700000001"/>
    <s v="Go Cong Tay"/>
    <s v="Month 2"/>
    <s v="Swap_L18"/>
    <s v="Outdoor"/>
    <s v="Swap_Month 2"/>
    <x v="11"/>
    <x v="42"/>
    <m/>
    <e v="#N/A"/>
    <s v="Macro"/>
    <m/>
    <n v="1"/>
  </r>
  <r>
    <s v="Tiền Giang"/>
    <s v="TGGT15"/>
    <s v="TGGT15"/>
    <s v="Swap"/>
    <s v="Dual-band"/>
    <n v="3"/>
    <s v="New"/>
    <s v="PS mới 5G C"/>
    <n v="106.57648"/>
    <n v="10.35876"/>
    <s v="Go Cong Tay"/>
    <s v="Month 2"/>
    <s v="Swap_L18 + L21 + NR 2.6 32T"/>
    <s v="Outdoor"/>
    <s v="Swap_Month 2"/>
    <x v="11"/>
    <x v="43"/>
    <m/>
    <e v="#N/A"/>
    <s v="Macro"/>
    <m/>
    <n v="1"/>
  </r>
  <r>
    <s v="Tiền Giang"/>
    <s v="TGGT17"/>
    <s v="TGGT17"/>
    <s v="Swap"/>
    <s v="Dual-band"/>
    <n v="3"/>
    <s v="New"/>
    <s v="PS mới 5G C"/>
    <n v="106.55189"/>
    <n v="10.35467"/>
    <s v="Go Cong Tay"/>
    <s v="Month 2"/>
    <s v="Swap_L18 + L21 + NR 2.6 32T"/>
    <s v="Outdoor"/>
    <s v="Swap_Month 2"/>
    <x v="11"/>
    <x v="43"/>
    <m/>
    <e v="#N/A"/>
    <s v="Macro"/>
    <m/>
    <n v="1"/>
  </r>
  <r>
    <s v="Tiền Giang"/>
    <s v="TGGT18"/>
    <s v="TGGT18"/>
    <s v="Swap"/>
    <s v="Single-Band"/>
    <n v="3"/>
    <m/>
    <m/>
    <n v="106.55931"/>
    <n v="10.372859999999999"/>
    <s v="Go Cong Tay"/>
    <s v="Month 2"/>
    <s v="Swap_L18"/>
    <s v="Outdoor"/>
    <s v="Swap_Month 2"/>
    <x v="11"/>
    <x v="43"/>
    <m/>
    <e v="#N/A"/>
    <s v="Macro"/>
    <s v="Master"/>
    <n v="3"/>
  </r>
  <r>
    <s v="Tiền Giang"/>
    <s v="TGGT43"/>
    <s v="TGGT18"/>
    <s v="Swap"/>
    <s v="Single-Band"/>
    <n v="3"/>
    <m/>
    <m/>
    <n v="106.55177999999999"/>
    <n v="10.39123"/>
    <s v="Go Cong Tay"/>
    <s v="Month 2"/>
    <s v="Swap_L18"/>
    <s v="Outdoor"/>
    <s v="Swap_Month 2"/>
    <x v="11"/>
    <x v="38"/>
    <m/>
    <s v="OK"/>
    <s v="CRAN"/>
    <s v="Sub"/>
    <n v="3"/>
  </r>
  <r>
    <s v="Tiền Giang"/>
    <s v="TGGT44"/>
    <s v="TGGT18"/>
    <s v="Swap"/>
    <s v="Single-Band"/>
    <n v="3"/>
    <m/>
    <m/>
    <n v="106.54008"/>
    <n v="10.37172"/>
    <s v="Go Cong Tay"/>
    <s v="Month 2"/>
    <s v="Swap_L18 + NR 7 + L9"/>
    <s v="Outdoor"/>
    <s v="Swap_Month 2"/>
    <x v="11"/>
    <x v="43"/>
    <m/>
    <e v="#N/A"/>
    <s v="CRAN"/>
    <s v="Sub"/>
    <n v="3"/>
  </r>
  <r>
    <s v="Tiền Giang"/>
    <s v="TGGT19"/>
    <s v="TGGT19"/>
    <s v="Swap"/>
    <s v="Single-Band"/>
    <n v="3"/>
    <m/>
    <m/>
    <n v="106.60927"/>
    <n v="10.385669999999999"/>
    <s v="Go Cong Tay"/>
    <s v="Month 2"/>
    <s v="Swap_L18"/>
    <s v="Outdoor"/>
    <s v="Swap_Month 2"/>
    <x v="11"/>
    <x v="38"/>
    <m/>
    <e v="#N/A"/>
    <s v="Macro"/>
    <s v="Master"/>
    <n v="3"/>
  </r>
  <r>
    <s v="Tiền Giang"/>
    <s v="TGGT42"/>
    <s v="TGGT19"/>
    <s v="Swap"/>
    <s v="Single-Band"/>
    <n v="3"/>
    <m/>
    <m/>
    <n v="106.61684"/>
    <n v="10.396380000000001"/>
    <s v="Go Cong Tay"/>
    <s v="Month 2"/>
    <s v="Swap_L18"/>
    <s v="Outdoor"/>
    <s v="Swap_Month 2"/>
    <x v="11"/>
    <x v="38"/>
    <m/>
    <e v="#N/A"/>
    <s v="CRAN"/>
    <s v="Sub"/>
    <n v="3"/>
  </r>
  <r>
    <s v="Tiền Giang"/>
    <s v="TGGT48"/>
    <s v="TGGT19"/>
    <s v="Swap"/>
    <s v="Single-Band"/>
    <n v="3"/>
    <m/>
    <m/>
    <n v="106.59217"/>
    <n v="10.38883"/>
    <s v="Go Cong Tay"/>
    <s v="Month 2"/>
    <s v="Swap_L18"/>
    <s v="Outdoor"/>
    <s v="Swap_Month 2"/>
    <x v="11"/>
    <x v="38"/>
    <m/>
    <e v="#N/A"/>
    <s v="CRAN"/>
    <s v="Sub"/>
    <n v="3"/>
  </r>
  <r>
    <s v="Tiền Giang"/>
    <s v="TGGT20"/>
    <s v="TGGT20"/>
    <s v="Swap"/>
    <s v="Single-Band"/>
    <n v="3"/>
    <m/>
    <m/>
    <n v="106.5561"/>
    <n v="10.33658"/>
    <s v="Go Cong Tay"/>
    <s v="Month 2"/>
    <s v="Swap_L18"/>
    <s v="Outdoor"/>
    <s v="Swap_Month 2"/>
    <x v="11"/>
    <x v="42"/>
    <m/>
    <e v="#N/A"/>
    <s v="Macro"/>
    <s v="Master"/>
    <n v="3"/>
  </r>
  <r>
    <s v="Tiền Giang"/>
    <s v="TGGT29"/>
    <s v="TGGT20"/>
    <s v="Swap"/>
    <s v="Single-Band"/>
    <n v="3"/>
    <m/>
    <m/>
    <n v="106.56469"/>
    <n v="10.31648"/>
    <s v="Go Cong Tay"/>
    <s v="Month 2"/>
    <s v="Swap_L18"/>
    <s v="Outdoor"/>
    <s v="Swap_Month 2"/>
    <x v="11"/>
    <x v="42"/>
    <m/>
    <e v="#N/A"/>
    <s v="CRAN"/>
    <s v="Sub"/>
    <n v="3"/>
  </r>
  <r>
    <s v="Tiền Giang"/>
    <s v="TGGT45"/>
    <s v="TGGT20"/>
    <s v="Swap"/>
    <s v="Single-Band"/>
    <n v="3"/>
    <m/>
    <m/>
    <n v="106.56874999999999"/>
    <n v="10.343859999999999"/>
    <s v="Go Cong Tay"/>
    <s v="Month 2"/>
    <s v="Swap_L18"/>
    <s v="Outdoor"/>
    <s v="Swap_Month 2"/>
    <x v="11"/>
    <x v="42"/>
    <m/>
    <e v="#N/A"/>
    <s v="CRAN"/>
    <s v="Sub"/>
    <n v="3"/>
  </r>
  <r>
    <s v="Tiền Giang"/>
    <s v="TGGT22"/>
    <s v="TGGT22"/>
    <s v="Swap"/>
    <s v="Single-Band"/>
    <n v="3"/>
    <m/>
    <m/>
    <n v="106.64394"/>
    <n v="10.34174"/>
    <s v="Go Cong Tay"/>
    <s v="Month 2"/>
    <s v="Swap_L18"/>
    <s v="Outdoor"/>
    <s v="Swap_Month 2"/>
    <x v="11"/>
    <x v="42"/>
    <m/>
    <e v="#N/A"/>
    <s v="Macro"/>
    <m/>
    <n v="1"/>
  </r>
  <r>
    <s v="Tiền Giang"/>
    <s v="TGGT23"/>
    <s v="TGGT23"/>
    <s v="Swap"/>
    <s v="Single-Band"/>
    <n v="3"/>
    <m/>
    <m/>
    <n v="106.62069"/>
    <n v="10.33789"/>
    <s v="Go Cong Tay"/>
    <s v="Month 2"/>
    <s v="Swap_L18"/>
    <s v="Outdoor"/>
    <s v="Swap_Month 2"/>
    <x v="11"/>
    <x v="42"/>
    <m/>
    <e v="#N/A"/>
    <s v="Macro"/>
    <s v="Master"/>
    <n v="2"/>
  </r>
  <r>
    <s v="Tiền Giang"/>
    <s v="TGGT25"/>
    <s v="TGGT23"/>
    <s v="Swap"/>
    <s v="Single-Band"/>
    <n v="3"/>
    <m/>
    <m/>
    <n v="106.59734"/>
    <n v="10.343389999999999"/>
    <s v="Go Cong Tay"/>
    <s v="Month 2"/>
    <s v="Swap_L18"/>
    <s v="Outdoor"/>
    <s v="Swap_Month 2"/>
    <x v="11"/>
    <x v="42"/>
    <m/>
    <e v="#N/A"/>
    <s v="CRAN"/>
    <s v="Sub"/>
    <n v="2"/>
  </r>
  <r>
    <s v="Tiền Giang"/>
    <s v="TGGT24"/>
    <s v="TGGT24"/>
    <s v="Swap"/>
    <s v="Single-Band"/>
    <n v="3"/>
    <m/>
    <m/>
    <n v="106.65337"/>
    <n v="10.29161"/>
    <s v="Go Cong Tay"/>
    <s v="Month 2"/>
    <s v="Swap_L18"/>
    <s v="Outdoor"/>
    <s v="Swap_Month 2"/>
    <x v="11"/>
    <x v="42"/>
    <m/>
    <e v="#N/A"/>
    <s v="Macro"/>
    <m/>
    <n v="1"/>
  </r>
  <r>
    <s v="Tiền Giang"/>
    <s v="TGGT26"/>
    <s v="TGGT26"/>
    <s v="Swap"/>
    <s v="Single-Band"/>
    <n v="3"/>
    <m/>
    <m/>
    <n v="106.59643"/>
    <n v="10.373430000000001"/>
    <s v="Go Cong Tay"/>
    <s v="Month 2"/>
    <s v="Swap_L18"/>
    <s v="Outdoor"/>
    <s v="Swap_Month 2"/>
    <x v="11"/>
    <x v="43"/>
    <m/>
    <e v="#N/A"/>
    <s v="Macro"/>
    <m/>
    <n v="1"/>
  </r>
  <r>
    <s v="Tiền Giang"/>
    <s v="TGGT27"/>
    <s v="TGGT27"/>
    <s v="Swap"/>
    <s v="Single-Band"/>
    <n v="3"/>
    <m/>
    <m/>
    <n v="106.6335729"/>
    <n v="10.318162299999999"/>
    <s v="Go Cong Tay"/>
    <s v="Month 2"/>
    <s v="Swap_L18"/>
    <s v="Outdoor"/>
    <s v="Swap_Month 2"/>
    <x v="11"/>
    <x v="42"/>
    <m/>
    <e v="#N/A"/>
    <s v="Macro"/>
    <m/>
    <n v="1"/>
  </r>
  <r>
    <s v="Tiền Giang"/>
    <s v="TGCG61"/>
    <s v="TGGT28"/>
    <s v="Swap"/>
    <s v="Single-Band"/>
    <n v="3"/>
    <m/>
    <m/>
    <n v="106.55119999999999"/>
    <n v="10.317500000000001"/>
    <s v="Cho Gao"/>
    <s v="Month 2"/>
    <s v="Swap_L18"/>
    <s v="Outdoor"/>
    <s v="Swap_Month 2"/>
    <x v="3"/>
    <x v="21"/>
    <m/>
    <e v="#N/A"/>
    <s v="CRAN"/>
    <s v="Sub"/>
    <n v="3"/>
  </r>
  <r>
    <s v="Tiền Giang"/>
    <s v="TGGT12"/>
    <s v="TGGT28"/>
    <s v="Swap"/>
    <s v="Single-Band"/>
    <n v="3"/>
    <m/>
    <m/>
    <n v="106.57035999999999"/>
    <n v="10.29616"/>
    <s v="Go Cong Tay"/>
    <s v="Month 2"/>
    <s v="Swap_L18"/>
    <s v="Outdoor"/>
    <s v="Swap_Month 2"/>
    <x v="11"/>
    <x v="42"/>
    <m/>
    <s v="OK"/>
    <s v="CRAN"/>
    <s v="Sub"/>
    <n v="3"/>
  </r>
  <r>
    <s v="Tiền Giang"/>
    <s v="TGGT28"/>
    <s v="TGGT28"/>
    <s v="Swap"/>
    <s v="Single-Band"/>
    <n v="3"/>
    <m/>
    <m/>
    <n v="106.5504632"/>
    <n v="10.3006606"/>
    <s v="Go Cong Tay"/>
    <s v="Month 2"/>
    <s v="Swap_L18"/>
    <s v="Outdoor"/>
    <s v="Swap_Month 2"/>
    <x v="11"/>
    <x v="42"/>
    <m/>
    <e v="#N/A"/>
    <s v="Macro"/>
    <s v="Master"/>
    <n v="3"/>
  </r>
  <r>
    <s v="Tiền Giang"/>
    <s v="TGGT30"/>
    <s v="TGGT30"/>
    <s v="Swap"/>
    <s v="Dual-band"/>
    <n v="3"/>
    <s v="New"/>
    <s v="PS mới 5G C"/>
    <n v="106.57087"/>
    <n v="10.40936"/>
    <s v="Go Cong Tay"/>
    <s v="Month 2"/>
    <s v="Swap_L18 + L21 + NR 2.6 32T"/>
    <s v="Outdoor"/>
    <s v="Swap_Month 2"/>
    <x v="11"/>
    <x v="38"/>
    <m/>
    <e v="#N/A"/>
    <s v="Macro"/>
    <m/>
    <n v="1"/>
  </r>
  <r>
    <s v="Tiền Giang"/>
    <s v="TGGT31"/>
    <s v="TGGT31"/>
    <s v="Swap"/>
    <s v="Dual-band"/>
    <n v="3"/>
    <s v="New"/>
    <s v="PS mới 5G C"/>
    <n v="106.59022"/>
    <n v="10.422029999999999"/>
    <s v="Go Cong Tay"/>
    <s v="Month 2"/>
    <s v="Swap_L18 + L21 + NR 2.6 32T"/>
    <s v="Outdoor"/>
    <s v="Swap_Month 2"/>
    <x v="11"/>
    <x v="38"/>
    <m/>
    <e v="#N/A"/>
    <s v="Macro"/>
    <m/>
    <n v="1"/>
  </r>
  <r>
    <s v="Tiền Giang"/>
    <s v="TGGT32"/>
    <s v="TGGT32"/>
    <s v="Swap"/>
    <s v="Single-Band"/>
    <n v="3"/>
    <m/>
    <m/>
    <n v="106.67794000000001"/>
    <n v="10.335610000000001"/>
    <s v="Go Cong Tay"/>
    <s v="Month 2"/>
    <s v="Swap_L18"/>
    <s v="Outdoor"/>
    <s v="Swap_Month 2"/>
    <x v="11"/>
    <x v="42"/>
    <m/>
    <e v="#N/A"/>
    <s v="Macro"/>
    <m/>
    <n v="1"/>
  </r>
  <r>
    <s v="Tiền Giang"/>
    <s v="TGGT33"/>
    <s v="TGGT33"/>
    <s v="Swap"/>
    <s v="Dual-band"/>
    <n v="3"/>
    <s v="New"/>
    <s v="PS mới 5G C"/>
    <n v="106.54949999999999"/>
    <n v="10.4116"/>
    <s v="Go Cong Tay"/>
    <s v="Month 2"/>
    <s v="Swap_L18 + L21 + NR 2.6 32T"/>
    <s v="Outdoor"/>
    <s v="Swap_Month 2"/>
    <x v="11"/>
    <x v="38"/>
    <m/>
    <e v="#N/A"/>
    <s v="Macro"/>
    <m/>
    <n v="1"/>
  </r>
  <r>
    <s v="Tiền Giang"/>
    <s v="TGGT36"/>
    <s v="TGGT36"/>
    <s v="Swap"/>
    <s v="Single-Band"/>
    <n v="3"/>
    <m/>
    <m/>
    <n v="106.564673"/>
    <n v="10.357923"/>
    <s v="Go Cong Tay"/>
    <s v="Month 2"/>
    <s v="Swap_L18"/>
    <s v="Outdoor"/>
    <s v="Swap_Month 2"/>
    <x v="11"/>
    <x v="43"/>
    <m/>
    <e v="#N/A"/>
    <s v="Macro"/>
    <m/>
    <n v="1"/>
  </r>
  <r>
    <s v="Tiền Giang"/>
    <s v="TGGT37"/>
    <s v="TGGT37"/>
    <s v="Swap"/>
    <s v="Single-Band"/>
    <n v="3"/>
    <m/>
    <m/>
    <n v="106.5947"/>
    <n v="10.29162"/>
    <s v="Go Cong Tay"/>
    <s v="Month 2"/>
    <s v="Swap_L18"/>
    <s v="Outdoor"/>
    <s v="Swap_Month 2"/>
    <x v="11"/>
    <x v="42"/>
    <m/>
    <e v="#N/A"/>
    <s v="Macro"/>
    <m/>
    <n v="1"/>
  </r>
  <r>
    <s v="Tiền Giang"/>
    <s v="TGGT39"/>
    <s v="TGGT39"/>
    <s v="Swap"/>
    <s v="Single-Band"/>
    <n v="3"/>
    <m/>
    <m/>
    <n v="106.57741"/>
    <n v="10.37515"/>
    <s v="Go Cong Tay"/>
    <s v="Month 2"/>
    <s v="Swap_L18"/>
    <s v="Outdoor"/>
    <s v="Swap_Month 2"/>
    <x v="11"/>
    <x v="43"/>
    <m/>
    <e v="#N/A"/>
    <s v="Macro"/>
    <m/>
    <n v="1"/>
  </r>
  <r>
    <s v="Tiền Giang"/>
    <s v="TGGT11"/>
    <s v="TGGT40"/>
    <s v="Swap"/>
    <s v="Single-Band"/>
    <n v="3"/>
    <m/>
    <m/>
    <n v="106.6109462"/>
    <n v="10.352687599999999"/>
    <s v="Go Cong Tay"/>
    <s v="Month 2"/>
    <s v="Swap_L18"/>
    <s v="Outdoor"/>
    <s v="Swap_Month 2"/>
    <x v="11"/>
    <x v="43"/>
    <m/>
    <e v="#N/A"/>
    <s v="CRAN"/>
    <s v="Sub"/>
    <n v="5"/>
  </r>
  <r>
    <s v="Tiền Giang"/>
    <s v="TGGT16"/>
    <s v="TGGT40"/>
    <s v="Swap"/>
    <s v="Single-Band"/>
    <n v="3"/>
    <m/>
    <m/>
    <n v="106.63086"/>
    <n v="10.34909"/>
    <s v="Go Cong Tay"/>
    <s v="Month 2"/>
    <s v="Swap_L18"/>
    <s v="Outdoor"/>
    <s v="Swap_Month 2"/>
    <x v="11"/>
    <x v="42"/>
    <m/>
    <s v="OK"/>
    <s v="CRAN"/>
    <s v="Sub"/>
    <n v="5"/>
  </r>
  <r>
    <s v="Tiền Giang"/>
    <s v="TGGT38"/>
    <s v="TGGT40"/>
    <s v="Swap"/>
    <s v="Single-Band"/>
    <n v="3"/>
    <m/>
    <m/>
    <n v="106.594294"/>
    <n v="10.359244"/>
    <s v="Go Cong Tay"/>
    <s v="Month 2"/>
    <s v="Swap_L18"/>
    <s v="Outdoor"/>
    <s v="Swap_Month 2"/>
    <x v="11"/>
    <x v="43"/>
    <m/>
    <e v="#N/A"/>
    <s v="CRAN"/>
    <s v="Sub"/>
    <n v="5"/>
  </r>
  <r>
    <s v="Tiền Giang"/>
    <s v="TGGT40"/>
    <s v="TGGT40"/>
    <s v="Swap"/>
    <s v="Single-Band"/>
    <n v="3"/>
    <s v="New"/>
    <s v="PS mới 5G C"/>
    <n v="106.62381999999999"/>
    <n v="10.35744"/>
    <s v="Go Cong Tay"/>
    <s v="Month 2"/>
    <s v="Swap_L18 + NR 2.6 32T"/>
    <s v="Outdoor"/>
    <s v="Swap_Month 2"/>
    <x v="11"/>
    <x v="43"/>
    <m/>
    <e v="#N/A"/>
    <s v="Macro"/>
    <s v="Master"/>
    <n v="5"/>
  </r>
  <r>
    <s v="Tiền Giang"/>
    <s v="TGGT47"/>
    <s v="TGGT40"/>
    <s v="Swap"/>
    <s v="Single-Band"/>
    <n v="3"/>
    <m/>
    <m/>
    <n v="106.61312"/>
    <n v="10.36974"/>
    <s v="Go Cong Tay"/>
    <s v="Month 2"/>
    <s v="Swap_L18"/>
    <s v="Outdoor"/>
    <s v="Swap_Month 2"/>
    <x v="11"/>
    <x v="43"/>
    <m/>
    <e v="#N/A"/>
    <s v="CRAN"/>
    <s v="Sub"/>
    <n v="5"/>
  </r>
  <r>
    <s v="Tiền Giang"/>
    <s v="TGGT46"/>
    <s v="TGGT46"/>
    <s v="Swap"/>
    <s v="Single-Band"/>
    <n v="3"/>
    <m/>
    <m/>
    <n v="106.67068999999999"/>
    <n v="10.31526"/>
    <s v="Go Cong Tay"/>
    <s v="Month 2"/>
    <s v="Swap_L18"/>
    <s v="Outdoor"/>
    <s v="Swap_Month 2"/>
    <x v="11"/>
    <x v="42"/>
    <m/>
    <e v="#N/A"/>
    <s v="Macro"/>
    <m/>
    <n v="1"/>
  </r>
  <r>
    <s v="Tiền Giang"/>
    <s v="TGGT50"/>
    <s v="TGGT50"/>
    <s v="Swap"/>
    <s v="Single-Band"/>
    <n v="3"/>
    <m/>
    <m/>
    <n v="106.61"/>
    <n v="10.292199999999999"/>
    <s v="Go Cong Tay"/>
    <s v="Month 2"/>
    <s v="Swap_L18"/>
    <s v="Outdoor"/>
    <s v="Swap_Month 2"/>
    <x v="11"/>
    <x v="42"/>
    <m/>
    <e v="#N/A"/>
    <s v="Macro"/>
    <m/>
    <n v="1"/>
  </r>
  <r>
    <s v="Tiền Giang"/>
    <s v="TGMT01"/>
    <s v="TGMT01"/>
    <s v="Swap"/>
    <s v="Single-Band"/>
    <n v="3"/>
    <s v="Swap"/>
    <s v="Swap (PS mới 5G B)"/>
    <n v="106.36602000000001"/>
    <n v="10.35324"/>
    <s v="My Tho"/>
    <s v="Month 2"/>
    <s v="Swap_L18 + NR 2.6 64T + NR 3.8"/>
    <s v="Outdoor"/>
    <s v="Swap_Month 2"/>
    <x v="8"/>
    <x v="44"/>
    <m/>
    <e v="#N/A"/>
    <s v="Macro"/>
    <s v="Master"/>
    <n v="3"/>
  </r>
  <r>
    <s v="Tiền Giang"/>
    <s v="TGMT14"/>
    <s v="TGMT01"/>
    <s v="Swap"/>
    <s v="Dual-band"/>
    <n v="3"/>
    <s v="New"/>
    <s v="PS mới 5G B+"/>
    <n v="106.36672"/>
    <n v="10.360910000000001"/>
    <s v="My Tho"/>
    <s v="Month 2"/>
    <s v="Swap_L18 + L21 + NR 2.6 64T + NR 3.8"/>
    <s v="Outdoor"/>
    <s v="Swap_Month 2"/>
    <x v="8"/>
    <x v="44"/>
    <m/>
    <s v="done"/>
    <s v="CRAN"/>
    <s v="Sub"/>
    <n v="3"/>
  </r>
  <r>
    <s v="Tiền Giang"/>
    <s v="TGMT45"/>
    <s v="TGMT01"/>
    <s v="Swap"/>
    <s v="Dual-band"/>
    <n v="3"/>
    <s v="New"/>
    <s v="PS mới 5G B+"/>
    <n v="106.36767"/>
    <n v="10.356579999999999"/>
    <s v="My Tho"/>
    <s v="Month 2"/>
    <s v="Swap_L18 + L21 + NR 2.6 64T + NR 3.8"/>
    <s v="Outdoor"/>
    <s v="Swap_Month 2"/>
    <x v="8"/>
    <x v="44"/>
    <m/>
    <e v="#N/A"/>
    <s v="CRAN"/>
    <s v="Sub"/>
    <n v="3"/>
  </r>
  <r>
    <s v="Tiền Giang"/>
    <s v="TGMT02"/>
    <s v="TGMT02"/>
    <s v="Swap"/>
    <s v="Dual-band"/>
    <n v="3"/>
    <s v="New"/>
    <s v="PS mới 5G A"/>
    <n v="106.35733999999999"/>
    <n v="10.36462"/>
    <s v="My Tho"/>
    <s v="Month 2"/>
    <s v="Swap_L18 + L21 + NR 2.6 64T + NR 3.8"/>
    <s v="Outdoor"/>
    <s v="Swap_Month 2"/>
    <x v="8"/>
    <x v="45"/>
    <m/>
    <e v="#N/A"/>
    <s v="Macro"/>
    <m/>
    <n v="1"/>
  </r>
  <r>
    <s v="Tiền Giang"/>
    <s v="TGMT03"/>
    <s v="TGMT03"/>
    <s v="Swap"/>
    <s v="Dual-band"/>
    <n v="4"/>
    <s v="New"/>
    <s v="PS mới 5G B"/>
    <n v="106.30689"/>
    <n v="10.36036"/>
    <s v="My Tho"/>
    <n v="0"/>
    <s v="Swap_L18 + L21 + NR 2.6 32T"/>
    <s v="Outdoor"/>
    <s v="Swap_0"/>
    <x v="8"/>
    <x v="36"/>
    <m/>
    <e v="#N/A"/>
    <s v="Macro"/>
    <s v="Master"/>
    <n v="2"/>
  </r>
  <r>
    <s v="Tiền Giang"/>
    <s v="TGMT85"/>
    <s v="TGMT03"/>
    <s v="Swap"/>
    <s v="Single-Band"/>
    <n v="3"/>
    <m/>
    <m/>
    <n v="106.31641999999999"/>
    <n v="10.37297"/>
    <s v="My Tho"/>
    <n v="0"/>
    <s v="Swap_L18"/>
    <s v="Outdoor"/>
    <s v="Swap_0"/>
    <x v="8"/>
    <x v="36"/>
    <m/>
    <e v="#N/A"/>
    <s v="CRAN"/>
    <s v="Sub"/>
    <n v="2"/>
  </r>
  <r>
    <s v="Tiền Giang"/>
    <s v="TGMT04"/>
    <s v="TGMT04"/>
    <s v="Swap"/>
    <s v="Dual-band"/>
    <n v="3"/>
    <s v="New"/>
    <s v="PS mới 5G B"/>
    <n v="106.34350000000001"/>
    <n v="10.37565"/>
    <s v="My Tho"/>
    <n v="0"/>
    <s v="Swap_L18 + L21 + NR 2.6 32T"/>
    <s v="Outdoor"/>
    <s v="Swap_0"/>
    <x v="8"/>
    <x v="45"/>
    <m/>
    <e v="#N/A"/>
    <s v="Macro"/>
    <m/>
    <n v="1"/>
  </r>
  <r>
    <s v="Tiền Giang"/>
    <s v="TGMT05"/>
    <s v="TGMT05"/>
    <s v="Swap"/>
    <s v="Dual-band"/>
    <n v="3"/>
    <s v="New"/>
    <s v="PS mới 5G B"/>
    <n v="106.35681"/>
    <n v="10.36918"/>
    <s v="My Tho"/>
    <s v="Month 2"/>
    <s v="Swap_L18 + L21 + NR 2.6 64T + NR 3.8"/>
    <s v="Outdoor"/>
    <s v="Swap_Month 2"/>
    <x v="8"/>
    <x v="45"/>
    <m/>
    <e v="#N/A"/>
    <s v="Macro"/>
    <m/>
    <n v="1"/>
  </r>
  <r>
    <s v="Tiền Giang"/>
    <s v="TGMT06"/>
    <s v="TGMT06"/>
    <s v="Swap"/>
    <s v="Single-Band"/>
    <n v="3"/>
    <s v="New"/>
    <s v="PS mới 5G B+"/>
    <n v="106.34627999999999"/>
    <n v="10.356"/>
    <s v="My Tho"/>
    <n v="0"/>
    <s v="Swap_L18 + NR 2.6 64T"/>
    <s v="Outdoor"/>
    <s v="Swap_0"/>
    <x v="8"/>
    <x v="45"/>
    <m/>
    <e v="#N/A"/>
    <s v="Macro"/>
    <s v="Master"/>
    <n v="2"/>
  </r>
  <r>
    <s v="Tiền Giang"/>
    <s v="TGMT73"/>
    <s v="TGMT06"/>
    <s v="Swap"/>
    <s v="Single-Band"/>
    <n v="3"/>
    <s v="Swap"/>
    <s v="Swap (PS mới 5G B)"/>
    <n v="106.35201000000001"/>
    <n v="10.354850000000001"/>
    <s v="My Tho"/>
    <s v="Month 2"/>
    <s v="Swap_L18 + NR 2.6 64T + NR 3.8"/>
    <s v="Outdoor"/>
    <s v="Swap_Month 2"/>
    <x v="8"/>
    <x v="45"/>
    <m/>
    <e v="#N/A"/>
    <s v="CRAN"/>
    <s v="Sub"/>
    <n v="2"/>
  </r>
  <r>
    <s v="Tiền Giang"/>
    <s v="TGMT07"/>
    <s v="TGMT07"/>
    <s v="Swap"/>
    <s v="Dual-band"/>
    <n v="4"/>
    <s v="Swap"/>
    <s v="Swap (PS mới 5G B)"/>
    <n v="106.36257000000001"/>
    <n v="10.35797"/>
    <s v="My Tho"/>
    <s v="Month 2"/>
    <s v="Swap_L18 + L21 + NR 2.6 64T + NR 3.8"/>
    <s v="Outdoor"/>
    <s v="Swap_Month 2"/>
    <x v="8"/>
    <x v="44"/>
    <m/>
    <e v="#N/A"/>
    <s v="Macro"/>
    <m/>
    <n v="1"/>
  </r>
  <r>
    <s v="Tiền Giang"/>
    <s v="TGMT08"/>
    <s v="TGMT08"/>
    <s v="Swap"/>
    <s v="Single-Band"/>
    <n v="3"/>
    <s v="Swap"/>
    <s v="Swap (PS mới 5G B)"/>
    <n v="106.35522"/>
    <n v="10.352499999999999"/>
    <s v="My Tho"/>
    <s v="Month 2"/>
    <s v="Swap_L18 + NR 2.6 64T + NR 3.8"/>
    <s v="Outdoor"/>
    <s v="Swap_Month 2"/>
    <x v="8"/>
    <x v="45"/>
    <m/>
    <e v="#N/A"/>
    <s v="Macro"/>
    <m/>
    <n v="1"/>
  </r>
  <r>
    <s v="Tiền Giang"/>
    <s v="TGMT09"/>
    <s v="TGMT09"/>
    <s v="Swap"/>
    <s v="Dual-band"/>
    <n v="3"/>
    <s v="New"/>
    <s v="PS mới 5G B+"/>
    <n v="106.38921000000001"/>
    <n v="10.35153"/>
    <s v="My Tho"/>
    <s v="Month 2"/>
    <s v="Swap_L18 + L21 + NR 2.6 64T + NR 3.8"/>
    <s v="Outdoor"/>
    <s v="Swap_Month 2"/>
    <x v="8"/>
    <x v="44"/>
    <m/>
    <e v="#N/A"/>
    <s v="Macro"/>
    <m/>
    <n v="1"/>
  </r>
  <r>
    <s v="Tiền Giang"/>
    <s v="TGMT10"/>
    <s v="TGMT10"/>
    <s v="Swap"/>
    <s v="Dual-band"/>
    <n v="3"/>
    <s v="New"/>
    <s v="PS mới 5G B+"/>
    <n v="106.38173999999999"/>
    <n v="10.358890000000001"/>
    <s v="My Tho"/>
    <s v="Month 2"/>
    <s v="Swap_L18 + L21 + NR 2.6 64T + NR 3.8"/>
    <s v="Outdoor"/>
    <s v="Swap_Month 2"/>
    <x v="8"/>
    <x v="44"/>
    <m/>
    <e v="#N/A"/>
    <s v="Macro"/>
    <s v="Master"/>
    <n v="2"/>
  </r>
  <r>
    <s v="Tiền Giang"/>
    <s v="TGMT61"/>
    <s v="TGMT10"/>
    <s v="Swap"/>
    <s v="Single-Band"/>
    <n v="3"/>
    <s v="New"/>
    <s v="PS mới 5G B+"/>
    <n v="106.37645999999999"/>
    <n v="10.35488"/>
    <s v="My Tho"/>
    <s v="Month 2"/>
    <s v="Swap_L18 + NR 2.6 64T"/>
    <s v="Outdoor"/>
    <s v="Swap_Month 2"/>
    <x v="8"/>
    <x v="44"/>
    <m/>
    <e v="#N/A"/>
    <s v="CRAN"/>
    <s v="Sub"/>
    <n v="2"/>
  </r>
  <r>
    <s v="Tiền Giang"/>
    <s v="TGMT11"/>
    <s v="TGMT11"/>
    <s v="Swap"/>
    <s v="Dual-band"/>
    <n v="3"/>
    <s v="New"/>
    <s v="PS mới 5G B+"/>
    <n v="106.35431"/>
    <n v="10.359629999999999"/>
    <s v="My Tho"/>
    <s v="Month 2"/>
    <s v="Swap_L18 + L21 + NR 2.6 64T + NR 3.8"/>
    <s v="Outdoor"/>
    <s v="Swap_Month 2"/>
    <x v="8"/>
    <x v="45"/>
    <m/>
    <e v="#N/A"/>
    <s v="Macro"/>
    <m/>
    <n v="1"/>
  </r>
  <r>
    <s v="Tiền Giang"/>
    <s v="TGMT12"/>
    <s v="TGMT12"/>
    <s v="Swap"/>
    <s v="Dual-band"/>
    <n v="3"/>
    <s v="New"/>
    <s v="PS mới 5G B+"/>
    <n v="106.35702000000001"/>
    <n v="10.357570000000001"/>
    <s v="My Tho"/>
    <s v="Month 2"/>
    <s v="Swap_L18 + L21 + NR 2.6 64T + NR 3.8"/>
    <s v="Outdoor"/>
    <s v="Swap_Month 2"/>
    <x v="8"/>
    <x v="45"/>
    <m/>
    <e v="#N/A"/>
    <s v="Macro"/>
    <m/>
    <n v="1"/>
  </r>
  <r>
    <s v="Tiền Giang"/>
    <s v="TGMT13"/>
    <s v="TGMT13"/>
    <s v="Swap"/>
    <s v="Single-Band"/>
    <n v="3"/>
    <s v="New"/>
    <s v="PS mới 5G B+"/>
    <n v="106.37463"/>
    <n v="10.35181"/>
    <s v="My Tho"/>
    <s v="Month 2"/>
    <s v="Swap_L18 + NR 2.6 64T"/>
    <s v="Outdoor"/>
    <s v="Swap_Month 2"/>
    <x v="8"/>
    <x v="44"/>
    <m/>
    <e v="#N/A"/>
    <s v="Macro"/>
    <s v="Master"/>
    <n v="2"/>
  </r>
  <r>
    <s v="Tiền Giang"/>
    <s v="TGMTX0"/>
    <s v="TGMT13"/>
    <s v="Swap"/>
    <s v="Dual-band"/>
    <n v="3"/>
    <s v="New"/>
    <s v="PS mới 5G B+"/>
    <n v="106.371803"/>
    <n v="10.361242000000001"/>
    <s v="My Tho"/>
    <s v="Month 2"/>
    <s v="Swap_L18 + L21 + NR 2.6 64T + NR 3.8"/>
    <s v="Outdoor"/>
    <s v="Swap_Month 2"/>
    <x v="8"/>
    <x v="44"/>
    <m/>
    <e v="#N/A"/>
    <s v="CRAN"/>
    <s v="Sub"/>
    <n v="2"/>
  </r>
  <r>
    <s v="Tiền Giang"/>
    <s v="TGMT15"/>
    <s v="TGMT15"/>
    <s v="Swap"/>
    <s v="Dual-band"/>
    <n v="3"/>
    <s v="New"/>
    <s v="PS mới 5G B+"/>
    <n v="106.39848000000001"/>
    <n v="10.35294"/>
    <s v="My Tho"/>
    <s v="Month 2"/>
    <s v="Swap_L18 + L21 + NR 2.6 64T + NR 3.8"/>
    <s v="Outdoor"/>
    <s v="Swap_Month 2"/>
    <x v="8"/>
    <x v="24"/>
    <m/>
    <e v="#N/A"/>
    <s v="Macro"/>
    <m/>
    <n v="1"/>
  </r>
  <r>
    <s v="Tiền Giang"/>
    <s v="TGMT16"/>
    <s v="TGMT16"/>
    <s v="Swap"/>
    <s v="Dual-band"/>
    <n v="3"/>
    <s v="New"/>
    <s v="PS mới 5G B"/>
    <n v="106.34756"/>
    <n v="10.36148"/>
    <s v="My Tho"/>
    <n v="0"/>
    <s v="Swap_L18 + L21 + NR 2.6 32T"/>
    <s v="Outdoor"/>
    <s v="Swap_0"/>
    <x v="8"/>
    <x v="45"/>
    <m/>
    <e v="#N/A"/>
    <s v="Macro"/>
    <m/>
    <n v="1"/>
  </r>
  <r>
    <s v="Tiền Giang"/>
    <s v="TGMT18"/>
    <s v="TGMT18"/>
    <s v="Swap"/>
    <s v="Dual-band"/>
    <n v="3"/>
    <s v="Swap"/>
    <s v="Swap (PS mới 5G B)"/>
    <n v="106.34014000000001"/>
    <n v="10.36013"/>
    <s v="My Tho"/>
    <n v="0"/>
    <s v="Swap_L18 + L21 + NR 2.6 64T + NR 3.8"/>
    <s v="Outdoor"/>
    <s v="Swap_0"/>
    <x v="8"/>
    <x v="36"/>
    <m/>
    <e v="#N/A"/>
    <s v="Macro"/>
    <m/>
    <n v="1"/>
  </r>
  <r>
    <s v="Tiền Giang"/>
    <s v="TGMT19"/>
    <s v="TGMT19"/>
    <s v="Swap"/>
    <s v="Single-Band"/>
    <n v="3"/>
    <s v="New"/>
    <s v="PS mới 5G B"/>
    <n v="106.3335"/>
    <n v="10.36468"/>
    <s v="My Tho"/>
    <n v="0"/>
    <s v="Swap_L18 + NR 2.6 64T"/>
    <s v="Outdoor"/>
    <s v="Swap_0"/>
    <x v="8"/>
    <x v="45"/>
    <m/>
    <e v="#N/A"/>
    <s v="Macro"/>
    <s v="Master"/>
    <n v="3"/>
  </r>
  <r>
    <s v="Tiền Giang"/>
    <s v="TGMT68"/>
    <s v="TGMT19"/>
    <s v="Swap"/>
    <s v="Single-Band"/>
    <n v="3"/>
    <s v="New"/>
    <s v="PS mới 5G B"/>
    <n v="106.34784999999999"/>
    <n v="10.36777"/>
    <s v="My Tho"/>
    <n v="0"/>
    <s v="Swap_L18 + NR 2.6 32T"/>
    <s v="Outdoor"/>
    <s v="Swap_0"/>
    <x v="8"/>
    <x v="45"/>
    <m/>
    <e v="#N/A"/>
    <s v="CRAN"/>
    <s v="Sub"/>
    <n v="3"/>
  </r>
  <r>
    <s v="Tiền Giang"/>
    <s v="TGMT88"/>
    <s v="TGMT19"/>
    <s v="Swap"/>
    <s v="Dual-band"/>
    <n v="3"/>
    <m/>
    <m/>
    <n v="106.3258"/>
    <n v="10.365819999999999"/>
    <s v="My Tho"/>
    <n v="0"/>
    <s v="Swap_L18 + L21"/>
    <s v="Outdoor"/>
    <s v="Swap_0"/>
    <x v="8"/>
    <x v="36"/>
    <m/>
    <e v="#N/A"/>
    <s v="CRAN"/>
    <s v="Sub"/>
    <n v="3"/>
  </r>
  <r>
    <s v="Tiền Giang"/>
    <s v="TGMT20"/>
    <s v="TGMT20"/>
    <s v="Swap"/>
    <s v="Single-Band"/>
    <n v="3"/>
    <s v="New"/>
    <s v="PS mới 5G B"/>
    <n v="106.36651999999999"/>
    <n v="10.371029999999999"/>
    <s v="My Tho"/>
    <s v="Month 2"/>
    <s v="Swap_L18 + NR 2.6 64T"/>
    <s v="Outdoor"/>
    <s v="Swap_Month 2"/>
    <x v="8"/>
    <x v="45"/>
    <m/>
    <e v="#N/A"/>
    <s v="Macro"/>
    <m/>
    <n v="1"/>
  </r>
  <r>
    <s v="Tiền Giang"/>
    <s v="TGMT21"/>
    <s v="TGMT21"/>
    <s v="Swap"/>
    <s v="Dual-band"/>
    <n v="3"/>
    <s v="New"/>
    <s v="PS mới 5G B"/>
    <n v="106.32458"/>
    <n v="10.373810000000001"/>
    <s v="My Tho"/>
    <n v="0"/>
    <s v="Swap_L18 + L21 + NR 2.6 32T"/>
    <s v="Outdoor"/>
    <s v="Swap_0"/>
    <x v="8"/>
    <x v="45"/>
    <m/>
    <e v="#N/A"/>
    <s v="Macro"/>
    <m/>
    <n v="1"/>
  </r>
  <r>
    <s v="Tiền Giang"/>
    <s v="TGMT22"/>
    <s v="TGMT22"/>
    <s v="Swap"/>
    <s v="Dual-band"/>
    <n v="3"/>
    <s v="New"/>
    <s v="PS mới 5G B"/>
    <n v="106.34054999999999"/>
    <n v="10.38467"/>
    <s v="My Tho"/>
    <n v="0"/>
    <s v="Swap_L18 + L21 + NR 2.6 32T"/>
    <s v="Outdoor"/>
    <s v="Swap_0"/>
    <x v="8"/>
    <x v="45"/>
    <m/>
    <e v="#N/A"/>
    <s v="Macro"/>
    <m/>
    <n v="1"/>
  </r>
  <r>
    <s v="Tiền Giang"/>
    <s v="TGMT23"/>
    <s v="TGMT24"/>
    <s v="Swap"/>
    <s v="Single-Band"/>
    <n v="3"/>
    <m/>
    <m/>
    <n v="106.349592"/>
    <n v="10.379813"/>
    <s v="My Tho"/>
    <n v="0"/>
    <s v="Swap_L18"/>
    <s v="Outdoor"/>
    <s v="Swap_0"/>
    <x v="8"/>
    <x v="45"/>
    <m/>
    <e v="#N/A"/>
    <s v="CRAN"/>
    <s v="Sub"/>
    <n v="2"/>
  </r>
  <r>
    <s v="Tiền Giang"/>
    <s v="TGMT24"/>
    <s v="TGMT24"/>
    <s v="Swap"/>
    <s v="Dual-band"/>
    <n v="3"/>
    <s v="New"/>
    <s v="PS mới 5G B+"/>
    <n v="106.35252"/>
    <n v="10.36619"/>
    <s v="My Tho"/>
    <n v="0"/>
    <s v="Swap_L18 + L21 + NR 2.6 64T + NR 3.8"/>
    <s v="Outdoor"/>
    <s v="Swap_0"/>
    <x v="8"/>
    <x v="45"/>
    <m/>
    <e v="#N/A"/>
    <s v="Macro"/>
    <s v="Master"/>
    <n v="2"/>
  </r>
  <r>
    <s v="Tiền Giang"/>
    <s v="TGMT25"/>
    <s v="TGMT25"/>
    <s v="Swap"/>
    <s v="Dual-band"/>
    <n v="3"/>
    <s v="New"/>
    <s v="PS mới 5G B"/>
    <n v="106.35053000000001"/>
    <n v="10.390040000000001"/>
    <s v="My Tho"/>
    <n v="0"/>
    <s v="Swap_L18 + L21 + NR 2.6 32T"/>
    <s v="Outdoor"/>
    <s v="Swap_0"/>
    <x v="8"/>
    <x v="45"/>
    <m/>
    <e v="#N/A"/>
    <s v="Macro"/>
    <m/>
    <n v="1"/>
  </r>
  <r>
    <s v="Tiền Giang"/>
    <s v="TGMT26"/>
    <s v="TGMT26"/>
    <s v="Swap"/>
    <s v="Dual-band"/>
    <n v="3"/>
    <s v="New"/>
    <s v="PS mới 5G B"/>
    <n v="106.32764"/>
    <n v="10.357419999999999"/>
    <s v="My Tho"/>
    <n v="0"/>
    <s v="Swap_L18 + L21 + NR 2.6 32T"/>
    <s v="Outdoor"/>
    <s v="Swap_0"/>
    <x v="8"/>
    <x v="36"/>
    <m/>
    <e v="#N/A"/>
    <s v="Macro"/>
    <m/>
    <n v="1"/>
  </r>
  <r>
    <s v="Tiền Giang"/>
    <s v="TGMT28"/>
    <s v="TGMT28"/>
    <s v="Swap"/>
    <s v="Dual-band"/>
    <n v="3"/>
    <m/>
    <m/>
    <n v="106.34177"/>
    <n v="10.36979"/>
    <s v="My Tho"/>
    <n v="0"/>
    <s v="Swap_L18 + L21"/>
    <s v="Outdoor"/>
    <s v="Swap_0"/>
    <x v="8"/>
    <x v="45"/>
    <m/>
    <e v="#N/A"/>
    <s v="Macro"/>
    <m/>
    <n v="1"/>
  </r>
  <r>
    <s v="Tiền Giang"/>
    <s v="TGMT29"/>
    <s v="TGMT29"/>
    <s v="Swap"/>
    <s v="Dual-band"/>
    <n v="4"/>
    <s v="New"/>
    <s v="PS mới 5G A"/>
    <n v="106.3627"/>
    <n v="10.363300000000001"/>
    <s v="My Tho"/>
    <s v="Month 2"/>
    <s v="Swap_L18 + L21 + NR 2.6 64T + NR 3.8"/>
    <s v="Outdoor"/>
    <s v="Swap_Month 2"/>
    <x v="8"/>
    <x v="45"/>
    <m/>
    <e v="#N/A"/>
    <s v="Macro"/>
    <m/>
    <n v="1"/>
  </r>
  <r>
    <s v="Tiền Giang"/>
    <s v="TGCG62"/>
    <s v="TGMT30"/>
    <s v="Swap"/>
    <s v="Single-Band"/>
    <n v="3"/>
    <m/>
    <m/>
    <n v="106.4323"/>
    <n v="10.3621"/>
    <s v="Cho Gao"/>
    <s v="Month 2"/>
    <s v="Swap_L18"/>
    <s v="Outdoor"/>
    <s v="Swap_Month 2"/>
    <x v="3"/>
    <x v="23"/>
    <m/>
    <e v="#N/A"/>
    <s v="CRAN"/>
    <s v="Sub"/>
    <n v="3"/>
  </r>
  <r>
    <s v="Tiền Giang"/>
    <s v="TGMT30"/>
    <s v="TGMT30"/>
    <s v="Swap"/>
    <s v="Single-Band"/>
    <n v="3"/>
    <s v="New"/>
    <s v="PS mới 5G C"/>
    <n v="106.40965"/>
    <n v="10.367240000000001"/>
    <s v="My Tho"/>
    <s v="Month 2"/>
    <s v="Swap_L18 + NR 2.6 32T"/>
    <s v="Outdoor"/>
    <s v="Swap_Month 2"/>
    <x v="8"/>
    <x v="24"/>
    <m/>
    <e v="#N/A"/>
    <s v="Macro"/>
    <s v="Master"/>
    <n v="3"/>
  </r>
  <r>
    <s v="Tiền Giang"/>
    <s v="TGMT77"/>
    <s v="TGMT30"/>
    <s v="Swap"/>
    <s v="Single-Band"/>
    <n v="3"/>
    <m/>
    <m/>
    <n v="106.3997"/>
    <n v="10.371"/>
    <s v="My Tho"/>
    <s v="Month 2"/>
    <s v="Swap_L18"/>
    <s v="Outdoor"/>
    <s v="Swap_Month 2"/>
    <x v="8"/>
    <x v="24"/>
    <m/>
    <s v="OK"/>
    <s v="CRAN"/>
    <s v="Sub"/>
    <n v="3"/>
  </r>
  <r>
    <s v="Tiền Giang"/>
    <s v="TGMT31"/>
    <s v="TGMT31"/>
    <s v="Swap"/>
    <s v="Dual-band"/>
    <n v="4"/>
    <s v="New"/>
    <s v="PS mới 5G B"/>
    <n v="106.34938"/>
    <n v="10.339919999999999"/>
    <s v="My Tho"/>
    <n v="0"/>
    <s v="Swap_L18 + L21 + NR 2.6 32T"/>
    <s v="Outdoor"/>
    <s v="Swap_0"/>
    <x v="8"/>
    <x v="36"/>
    <m/>
    <e v="#N/A"/>
    <s v="Macro"/>
    <m/>
    <n v="1"/>
  </r>
  <r>
    <s v="Tiền Giang"/>
    <s v="TGMT32"/>
    <s v="TGMT32"/>
    <s v="Swap"/>
    <s v="Single-Band"/>
    <n v="3"/>
    <s v="New"/>
    <s v="PS mới 5G B"/>
    <n v="106.38564"/>
    <n v="10.355460000000001"/>
    <s v="My Tho"/>
    <s v="Month 2"/>
    <s v="Swap_L18 + NR 2.6 64T"/>
    <s v="Outdoor"/>
    <s v="Swap_Month 2"/>
    <x v="8"/>
    <x v="44"/>
    <m/>
    <e v="#N/A"/>
    <s v="Macro"/>
    <s v="Master"/>
    <n v="3"/>
  </r>
  <r>
    <s v="Tiền Giang"/>
    <s v="TGMT39"/>
    <s v="TGMT32"/>
    <s v="Swap"/>
    <s v="Single-Band"/>
    <n v="3"/>
    <m/>
    <m/>
    <n v="106.39532"/>
    <n v="10.360049999999999"/>
    <s v="My Tho"/>
    <s v="Month 2"/>
    <s v="Swap_L18"/>
    <s v="Outdoor"/>
    <s v="Swap_Month 2"/>
    <x v="8"/>
    <x v="24"/>
    <m/>
    <s v="OK"/>
    <s v="CRAN"/>
    <s v="Sub"/>
    <n v="3"/>
  </r>
  <r>
    <s v="Tiền Giang"/>
    <s v="TGMTP1"/>
    <s v="TGMT32"/>
    <s v="Swap"/>
    <s v="Dual-band"/>
    <n v="3"/>
    <s v="New"/>
    <s v="PS mới 5G B"/>
    <n v="106.3823"/>
    <n v="10.352399999999999"/>
    <s v="My Tho"/>
    <s v="Month 2"/>
    <s v="Swap_L18 + L21 + NR 2.6 32T"/>
    <s v="Outdoor"/>
    <s v="Swap_Month 2"/>
    <x v="8"/>
    <x v="44"/>
    <m/>
    <e v="#N/A"/>
    <s v="CRAN"/>
    <s v="Sub"/>
    <n v="3"/>
  </r>
  <r>
    <s v="Tiền Giang"/>
    <s v="TGMT33"/>
    <s v="TGMT33"/>
    <s v="Swap"/>
    <s v="Dual-band"/>
    <n v="3"/>
    <s v="New"/>
    <s v="PS mới 5G A"/>
    <n v="106.33463999999999"/>
    <n v="10.35196"/>
    <s v="My Tho"/>
    <n v="0"/>
    <s v="Swap_L18 + L21 + NR 2.6 64T + NR 3.8"/>
    <s v="Outdoor"/>
    <s v="Swap_0"/>
    <x v="8"/>
    <x v="36"/>
    <m/>
    <e v="#N/A"/>
    <s v="Macro"/>
    <s v="Master"/>
    <n v="2"/>
  </r>
  <r>
    <s v="Tiền Giang"/>
    <s v="TGMT71"/>
    <s v="TGMT33"/>
    <s v="Swap"/>
    <s v="Dual-band"/>
    <n v="3"/>
    <s v="New"/>
    <s v="PS mới 5G B+"/>
    <n v="106.32850999999999"/>
    <n v="10.35027"/>
    <s v="My Tho"/>
    <n v="0"/>
    <s v="Swap_L18 + L21 + NR 2.6 64T + NR 3.8"/>
    <s v="Outdoor"/>
    <s v="Swap_0"/>
    <x v="8"/>
    <x v="36"/>
    <m/>
    <e v="#N/A"/>
    <s v="CRAN"/>
    <s v="Sub"/>
    <n v="2"/>
  </r>
  <r>
    <s v="Tiền Giang"/>
    <s v="TGMT34"/>
    <s v="TGMT34"/>
    <s v="Swap"/>
    <s v="Dual-band"/>
    <n v="4"/>
    <s v="New"/>
    <s v="PS mới 5G B"/>
    <n v="106.34031"/>
    <n v="10.34915"/>
    <s v="My Tho"/>
    <n v="0"/>
    <s v="Swap_L18 + L21 + NR 2.6 32T"/>
    <s v="Outdoor"/>
    <s v="Swap_0"/>
    <x v="8"/>
    <x v="36"/>
    <m/>
    <e v="#N/A"/>
    <s v="Macro"/>
    <s v="Master"/>
    <n v="2"/>
  </r>
  <r>
    <s v="Tiền Giang"/>
    <s v="TGMT89"/>
    <s v="TGMT34"/>
    <s v="Swap"/>
    <s v="Dual-band"/>
    <n v="3"/>
    <s v="New"/>
    <s v="PS mới 5G B"/>
    <n v="106.34238000000001"/>
    <n v="10.354979999999999"/>
    <s v="My Tho"/>
    <n v="0"/>
    <s v="Swap_L18 + L21 + NR 2.6 64T + NR 3.8"/>
    <s v="Outdoor"/>
    <s v="Swap_0"/>
    <x v="8"/>
    <x v="36"/>
    <m/>
    <e v="#N/A"/>
    <s v="CRAN"/>
    <s v="Sub"/>
    <n v="2"/>
  </r>
  <r>
    <s v="Tiền Giang"/>
    <s v="TGMT35"/>
    <s v="TGMT35"/>
    <s v="Swap"/>
    <s v="Single-Band"/>
    <n v="3"/>
    <m/>
    <m/>
    <n v="106.39865"/>
    <n v="10.38984"/>
    <s v="My Tho"/>
    <s v="Month 2"/>
    <s v="Swap_L18"/>
    <s v="Outdoor"/>
    <s v="Swap_Month 2"/>
    <x v="8"/>
    <x v="24"/>
    <m/>
    <e v="#N/A"/>
    <s v="Macro"/>
    <m/>
    <n v="1"/>
  </r>
  <r>
    <s v="Tiền Giang"/>
    <s v="TGMT36"/>
    <s v="TGMT36"/>
    <s v="Swap"/>
    <s v="Dual-band"/>
    <n v="3"/>
    <s v="New"/>
    <s v="PS mới 5G B+"/>
    <n v="106.37242999999999"/>
    <n v="10.35772"/>
    <s v="My Tho"/>
    <s v="Month 2"/>
    <s v="Swap_L18 + L21 + NR 2.6 64T + NR 3.8"/>
    <s v="Outdoor"/>
    <s v="Swap_Month 2"/>
    <x v="8"/>
    <x v="44"/>
    <m/>
    <e v="#N/A"/>
    <s v="Macro"/>
    <m/>
    <n v="1"/>
  </r>
  <r>
    <s v="Tiền Giang"/>
    <s v="TGMT37"/>
    <s v="TGMT37"/>
    <s v="Swap"/>
    <s v="Dual-band"/>
    <n v="3"/>
    <s v="New"/>
    <s v="PS mới 5G B+"/>
    <n v="106.32418"/>
    <n v="10.347340000000001"/>
    <s v="My Tho"/>
    <n v="0"/>
    <s v="Swap_L18 + L21 + NR 2.6 64T + NR 3.8"/>
    <s v="Outdoor"/>
    <s v="Swap_0"/>
    <x v="8"/>
    <x v="36"/>
    <m/>
    <e v="#N/A"/>
    <s v="Macro"/>
    <m/>
    <n v="1"/>
  </r>
  <r>
    <s v="Tiền Giang"/>
    <s v="TGMT38"/>
    <s v="TGMT38"/>
    <s v="Swap"/>
    <s v="Dual-band"/>
    <n v="4"/>
    <s v="New"/>
    <s v="PS mới 5G C"/>
    <n v="106.362061"/>
    <n v="10.35366"/>
    <s v="My Tho"/>
    <s v="Month 2"/>
    <s v="Swap_L18 + L21 + NR 2.6 64T + NR 3.8"/>
    <s v="Outdoor"/>
    <s v="Swap_Month 2"/>
    <x v="8"/>
    <x v="44"/>
    <m/>
    <e v="#N/A"/>
    <s v="Macro"/>
    <m/>
    <n v="1"/>
  </r>
  <r>
    <s v="Tiền Giang"/>
    <s v="TGMT40"/>
    <s v="TGMT40"/>
    <s v="Swap"/>
    <s v="Single-Band"/>
    <n v="3"/>
    <s v="New"/>
    <s v="PS mới 5G B+"/>
    <n v="106.36960000000001"/>
    <n v="10.348520000000001"/>
    <s v="My Tho"/>
    <s v="Month 2"/>
    <s v="Swap_L18 + NR 2.6 64T"/>
    <s v="Outdoor"/>
    <s v="Swap_Month 2"/>
    <x v="8"/>
    <x v="44"/>
    <m/>
    <e v="#N/A"/>
    <s v="Macro"/>
    <m/>
    <n v="1"/>
  </r>
  <r>
    <s v="Tiền Giang"/>
    <s v="TGMT41"/>
    <s v="TGMT41"/>
    <s v="Swap"/>
    <s v="Single-Band"/>
    <n v="3"/>
    <m/>
    <m/>
    <n v="106.37797"/>
    <n v="10.380380000000001"/>
    <s v="My Tho"/>
    <s v="Month 2"/>
    <s v="Swap_L18"/>
    <s v="Outdoor"/>
    <s v="Swap_Month 2"/>
    <x v="8"/>
    <x v="24"/>
    <m/>
    <e v="#N/A"/>
    <s v="Macro"/>
    <s v="Master"/>
    <n v="2"/>
  </r>
  <r>
    <s v="Tiền Giang"/>
    <s v="TGMT86"/>
    <s v="TGMT41"/>
    <s v="Swap"/>
    <s v="Single-Band"/>
    <n v="3"/>
    <m/>
    <m/>
    <n v="106.38402000000001"/>
    <n v="10.39213"/>
    <s v="My Tho"/>
    <s v="Month 2"/>
    <s v="Swap_L18"/>
    <s v="Outdoor"/>
    <s v="Swap_Month 2"/>
    <x v="8"/>
    <x v="24"/>
    <m/>
    <e v="#N/A"/>
    <s v="CRAN"/>
    <s v="Sub"/>
    <n v="2"/>
  </r>
  <r>
    <s v="Tiền Giang"/>
    <s v="TGMT42"/>
    <s v="TGMT42"/>
    <s v="Swap"/>
    <s v="Single-Band"/>
    <n v="3"/>
    <m/>
    <m/>
    <n v="106.35677"/>
    <n v="10.376860000000001"/>
    <s v="My Tho"/>
    <s v="Month 2"/>
    <s v="Swap_L18"/>
    <s v="Outdoor"/>
    <s v="Swap_Month 2"/>
    <x v="8"/>
    <x v="45"/>
    <m/>
    <e v="#N/A"/>
    <s v="Macro"/>
    <m/>
    <n v="1"/>
  </r>
  <r>
    <s v="Tiền Giang"/>
    <s v="TGMT43"/>
    <s v="TGMT43"/>
    <s v="Swap"/>
    <s v="Dual-band"/>
    <n v="3"/>
    <s v="New"/>
    <s v="PS mới 5G B"/>
    <n v="106.38822999999999"/>
    <n v="10.361470000000001"/>
    <s v="My Tho"/>
    <s v="Month 2"/>
    <s v="Swap_L18 + L21 + NR 2.6 32T"/>
    <s v="Outdoor"/>
    <s v="Swap_Month 2"/>
    <x v="8"/>
    <x v="24"/>
    <m/>
    <e v="#N/A"/>
    <s v="Macro"/>
    <m/>
    <n v="1"/>
  </r>
  <r>
    <s v="Tiền Giang"/>
    <s v="TGMT44"/>
    <s v="TGMT44"/>
    <s v="Swap"/>
    <s v="Dual-band"/>
    <n v="3"/>
    <s v="New"/>
    <s v="PS mới 5G B+"/>
    <n v="106.34987"/>
    <n v="10.35162"/>
    <s v="My Tho"/>
    <n v="0"/>
    <s v="Swap_L18 + L21 + NR 2.6 64T + NR 3.8"/>
    <s v="Outdoor"/>
    <s v="Swap_0"/>
    <x v="8"/>
    <x v="45"/>
    <m/>
    <e v="#N/A"/>
    <s v="Macro"/>
    <m/>
    <n v="1"/>
  </r>
  <r>
    <s v="Tiền Giang"/>
    <s v="TGMT46"/>
    <s v="TGMT46"/>
    <s v="Swap"/>
    <s v="Dual-band"/>
    <n v="4"/>
    <s v="New"/>
    <s v="PS mới 5G B"/>
    <n v="106.31502999999999"/>
    <n v="10.33267"/>
    <s v="My Tho"/>
    <n v="0"/>
    <s v="Swap_L18 + L21 + NR 2.6 32T"/>
    <s v="Outdoor"/>
    <s v="Swap_0"/>
    <x v="8"/>
    <x v="36"/>
    <m/>
    <e v="#N/A"/>
    <s v="Macro"/>
    <m/>
    <n v="1"/>
  </r>
  <r>
    <s v="Tiền Giang"/>
    <s v="TGMT47"/>
    <s v="TGMT47"/>
    <s v="Swap"/>
    <s v="Dual-band"/>
    <n v="3"/>
    <s v="Swap"/>
    <s v="Swap (PS mới 5G B)"/>
    <n v="106.34878"/>
    <n v="10.371930000000001"/>
    <s v="My Tho"/>
    <n v="0"/>
    <s v="Swap_L18 + L21 + NR 2.6 64T + NR 3.8"/>
    <s v="Outdoor"/>
    <s v="Swap_0"/>
    <x v="8"/>
    <x v="45"/>
    <m/>
    <e v="#N/A"/>
    <s v="Macro"/>
    <m/>
    <n v="1"/>
  </r>
  <r>
    <s v="Tiền Giang"/>
    <s v="TGMT48"/>
    <s v="TGMT48"/>
    <s v="Swap"/>
    <s v="Single-Band"/>
    <n v="3"/>
    <s v="New"/>
    <s v="PS mới 5G C"/>
    <n v="106.3353"/>
    <n v="10.37011"/>
    <s v="My Tho"/>
    <n v="0"/>
    <s v="Swap_L18 + NR 2.6 32T"/>
    <s v="Outdoor"/>
    <s v="Swap_0"/>
    <x v="8"/>
    <x v="45"/>
    <m/>
    <e v="#N/A"/>
    <s v="Macro"/>
    <m/>
    <n v="1"/>
  </r>
  <r>
    <s v="Tiền Giang"/>
    <s v="TGMT49"/>
    <s v="TGMT49"/>
    <s v="Swap"/>
    <s v="Single-Band"/>
    <n v="3"/>
    <m/>
    <m/>
    <n v="106.36959"/>
    <n v="10.353289999999999"/>
    <s v="My Tho"/>
    <s v="Month 2"/>
    <s v="Swap_L18"/>
    <s v="Outdoor"/>
    <s v="Swap_Month 2"/>
    <x v="8"/>
    <x v="44"/>
    <m/>
    <e v="#N/A"/>
    <s v="Macro"/>
    <m/>
    <n v="1"/>
  </r>
  <r>
    <s v="Tiền Giang"/>
    <s v="TGMT50"/>
    <s v="TGMT50"/>
    <s v="Swap"/>
    <s v="Single-Band"/>
    <n v="3"/>
    <m/>
    <m/>
    <n v="106.33435"/>
    <n v="10.33437"/>
    <s v="My Tho"/>
    <n v="0"/>
    <s v="Swap_L18"/>
    <s v="Outdoor"/>
    <s v="Swap_0"/>
    <x v="8"/>
    <x v="36"/>
    <m/>
    <e v="#N/A"/>
    <s v="Macro"/>
    <m/>
    <n v="1"/>
  </r>
  <r>
    <s v="Tiền Giang"/>
    <s v="TGMT51"/>
    <s v="TGMT51"/>
    <s v="Swap"/>
    <s v="Single-Band"/>
    <n v="3"/>
    <s v="Swap"/>
    <s v="Swap (PS mới 5G B)"/>
    <n v="106.37161"/>
    <n v="10.3644"/>
    <s v="My Tho"/>
    <s v="Month 2"/>
    <s v="Swap_L18 + NR 2.6 64T + NR 3.8"/>
    <s v="Outdoor"/>
    <s v="Swap_Month 2"/>
    <x v="8"/>
    <x v="44"/>
    <m/>
    <e v="#N/A"/>
    <s v="Macro"/>
    <m/>
    <n v="1"/>
  </r>
  <r>
    <s v="Tiền Giang"/>
    <s v="TGMT17"/>
    <s v="TGMT52"/>
    <s v="Swap"/>
    <s v="Dual-band"/>
    <n v="3"/>
    <s v="New"/>
    <s v="PS mới 5G B+"/>
    <n v="106.37867"/>
    <n v="10.35744"/>
    <s v="My Tho"/>
    <s v="Month 2"/>
    <s v="Swap_L18 + L21 + NR 2.6 64T + NR 3.8"/>
    <s v="Outdoor"/>
    <s v="Swap_Month 2"/>
    <x v="8"/>
    <x v="44"/>
    <m/>
    <s v="OK"/>
    <s v="CRAN"/>
    <s v="Sub"/>
    <n v="3"/>
  </r>
  <r>
    <s v="Tiền Giang"/>
    <s v="TGMT52"/>
    <s v="TGMT52"/>
    <s v="Swap"/>
    <s v="Dual-band"/>
    <n v="4"/>
    <s v="New"/>
    <s v="PS mới 5G B"/>
    <n v="106.3812667"/>
    <n v="10.3516405"/>
    <s v="My Tho"/>
    <s v="Month 2"/>
    <s v="Swap_L18 + L21 + NR 2.6 32T"/>
    <s v="Outdoor"/>
    <s v="Swap_Month 2"/>
    <x v="8"/>
    <x v="44"/>
    <m/>
    <e v="#N/A"/>
    <s v="Macro"/>
    <s v="Master"/>
    <n v="3"/>
  </r>
  <r>
    <s v="Tiền Giang"/>
    <s v="TGMT76"/>
    <s v="TGMT52"/>
    <s v="Swap"/>
    <s v="Single-Band"/>
    <n v="3"/>
    <s v="New"/>
    <s v="PS mới 5G B"/>
    <n v="106.3954"/>
    <n v="10.350149999999999"/>
    <s v="My Tho"/>
    <s v="Month 2"/>
    <s v="Swap_L18 + NR 2.6 64T"/>
    <s v="Outdoor"/>
    <s v="Swap_Month 2"/>
    <x v="8"/>
    <x v="44"/>
    <m/>
    <e v="#N/A"/>
    <s v="CRAN"/>
    <s v="Sub"/>
    <n v="3"/>
  </r>
  <r>
    <s v="Tiền Giang"/>
    <s v="TGMT53"/>
    <s v="TGMT53"/>
    <s v="Swap"/>
    <s v="Single-Band"/>
    <n v="3"/>
    <m/>
    <m/>
    <n v="106.38319"/>
    <n v="10.344720000000001"/>
    <s v="My Tho"/>
    <s v="Month 2"/>
    <s v="Swap_L18"/>
    <s v="Outdoor"/>
    <s v="Swap_Month 2"/>
    <x v="8"/>
    <x v="44"/>
    <m/>
    <e v="#N/A"/>
    <s v="Macro"/>
    <m/>
    <n v="1"/>
  </r>
  <r>
    <s v="Tiền Giang"/>
    <s v="TGMT27"/>
    <s v="TGMT54"/>
    <s v="Swap"/>
    <s v="Single-Band"/>
    <n v="3"/>
    <m/>
    <m/>
    <n v="106.3626"/>
    <n v="10.37443"/>
    <s v="My Tho"/>
    <s v="Month 2"/>
    <s v="Swap_L18"/>
    <s v="Outdoor"/>
    <s v="Swap_Month 2"/>
    <x v="8"/>
    <x v="45"/>
    <m/>
    <e v="#N/A"/>
    <s v="CRAN"/>
    <s v="Sub"/>
    <n v="3"/>
  </r>
  <r>
    <s v="Tiền Giang"/>
    <s v="TGMT54"/>
    <s v="TGMT54"/>
    <s v="Swap"/>
    <s v="Dual-band"/>
    <n v="3"/>
    <s v="Swap"/>
    <s v="Swap (PS mới 5G B)"/>
    <n v="106.36418"/>
    <n v="10.367380000000001"/>
    <s v="My Tho"/>
    <s v="Month 2"/>
    <s v="Swap_L18 + L21 + NR 2.6 64T + NR 3.8"/>
    <s v="Outdoor"/>
    <s v="Swap_Month 2"/>
    <x v="8"/>
    <x v="45"/>
    <m/>
    <e v="#N/A"/>
    <s v="Macro"/>
    <s v="Master"/>
    <n v="3"/>
  </r>
  <r>
    <s v="Tiền Giang"/>
    <s v="TGMT87"/>
    <s v="TGMT54"/>
    <s v="Swap"/>
    <s v="Single-Band"/>
    <n v="3"/>
    <m/>
    <m/>
    <n v="106.367226"/>
    <n v="10.366111"/>
    <s v="My Tho"/>
    <s v="Month 2"/>
    <s v="Swap_L18"/>
    <s v="Outdoor"/>
    <s v="Swap_Month 2"/>
    <x v="8"/>
    <x v="45"/>
    <m/>
    <e v="#N/A"/>
    <s v="CRAN"/>
    <s v="Sub"/>
    <n v="3"/>
  </r>
  <r>
    <s v="Tiền Giang"/>
    <s v="TGMT56"/>
    <s v="TGMT56"/>
    <s v="Swap"/>
    <s v="Dual-band"/>
    <n v="3"/>
    <m/>
    <m/>
    <n v="106.36091999999999"/>
    <n v="10.385160000000001"/>
    <s v="My Tho"/>
    <s v="Month 2"/>
    <s v="Swap_L18 + L21"/>
    <s v="Outdoor"/>
    <s v="Swap_Month 2"/>
    <x v="8"/>
    <x v="24"/>
    <m/>
    <e v="#N/A"/>
    <s v="Macro"/>
    <m/>
    <n v="1"/>
  </r>
  <r>
    <s v="Tiền Giang"/>
    <s v="TGMT57"/>
    <s v="TGMT57"/>
    <s v="Swap"/>
    <s v="Dual-band"/>
    <n v="3"/>
    <s v="New"/>
    <s v="PS mới 5G B"/>
    <n v="106.38086"/>
    <n v="10.370939999999999"/>
    <s v="My Tho"/>
    <s v="Month 2"/>
    <s v="Swap_L18 + L21 + NR 2.6 32T"/>
    <s v="Outdoor"/>
    <s v="Swap_Month 2"/>
    <x v="8"/>
    <x v="24"/>
    <m/>
    <e v="#N/A"/>
    <s v="Macro"/>
    <m/>
    <n v="1"/>
  </r>
  <r>
    <s v="Tiền Giang"/>
    <s v="TGMT58"/>
    <s v="TGMT58"/>
    <s v="Swap"/>
    <s v="Single-Band"/>
    <n v="3"/>
    <m/>
    <m/>
    <n v="106.39511"/>
    <n v="10.34557"/>
    <s v="My Tho"/>
    <s v="Month 2"/>
    <s v="Swap_L18"/>
    <s v="Outdoor"/>
    <s v="Swap_Month 2"/>
    <x v="8"/>
    <x v="44"/>
    <m/>
    <e v="#N/A"/>
    <s v="Macro"/>
    <m/>
    <n v="1"/>
  </r>
  <r>
    <s v="Tiền Giang"/>
    <s v="TGMT62"/>
    <s v="TGMT62"/>
    <s v="Swap"/>
    <s v="Single-Band"/>
    <n v="3"/>
    <m/>
    <m/>
    <n v="106.35468"/>
    <n v="10.35582"/>
    <s v="My Tho"/>
    <s v="Month 2"/>
    <s v="Swap_L18"/>
    <s v="Outdoor"/>
    <s v="Swap_Month 2"/>
    <x v="8"/>
    <x v="45"/>
    <m/>
    <e v="#N/A"/>
    <s v="Macro"/>
    <m/>
    <n v="1"/>
  </r>
  <r>
    <s v="Tiền Giang"/>
    <s v="TGMT63"/>
    <s v="TGMT63"/>
    <s v="Swap"/>
    <s v="Single-Band"/>
    <n v="3"/>
    <m/>
    <m/>
    <n v="106.33166"/>
    <n v="10.39324"/>
    <s v="My Tho"/>
    <n v="0"/>
    <s v="Swap_L18"/>
    <s v="Outdoor"/>
    <s v="Swap_0"/>
    <x v="8"/>
    <x v="45"/>
    <m/>
    <e v="#N/A"/>
    <s v="Macro"/>
    <m/>
    <n v="1"/>
  </r>
  <r>
    <s v="Tiền Giang"/>
    <s v="TGMT67"/>
    <s v="TGMT67"/>
    <s v="Swap"/>
    <s v="Single-Band"/>
    <n v="3"/>
    <m/>
    <m/>
    <n v="106.33150999999999"/>
    <n v="10.38"/>
    <s v="My Tho"/>
    <n v="0"/>
    <s v="Swap_L18"/>
    <s v="Outdoor"/>
    <s v="Swap_0"/>
    <x v="8"/>
    <x v="45"/>
    <m/>
    <e v="#N/A"/>
    <s v="Macro"/>
    <m/>
    <n v="1"/>
  </r>
  <r>
    <s v="Tiền Giang"/>
    <s v="TGMT69"/>
    <s v="TGMT69"/>
    <s v="Swap"/>
    <s v="Dual-band"/>
    <n v="4"/>
    <s v="New"/>
    <s v="PS mới 5G B"/>
    <n v="106.33598000000001"/>
    <n v="10.35685"/>
    <s v="My Tho"/>
    <n v="0"/>
    <s v="Swap_L18 + L21 + NR 2.6 64T + NR 3.8"/>
    <s v="Outdoor"/>
    <s v="Swap_0"/>
    <x v="8"/>
    <x v="36"/>
    <m/>
    <e v="#N/A"/>
    <s v="Macro"/>
    <m/>
    <n v="1"/>
  </r>
  <r>
    <s v="Tiền Giang"/>
    <s v="TGMT70"/>
    <s v="TGMT70"/>
    <s v="Swap"/>
    <s v="Dual-band"/>
    <n v="3"/>
    <s v="New"/>
    <s v="PS mới 5G B+"/>
    <n v="106.35959"/>
    <n v="10.359080000000001"/>
    <s v="My Tho"/>
    <s v="Month 2"/>
    <s v="Swap_L18 + L21 + NR 2.6 64T + NR 3.8"/>
    <s v="Outdoor"/>
    <s v="Swap_Month 2"/>
    <x v="8"/>
    <x v="45"/>
    <m/>
    <e v="#N/A"/>
    <s v="Macro"/>
    <m/>
    <n v="1"/>
  </r>
  <r>
    <s v="Tiền Giang"/>
    <s v="TGMT72"/>
    <s v="TGMT72"/>
    <s v="Swap"/>
    <s v="Dual-band"/>
    <n v="4"/>
    <s v="Swap"/>
    <s v="Swap (PS mới 5G B)"/>
    <n v="106.33137000000001"/>
    <n v="10.347860000000001"/>
    <s v="My Tho"/>
    <n v="0"/>
    <s v="Swap_L18 + L21 + NR 2.6 64T + NR 3.8"/>
    <s v="Outdoor"/>
    <s v="Swap_0"/>
    <x v="8"/>
    <x v="36"/>
    <m/>
    <e v="#N/A"/>
    <s v="Macro"/>
    <m/>
    <n v="1"/>
  </r>
  <r>
    <s v="Tiền Giang"/>
    <s v="TGMT74"/>
    <s v="TGMT74"/>
    <s v="Swap"/>
    <s v="Dual-band"/>
    <n v="4"/>
    <s v="New"/>
    <s v="PS mới 5G B+"/>
    <n v="106.3682"/>
    <n v="10.375859999999999"/>
    <s v="My Tho"/>
    <s v="Month 2"/>
    <s v="Swap_L18 + L21 + NR 2.6 64T + NR 3.8"/>
    <s v="Outdoor"/>
    <s v="Swap_Month 2"/>
    <x v="8"/>
    <x v="24"/>
    <m/>
    <e v="#N/A"/>
    <s v="Macro"/>
    <m/>
    <n v="1"/>
  </r>
  <r>
    <s v="Tiền Giang"/>
    <s v="TGMT75"/>
    <s v="TGMT75"/>
    <s v="Swap"/>
    <s v="Single-Band"/>
    <n v="3"/>
    <m/>
    <m/>
    <n v="106.33663"/>
    <n v="10.36248"/>
    <s v="My Tho"/>
    <n v="0"/>
    <s v="Swap_L18"/>
    <s v="Outdoor"/>
    <s v="Swap_0"/>
    <x v="8"/>
    <x v="36"/>
    <m/>
    <e v="#N/A"/>
    <s v="Macro"/>
    <m/>
    <n v="1"/>
  </r>
  <r>
    <s v="Tiền Giang"/>
    <s v="TGMT78"/>
    <s v="TGMT78"/>
    <s v="Swap"/>
    <s v="Dual-band"/>
    <n v="3"/>
    <s v="Swap"/>
    <s v="Swap (PS mới 5G B)"/>
    <n v="106.36450000000001"/>
    <n v="10.3797"/>
    <s v="My Tho"/>
    <s v="Month 2"/>
    <s v="Swap_L18 + L21 + NR 2.6 64T + NR 3.8"/>
    <s v="Outdoor"/>
    <s v="Swap_Month 2"/>
    <x v="8"/>
    <x v="24"/>
    <m/>
    <e v="#N/A"/>
    <s v="Macro"/>
    <m/>
    <n v="1"/>
  </r>
  <r>
    <s v="Tiền Giang"/>
    <s v="TGCT58"/>
    <s v="TGMT80"/>
    <s v="Swap"/>
    <s v="Single-Band"/>
    <n v="3"/>
    <s v="New"/>
    <s v="PS mới 5G C"/>
    <n v="106.32174000000001"/>
    <n v="10.40235"/>
    <s v="Chau Thanh"/>
    <n v="0"/>
    <s v="Swap_L18 + NR 7 + L9"/>
    <s v="Outdoor"/>
    <s v="Swap_0"/>
    <x v="6"/>
    <x v="32"/>
    <m/>
    <e v="#N/A"/>
    <s v="CRAN"/>
    <s v="Sub"/>
    <n v="4"/>
  </r>
  <r>
    <s v="Tiền Giang"/>
    <s v="TGMT55"/>
    <s v="TGMT80"/>
    <s v="Swap"/>
    <s v="Single-Band"/>
    <n v="3"/>
    <s v="New"/>
    <s v="PS mới 5G C"/>
    <n v="106.322936"/>
    <n v="10.385128"/>
    <s v="My Tho"/>
    <n v="0"/>
    <s v="Swap_L18 + NR 2.6 32T"/>
    <s v="Outdoor"/>
    <s v="Swap_0"/>
    <x v="8"/>
    <x v="32"/>
    <m/>
    <e v="#N/A"/>
    <s v="CRAN"/>
    <s v="Sub"/>
    <n v="4"/>
  </r>
  <r>
    <s v="Tiền Giang"/>
    <s v="TGMT80"/>
    <s v="TGMT80"/>
    <s v="Swap"/>
    <s v="Dual-band"/>
    <n v="3"/>
    <s v="New"/>
    <s v="PS mới 5G B+"/>
    <n v="106.317072"/>
    <n v="10.391266999999999"/>
    <s v="My Tho"/>
    <n v="0"/>
    <s v="Swap_L18 + L21 + NR 2.6 64T + NR 3.8"/>
    <s v="Outdoor"/>
    <s v="Swap_0"/>
    <x v="8"/>
    <x v="32"/>
    <m/>
    <e v="#N/A"/>
    <s v="Macro"/>
    <s v="Master"/>
    <n v="4"/>
  </r>
  <r>
    <s v="Tiền Giang"/>
    <s v="TGMTX1"/>
    <s v="TGMT80"/>
    <s v="Swap"/>
    <s v="Dual-band"/>
    <n v="3"/>
    <s v="Swap"/>
    <s v="Swap (PS mới 5G A)"/>
    <n v="106.31187"/>
    <n v="10.39293"/>
    <s v="My Tho"/>
    <n v="0"/>
    <s v="Swap_L18 + L21 + NR 2.6 64T + NR 3.8"/>
    <s v="Outdoor"/>
    <s v="Swap_0"/>
    <x v="8"/>
    <x v="32"/>
    <m/>
    <e v="#N/A"/>
    <s v="CRAN"/>
    <s v="Sub"/>
    <n v="4"/>
  </r>
  <r>
    <s v="Tiền Giang"/>
    <s v="TGCG58"/>
    <s v="TGMT81"/>
    <s v="Swap"/>
    <s v="Single-Band"/>
    <n v="3"/>
    <m/>
    <m/>
    <n v="106.36518"/>
    <n v="10.40484"/>
    <s v="Cho Gao"/>
    <s v="Month 2"/>
    <s v="Swap_L18 + NR 7 + L9"/>
    <s v="Outdoor"/>
    <s v="Swap_Month 2"/>
    <x v="3"/>
    <x v="22"/>
    <m/>
    <e v="#N/A"/>
    <s v="CRAN"/>
    <s v="Sub"/>
    <n v="3"/>
  </r>
  <r>
    <s v="Tiền Giang"/>
    <s v="TGMT79"/>
    <s v="TGMT81"/>
    <s v="Swap"/>
    <s v="Dual-band"/>
    <n v="3"/>
    <s v="New"/>
    <s v="PS mới 5G C"/>
    <n v="106.3691"/>
    <n v="10.382999999999999"/>
    <s v="My Tho"/>
    <s v="Month 2"/>
    <s v="Swap_L18 + L21 + NR 2.6 32T"/>
    <s v="Outdoor"/>
    <s v="Swap_Month 2"/>
    <x v="8"/>
    <x v="24"/>
    <m/>
    <e v="#N/A"/>
    <s v="CRAN"/>
    <s v="Sub"/>
    <n v="3"/>
  </r>
  <r>
    <s v="Tiền Giang"/>
    <s v="TGMT81"/>
    <s v="TGMT81"/>
    <s v="Swap"/>
    <s v="Single-Band"/>
    <n v="3"/>
    <m/>
    <m/>
    <n v="106.36732000000001"/>
    <n v="10.391590000000001"/>
    <s v="My Tho"/>
    <s v="Month 2"/>
    <s v="Swap_L18"/>
    <s v="Outdoor"/>
    <s v="Swap_Month 2"/>
    <x v="8"/>
    <x v="24"/>
    <m/>
    <e v="#N/A"/>
    <s v="Macro"/>
    <s v="Master"/>
    <n v="3"/>
  </r>
  <r>
    <s v="Tiền Giang"/>
    <s v="TGMT83"/>
    <s v="TGMT83"/>
    <s v="Swap"/>
    <s v="Single-Band"/>
    <n v="3"/>
    <s v="New"/>
    <s v="PS mới 5G B"/>
    <n v="106.3639"/>
    <n v="10.357355999999999"/>
    <s v="My Tho"/>
    <s v="Month 2"/>
    <s v="Swap_L18 + NR 2.6 64T"/>
    <s v="Outdoor"/>
    <s v="Swap_Month 2"/>
    <x v="8"/>
    <x v="44"/>
    <m/>
    <e v="#N/A"/>
    <s v="Macro"/>
    <m/>
    <n v="1"/>
  </r>
  <r>
    <s v="Tiền Giang"/>
    <s v="TGMT84"/>
    <s v="TGMT84"/>
    <s v="Swap"/>
    <s v="Single-Band"/>
    <n v="3"/>
    <m/>
    <m/>
    <n v="106.318"/>
    <n v="10.357633"/>
    <s v="My Tho"/>
    <n v="0"/>
    <s v="Swap_L18"/>
    <s v="Outdoor"/>
    <s v="Swap_0"/>
    <x v="8"/>
    <x v="36"/>
    <m/>
    <e v="#N/A"/>
    <s v="Macro"/>
    <m/>
    <n v="1"/>
  </r>
  <r>
    <s v="Tiền Giang"/>
    <s v="TGMTP2"/>
    <s v="TGMTP2"/>
    <s v="Swap"/>
    <s v="Dual-band"/>
    <n v="3"/>
    <s v="New"/>
    <s v="PS mới 5G A"/>
    <n v="106.3831"/>
    <n v="10.355499999999999"/>
    <s v="My Tho"/>
    <s v="Month 2"/>
    <s v="Swap_L18 + L21 + NR 2.6 32T"/>
    <s v="Outdoor"/>
    <s v="Swap_Month 2"/>
    <x v="8"/>
    <x v="44"/>
    <m/>
    <e v="#N/A"/>
    <s v="Macro"/>
    <m/>
    <n v="1"/>
  </r>
  <r>
    <s v="Tiền Giang"/>
    <s v="TGTD01"/>
    <s v="TGTD01"/>
    <s v="Swap"/>
    <s v="Single-Band"/>
    <n v="3"/>
    <m/>
    <m/>
    <n v="106.69601"/>
    <n v="10.24699"/>
    <s v="Tan Phu Dong"/>
    <n v="0"/>
    <s v="Swap_L18 + NR 7 + L9"/>
    <s v="Outdoor"/>
    <s v="Swap_0"/>
    <x v="12"/>
    <x v="46"/>
    <m/>
    <e v="#N/A"/>
    <s v="Macro"/>
    <m/>
    <n v="1"/>
  </r>
  <r>
    <s v="Tiền Giang"/>
    <s v="TGTD02"/>
    <s v="TGTD02"/>
    <s v="Swap"/>
    <s v="Dual-band"/>
    <n v="3"/>
    <s v="New"/>
    <s v="PS mới 5G C"/>
    <n v="106.65522"/>
    <n v="10.26998"/>
    <s v="Tan Phu Dong"/>
    <n v="0"/>
    <s v="Swap_L18 + L21 + NR 2.6 32T"/>
    <s v="Outdoor"/>
    <s v="Swap_0"/>
    <x v="12"/>
    <x v="46"/>
    <m/>
    <e v="#N/A"/>
    <s v="Macro"/>
    <m/>
    <n v="1"/>
  </r>
  <r>
    <s v="Tiền Giang"/>
    <s v="TGTD03"/>
    <s v="TGTD03"/>
    <s v="Swap"/>
    <s v="Single-Band"/>
    <n v="3"/>
    <m/>
    <m/>
    <n v="106.74205000000001"/>
    <n v="10.23211"/>
    <s v="Tan Phu Dong"/>
    <n v="0"/>
    <s v="Swap_L18"/>
    <s v="Outdoor"/>
    <s v="Swap_0"/>
    <x v="12"/>
    <x v="46"/>
    <m/>
    <e v="#N/A"/>
    <s v="Macro"/>
    <s v="Master"/>
    <n v="2"/>
  </r>
  <r>
    <s v="Tiền Giang"/>
    <s v="TGTD10"/>
    <s v="TGTD03"/>
    <s v="Swap"/>
    <s v="Single-Band"/>
    <n v="3"/>
    <m/>
    <m/>
    <n v="106.77271"/>
    <n v="10.220890000000001"/>
    <s v="Tan Phu Dong"/>
    <n v="0"/>
    <s v="Swap_L18"/>
    <s v="Outdoor"/>
    <s v="Swap_0"/>
    <x v="12"/>
    <x v="46"/>
    <m/>
    <s v="OK"/>
    <s v="CRAN"/>
    <s v="Sub"/>
    <n v="2"/>
  </r>
  <r>
    <s v="Tiền Giang"/>
    <s v="TGTD04"/>
    <s v="TGTD04"/>
    <s v="Swap"/>
    <s v="Single-Band"/>
    <n v="3"/>
    <m/>
    <m/>
    <n v="106.49135"/>
    <n v="10.301450000000001"/>
    <s v="Tan Phu Dong"/>
    <n v="0"/>
    <s v="Swap_L18"/>
    <s v="Outdoor"/>
    <s v="Swap_0"/>
    <x v="12"/>
    <x v="46"/>
    <m/>
    <e v="#N/A"/>
    <s v="Macro"/>
    <s v="Master"/>
    <n v="2"/>
  </r>
  <r>
    <s v="Tiền Giang"/>
    <s v="TGTD16"/>
    <s v="TGTD04"/>
    <s v="Swap"/>
    <s v="Single-Band"/>
    <n v="3"/>
    <m/>
    <m/>
    <n v="106.50671"/>
    <n v="10.29524"/>
    <s v="Tan Phu Dong"/>
    <n v="0"/>
    <s v="Swap_L18"/>
    <s v="Outdoor"/>
    <s v="Swap_0"/>
    <x v="12"/>
    <x v="46"/>
    <m/>
    <s v="OK"/>
    <s v="CRAN"/>
    <s v="Sub"/>
    <n v="2"/>
  </r>
  <r>
    <s v="Tiền Giang"/>
    <s v="TGTD05"/>
    <s v="TGTD05"/>
    <s v="Swap"/>
    <s v="Single-Band"/>
    <n v="3"/>
    <m/>
    <m/>
    <n v="106.69088000000001"/>
    <n v="10.2697"/>
    <s v="Tan Phu Dong"/>
    <n v="0"/>
    <s v="Swap_L18"/>
    <s v="Outdoor"/>
    <s v="Swap_0"/>
    <x v="12"/>
    <x v="46"/>
    <m/>
    <e v="#N/A"/>
    <s v="Macro"/>
    <m/>
    <n v="1"/>
  </r>
  <r>
    <s v="Tiền Giang"/>
    <s v="TGTD06"/>
    <s v="TGTD06"/>
    <s v="Swap"/>
    <s v="Single-Band"/>
    <n v="3"/>
    <m/>
    <m/>
    <n v="106.60311179999999"/>
    <n v="10.279422200000001"/>
    <s v="Tan Phu Dong"/>
    <n v="0"/>
    <s v="Swap_L18 + NR 2.6 32T"/>
    <s v="Outdoor"/>
    <s v="Swap_0"/>
    <x v="12"/>
    <x v="46"/>
    <m/>
    <e v="#N/A"/>
    <s v="Macro"/>
    <s v="Master"/>
    <n v="2"/>
  </r>
  <r>
    <s v="Tiền Giang"/>
    <s v="TGTD18"/>
    <s v="TGTD06"/>
    <s v="Swap"/>
    <s v="Single-Band"/>
    <n v="3"/>
    <m/>
    <m/>
    <n v="106.58343619999999"/>
    <n v="10.2795047"/>
    <s v="Tan Phu Dong"/>
    <n v="0"/>
    <s v="Swap_L18"/>
    <s v="Outdoor"/>
    <s v="Swap_0"/>
    <x v="12"/>
    <x v="46"/>
    <m/>
    <e v="#N/A"/>
    <s v="CRAN"/>
    <s v="Sub"/>
    <n v="2"/>
  </r>
  <r>
    <s v="Tiền Giang"/>
    <s v="TGTD07"/>
    <s v="TGTD07"/>
    <s v="Swap"/>
    <s v="Single-Band"/>
    <n v="3"/>
    <m/>
    <m/>
    <n v="106.5636361"/>
    <n v="10.279499400000001"/>
    <s v="Tan Phu Dong"/>
    <n v="0"/>
    <s v="Swap_L18"/>
    <s v="Outdoor"/>
    <s v="Swap_0"/>
    <x v="12"/>
    <x v="46"/>
    <m/>
    <e v="#N/A"/>
    <s v="Macro"/>
    <m/>
    <n v="1"/>
  </r>
  <r>
    <s v="Tiền Giang"/>
    <s v="TGTD08"/>
    <s v="TGTD08"/>
    <s v="Swap"/>
    <s v="Single-Band"/>
    <n v="3"/>
    <m/>
    <m/>
    <n v="106.71995"/>
    <n v="10.23563"/>
    <s v="Tan Phu Dong"/>
    <n v="0"/>
    <s v="Swap_L18"/>
    <s v="Outdoor"/>
    <s v="Swap_0"/>
    <x v="12"/>
    <x v="46"/>
    <m/>
    <e v="#N/A"/>
    <s v="Macro"/>
    <m/>
    <n v="1"/>
  </r>
  <r>
    <s v="Tiền Giang"/>
    <s v="TGTD09"/>
    <s v="TGTD09"/>
    <s v="Swap"/>
    <s v="Single-Band"/>
    <n v="3"/>
    <m/>
    <m/>
    <n v="106.63009839999999"/>
    <n v="10.269866199999999"/>
    <s v="Tan Phu Dong"/>
    <n v="0"/>
    <s v="Swap_L18"/>
    <s v="Outdoor"/>
    <s v="Swap_0"/>
    <x v="12"/>
    <x v="46"/>
    <m/>
    <e v="#N/A"/>
    <s v="Macro"/>
    <m/>
    <n v="1"/>
  </r>
  <r>
    <s v="Tiền Giang"/>
    <s v="TGTD11"/>
    <s v="TGTD11"/>
    <s v="Swap"/>
    <s v="Single-Band"/>
    <n v="3"/>
    <m/>
    <m/>
    <n v="106.59549"/>
    <n v="10.261279999999999"/>
    <s v="Tan Phu Dong"/>
    <n v="0"/>
    <s v="Swap_L18"/>
    <s v="Outdoor"/>
    <s v="Swap_0"/>
    <x v="12"/>
    <x v="46"/>
    <m/>
    <e v="#N/A"/>
    <s v="Macro"/>
    <s v="Master"/>
    <n v="3"/>
  </r>
  <r>
    <s v="Tiền Giang"/>
    <s v="TGTD15"/>
    <s v="TGTD11"/>
    <s v="Swap"/>
    <s v="Single-Band"/>
    <n v="3"/>
    <m/>
    <m/>
    <n v="106.6405024"/>
    <n v="10.255556"/>
    <s v="Tan Phu Dong"/>
    <n v="0"/>
    <s v="Swap_L18"/>
    <s v="Outdoor"/>
    <s v="Swap_0"/>
    <x v="12"/>
    <x v="46"/>
    <m/>
    <s v="OK"/>
    <s v="CRAN"/>
    <s v="Sub"/>
    <n v="3"/>
  </r>
  <r>
    <s v="Tiền Giang"/>
    <s v="TGTD21"/>
    <s v="TGTD11"/>
    <s v="Swap"/>
    <s v="Single-Band"/>
    <n v="3"/>
    <m/>
    <m/>
    <n v="106.5475"/>
    <n v="10.273300000000001"/>
    <s v="Tan Phu Dong"/>
    <n v="0"/>
    <s v="Swap_L18"/>
    <s v="Outdoor"/>
    <s v="Swap_0"/>
    <x v="12"/>
    <x v="46"/>
    <m/>
    <e v="#N/A"/>
    <s v="CRAN"/>
    <s v="Sub"/>
    <n v="3"/>
  </r>
  <r>
    <s v="Tiền Giang"/>
    <s v="TGTD12"/>
    <s v="TGTD12"/>
    <s v="Swap"/>
    <s v="Single-Band"/>
    <n v="3"/>
    <m/>
    <m/>
    <n v="106.5266208"/>
    <n v="10.2853233"/>
    <s v="Tan Phu Dong"/>
    <n v="0"/>
    <s v="Swap_L18 + NR 2.6 32T"/>
    <s v="Outdoor"/>
    <s v="Swap_0"/>
    <x v="12"/>
    <x v="46"/>
    <m/>
    <e v="#N/A"/>
    <s v="Macro"/>
    <m/>
    <n v="1"/>
  </r>
  <r>
    <s v="Tiền Giang"/>
    <s v="TGTD13"/>
    <s v="TGTD13"/>
    <s v="Swap"/>
    <s v="Single-Band"/>
    <n v="3"/>
    <m/>
    <m/>
    <n v="106.7391411"/>
    <n v="10.257970500000001"/>
    <s v="Tan Phu Dong"/>
    <n v="0"/>
    <s v="Swap_L18"/>
    <s v="Outdoor"/>
    <s v="Swap_0"/>
    <x v="12"/>
    <x v="46"/>
    <m/>
    <e v="#N/A"/>
    <s v="Macro"/>
    <m/>
    <n v="1"/>
  </r>
  <r>
    <s v="Tiền Giang"/>
    <s v="TGTD17"/>
    <s v="TGTD17"/>
    <s v="Swap"/>
    <s v="Dual-band"/>
    <n v="3"/>
    <m/>
    <m/>
    <n v="106.67286129999999"/>
    <n v="10.262041200000001"/>
    <s v="Tan Phu Dong"/>
    <n v="0"/>
    <s v="Swap_L18 + L21"/>
    <s v="Outdoor"/>
    <s v="Swap_0"/>
    <x v="12"/>
    <x v="46"/>
    <m/>
    <e v="#N/A"/>
    <s v="Macro"/>
    <m/>
    <n v="1"/>
  </r>
  <r>
    <s v="Tiền Giang"/>
    <s v="TGTD19"/>
    <s v="TGTD19"/>
    <s v="Swap"/>
    <s v="Single-Band"/>
    <n v="3"/>
    <m/>
    <m/>
    <n v="106.5448"/>
    <n v="10.2843"/>
    <s v="Tan Phu Dong"/>
    <n v="0"/>
    <s v="Swap_L18"/>
    <s v="Outdoor"/>
    <s v="Swap_0"/>
    <x v="12"/>
    <x v="46"/>
    <m/>
    <e v="#N/A"/>
    <s v="Macro"/>
    <m/>
    <n v="1"/>
  </r>
  <r>
    <s v="Tiền Giang"/>
    <s v="TGTD24"/>
    <s v="TGTD24"/>
    <s v="Swap"/>
    <s v="Single-Band"/>
    <n v="3"/>
    <m/>
    <m/>
    <n v="106.679829"/>
    <n v="10.281117999999999"/>
    <s v="Tan Phu Dong"/>
    <n v="0"/>
    <s v="Swap_L18"/>
    <s v="Outdoor"/>
    <s v="Swap_0"/>
    <x v="12"/>
    <x v="46"/>
    <m/>
    <e v="#N/A"/>
    <s v="Macro"/>
    <m/>
    <n v="1"/>
  </r>
  <r>
    <s v="Tiền Giang"/>
    <s v="TGTP01"/>
    <s v="TGTP01"/>
    <s v="Swap"/>
    <s v="Dual-band"/>
    <n v="4"/>
    <s v="New"/>
    <s v="PS mới 5G C"/>
    <n v="106.1962"/>
    <n v="10.47369"/>
    <s v="Tan Phuoc"/>
    <n v="0"/>
    <s v="Swap_L18 + L21 + NR 2.6 32T"/>
    <s v="Outdoor"/>
    <s v="Swap_0"/>
    <x v="7"/>
    <x v="30"/>
    <m/>
    <e v="#N/A"/>
    <s v="Macro"/>
    <m/>
    <n v="1"/>
  </r>
  <r>
    <s v="Tiền Giang"/>
    <s v="TGTP02"/>
    <s v="TGTP02"/>
    <s v="Swap"/>
    <s v="Single-Band"/>
    <n v="3"/>
    <s v="New"/>
    <s v="PS mới 5G C"/>
    <n v="106.33076"/>
    <n v="10.54138"/>
    <s v="Tan Phuoc"/>
    <n v="0"/>
    <s v="Swap_L18 + NR 2.6 32T"/>
    <s v="Outdoor"/>
    <s v="Swap_0"/>
    <x v="7"/>
    <x v="30"/>
    <m/>
    <e v="#N/A"/>
    <s v="Macro"/>
    <m/>
    <n v="1"/>
  </r>
  <r>
    <s v="Tiền Giang"/>
    <s v="TGTP03"/>
    <s v="TGTP03"/>
    <s v="Swap"/>
    <s v="Single-Band"/>
    <n v="3"/>
    <m/>
    <m/>
    <n v="106.23900999999999"/>
    <n v="10.495039999999999"/>
    <s v="Tan Phuoc"/>
    <n v="0"/>
    <s v="Swap_L18"/>
    <s v="Outdoor"/>
    <s v="Swap_0"/>
    <x v="7"/>
    <x v="30"/>
    <m/>
    <e v="#N/A"/>
    <s v="Macro"/>
    <m/>
    <n v="1"/>
  </r>
  <r>
    <s v="Tiền Giang"/>
    <s v="TGTP04"/>
    <s v="TGTP04"/>
    <s v="Swap"/>
    <s v="Single-Band"/>
    <n v="3"/>
    <s v="New"/>
    <s v="PS mới 5G C"/>
    <n v="106.33712"/>
    <n v="10.534750000000001"/>
    <s v="Tan Phuoc"/>
    <n v="0"/>
    <s v="Swap_L18 + NR 2.6 32T"/>
    <s v="Outdoor"/>
    <s v="Swap_0"/>
    <x v="7"/>
    <x v="30"/>
    <m/>
    <e v="#N/A"/>
    <s v="Macro"/>
    <s v="Master"/>
    <n v="3"/>
  </r>
  <r>
    <s v="Tiền Giang"/>
    <s v="TGTP45"/>
    <s v="TGTP04"/>
    <s v="Swap"/>
    <s v="Single-Band"/>
    <n v="3"/>
    <m/>
    <m/>
    <n v="106.32594"/>
    <n v="10.52181"/>
    <s v="Tan Phuoc"/>
    <n v="0"/>
    <s v="Swap_L18"/>
    <s v="Outdoor"/>
    <s v="Swap_0"/>
    <x v="7"/>
    <x v="30"/>
    <m/>
    <e v="#N/A"/>
    <s v="CRAN"/>
    <s v="Sub"/>
    <n v="3"/>
  </r>
  <r>
    <s v="Tiền Giang"/>
    <s v="TGTP46"/>
    <s v="TGTP04"/>
    <s v="Swap"/>
    <s v="Single-Band"/>
    <n v="3"/>
    <m/>
    <m/>
    <n v="106.31619999999999"/>
    <n v="10.5572"/>
    <s v="Tan Phuoc"/>
    <n v="0"/>
    <s v="Swap_L18"/>
    <s v="Outdoor"/>
    <s v="Swap_0"/>
    <x v="7"/>
    <x v="30"/>
    <m/>
    <e v="#N/A"/>
    <s v="CRAN"/>
    <s v="Sub"/>
    <n v="3"/>
  </r>
  <r>
    <s v="Tiền Giang"/>
    <s v="TGTP05"/>
    <s v="TGTP05"/>
    <s v="Swap"/>
    <s v="Dual-band"/>
    <n v="3"/>
    <s v="New"/>
    <s v="PS mới 5G C"/>
    <n v="106.29640000000001"/>
    <n v="10.458640000000001"/>
    <s v="Tan Phuoc"/>
    <n v="0"/>
    <s v="Swap_L18 + L21 + NR 2.6 32T"/>
    <s v="Outdoor"/>
    <s v="Swap_0"/>
    <x v="7"/>
    <x v="34"/>
    <m/>
    <e v="#N/A"/>
    <s v="Macro"/>
    <m/>
    <n v="1"/>
  </r>
  <r>
    <s v="Tiền Giang"/>
    <s v="TGTP06"/>
    <s v="TGTP06"/>
    <s v="Swap"/>
    <s v="Single-Band"/>
    <n v="3"/>
    <m/>
    <m/>
    <n v="106.23338"/>
    <n v="10.44759"/>
    <s v="Tan Phuoc"/>
    <n v="0"/>
    <s v="Swap_L18 + NR 2.6 32T"/>
    <s v="Outdoor"/>
    <s v="Swap_0"/>
    <x v="7"/>
    <x v="34"/>
    <m/>
    <e v="#N/A"/>
    <s v="Macro"/>
    <m/>
    <n v="1"/>
  </r>
  <r>
    <s v="Tiền Giang"/>
    <s v="TGTP08"/>
    <s v="TGTP08"/>
    <s v="Swap"/>
    <s v="Single-Band"/>
    <n v="3"/>
    <m/>
    <m/>
    <n v="106.1970061"/>
    <n v="10.579753699999999"/>
    <s v="Tan Phuoc"/>
    <n v="0"/>
    <s v="Swap_L18 + NR 7 + L9"/>
    <s v="Outdoor"/>
    <s v="Swap_0"/>
    <x v="7"/>
    <x v="30"/>
    <m/>
    <e v="#N/A"/>
    <s v="Macro"/>
    <m/>
    <n v="1"/>
  </r>
  <r>
    <s v="Tiền Giang"/>
    <s v="TGTP09"/>
    <s v="TGTP09"/>
    <s v="Swap"/>
    <s v="Single-Band"/>
    <n v="4"/>
    <m/>
    <m/>
    <n v="106.291"/>
    <n v="10.489240000000001"/>
    <s v="Tan Phuoc"/>
    <n v="0"/>
    <s v="Swap_L18 + NR 2.6 32T"/>
    <s v="Outdoor"/>
    <s v="Swap_0"/>
    <x v="7"/>
    <x v="34"/>
    <m/>
    <e v="#N/A"/>
    <s v="Macro"/>
    <m/>
    <n v="1"/>
  </r>
  <r>
    <s v="Tiền Giang"/>
    <s v="TGTP10"/>
    <s v="TGTP10"/>
    <s v="Swap"/>
    <s v="Single-Band"/>
    <n v="3"/>
    <m/>
    <m/>
    <n v="106.26244"/>
    <n v="10.456939999999999"/>
    <s v="Tan Phuoc"/>
    <n v="0"/>
    <s v="Swap_L18"/>
    <s v="Outdoor"/>
    <s v="Swap_0"/>
    <x v="7"/>
    <x v="34"/>
    <m/>
    <e v="#N/A"/>
    <s v="Macro"/>
    <s v="Master"/>
    <n v="2"/>
  </r>
  <r>
    <s v="Tiền Giang"/>
    <s v="TGTP44"/>
    <s v="TGTP10"/>
    <s v="Swap"/>
    <s v="Single-Band"/>
    <n v="3"/>
    <m/>
    <m/>
    <n v="106.279014"/>
    <n v="10.447687999999999"/>
    <s v="Tan Phuoc"/>
    <n v="0"/>
    <s v="Swap_L18"/>
    <s v="Outdoor"/>
    <s v="Swap_0"/>
    <x v="7"/>
    <x v="34"/>
    <m/>
    <s v="OK"/>
    <s v="CRAN"/>
    <s v="Sub"/>
    <n v="2"/>
  </r>
  <r>
    <s v="Tiền Giang"/>
    <s v="TGTP11"/>
    <s v="TGTP11"/>
    <s v="Swap"/>
    <s v="Single-Band"/>
    <n v="3"/>
    <s v="New"/>
    <s v="PS mới 5G C"/>
    <n v="106.28740000000001"/>
    <n v="10.52112"/>
    <s v="Tan Phuoc"/>
    <n v="0"/>
    <s v="Swap_L18 + NR 2.6 32T"/>
    <s v="Outdoor"/>
    <s v="Swap_0"/>
    <x v="7"/>
    <x v="30"/>
    <m/>
    <e v="#N/A"/>
    <s v="Macro"/>
    <m/>
    <n v="1"/>
  </r>
  <r>
    <s v="Tiền Giang"/>
    <s v="TGTP12"/>
    <s v="TGTP12"/>
    <s v="Swap"/>
    <s v="Single-Band"/>
    <n v="3"/>
    <m/>
    <m/>
    <n v="106.2528367"/>
    <n v="10.5458728"/>
    <s v="Tan Phuoc"/>
    <n v="0"/>
    <s v="Swap_L18"/>
    <s v="Outdoor"/>
    <s v="Swap_0"/>
    <x v="7"/>
    <x v="30"/>
    <m/>
    <e v="#N/A"/>
    <s v="Macro"/>
    <m/>
    <n v="1"/>
  </r>
  <r>
    <s v="Tiền Giang"/>
    <s v="TGTP13"/>
    <s v="TGTP13"/>
    <s v="Swap"/>
    <s v="Single-Band"/>
    <n v="3"/>
    <m/>
    <m/>
    <n v="106.32167"/>
    <n v="10.503819999999999"/>
    <s v="Tan Phuoc"/>
    <n v="0"/>
    <s v="Swap_L18"/>
    <s v="Outdoor"/>
    <s v="Swap_0"/>
    <x v="7"/>
    <x v="34"/>
    <m/>
    <e v="#N/A"/>
    <s v="Macro"/>
    <m/>
    <n v="1"/>
  </r>
  <r>
    <s v="Tiền Giang"/>
    <s v="TGTP15"/>
    <s v="TGTP15"/>
    <s v="Swap"/>
    <s v="Single-Band"/>
    <n v="3"/>
    <m/>
    <m/>
    <n v="106.1940791"/>
    <n v="10.503965000000001"/>
    <s v="Tan Phuoc"/>
    <n v="0"/>
    <s v="Swap_L18"/>
    <s v="Outdoor"/>
    <s v="Swap_0"/>
    <x v="7"/>
    <x v="30"/>
    <m/>
    <e v="#N/A"/>
    <s v="Macro"/>
    <m/>
    <n v="1"/>
  </r>
  <r>
    <s v="Tiền Giang"/>
    <s v="TGTP16"/>
    <s v="TGTP16"/>
    <s v="Swap"/>
    <s v="Single-Band"/>
    <n v="3"/>
    <m/>
    <m/>
    <n v="106.14979"/>
    <n v="10.485519999999999"/>
    <s v="Tan Phuoc"/>
    <n v="0"/>
    <s v="Swap_L18 + NR 7 + L9"/>
    <s v="Outdoor"/>
    <s v="Swap_0"/>
    <x v="7"/>
    <x v="30"/>
    <m/>
    <e v="#N/A"/>
    <s v="Macro"/>
    <m/>
    <n v="1"/>
  </r>
  <r>
    <s v="Tiền Giang"/>
    <s v="TGTP17"/>
    <s v="TGTP17"/>
    <s v="Swap"/>
    <s v="Single-Band"/>
    <n v="3"/>
    <m/>
    <m/>
    <n v="106.30959"/>
    <n v="10.531739999999999"/>
    <s v="Tan Phuoc"/>
    <n v="0"/>
    <s v="Swap_L18 + NR 7 + L9"/>
    <s v="Outdoor"/>
    <s v="Swap_0"/>
    <x v="7"/>
    <x v="30"/>
    <m/>
    <e v="#N/A"/>
    <s v="Macro"/>
    <m/>
    <n v="1"/>
  </r>
  <r>
    <s v="Tiền Giang"/>
    <s v="TGTP18"/>
    <s v="TGTP18"/>
    <s v="Swap"/>
    <s v="Single-Band"/>
    <n v="3"/>
    <m/>
    <m/>
    <n v="106.19741"/>
    <n v="10.55251"/>
    <s v="Tan Phuoc"/>
    <n v="0"/>
    <s v="Swap_L18"/>
    <s v="Outdoor"/>
    <s v="Swap_0"/>
    <x v="7"/>
    <x v="30"/>
    <m/>
    <e v="#N/A"/>
    <s v="Macro"/>
    <m/>
    <n v="1"/>
  </r>
  <r>
    <s v="Tiền Giang"/>
    <s v="DTPTP112"/>
    <s v="TGTP19"/>
    <s v="Swap"/>
    <s v="Dual-band"/>
    <n v="2"/>
    <m/>
    <m/>
    <n v="106.20269999999999"/>
    <n v="10.48757"/>
    <s v="Tân Phước"/>
    <n v="0"/>
    <s v="Swap 4G Only"/>
    <m/>
    <m/>
    <x v="1"/>
    <x v="30"/>
    <m/>
    <e v="#N/A"/>
    <s v="CRAN"/>
    <s v="Sub"/>
    <n v="3"/>
  </r>
  <r>
    <s v="Tiền Giang"/>
    <s v="TGTP07"/>
    <s v="TGTP19"/>
    <s v="Swap"/>
    <s v="Single-Band"/>
    <n v="3"/>
    <m/>
    <m/>
    <n v="106.1981943"/>
    <n v="10.5274126"/>
    <s v="Tan Phuoc"/>
    <n v="0"/>
    <s v="Swap_L18"/>
    <s v="Outdoor"/>
    <s v="Swap_0"/>
    <x v="7"/>
    <x v="30"/>
    <m/>
    <e v="#N/A"/>
    <s v="CRAN"/>
    <s v="Sub"/>
    <n v="3"/>
  </r>
  <r>
    <s v="Tiền Giang"/>
    <s v="TGTP19"/>
    <s v="TGTP19"/>
    <s v="Swap"/>
    <s v="Single-Band"/>
    <n v="3"/>
    <s v="New"/>
    <s v="PS mới 5G C"/>
    <n v="106.19352000000001"/>
    <n v="10.48279"/>
    <s v="Tan Phuoc"/>
    <n v="0"/>
    <s v="Swap_L18 + NR 2.6 32T"/>
    <s v="Outdoor"/>
    <s v="Swap_0"/>
    <x v="7"/>
    <x v="30"/>
    <m/>
    <e v="#N/A"/>
    <s v="Macro"/>
    <s v="Master"/>
    <n v="3"/>
  </r>
  <r>
    <s v="Tiền Giang"/>
    <s v="TGTP20"/>
    <s v="TGTP20"/>
    <s v="Swap"/>
    <s v="Dual-band"/>
    <n v="4"/>
    <s v="New"/>
    <s v="PS mới 5G C"/>
    <n v="106.31976"/>
    <n v="10.45086"/>
    <s v="Tan Phuoc"/>
    <n v="0"/>
    <s v="Swap_L18 + L21 + NR 2.6 32T"/>
    <s v="Outdoor"/>
    <s v="Swap_0"/>
    <x v="7"/>
    <x v="34"/>
    <m/>
    <e v="#N/A"/>
    <s v="Macro"/>
    <m/>
    <n v="1"/>
  </r>
  <r>
    <s v="Tiền Giang"/>
    <s v="TGTP21"/>
    <s v="TGTP21"/>
    <s v="Swap"/>
    <s v="Single-Band"/>
    <n v="3"/>
    <m/>
    <m/>
    <n v="106.15141269999999"/>
    <n v="10.5502748"/>
    <s v="Tan Phuoc"/>
    <n v="0"/>
    <s v="Swap_L18 + NR 7 + L9"/>
    <s v="Outdoor"/>
    <s v="Swap_0"/>
    <x v="7"/>
    <x v="30"/>
    <m/>
    <e v="#N/A"/>
    <s v="Macro"/>
    <m/>
    <n v="1"/>
  </r>
  <r>
    <s v="Tiền Giang"/>
    <s v="DTPTP207"/>
    <s v="TGTP22"/>
    <s v="Swap"/>
    <s v="Dual-band"/>
    <n v="1"/>
    <m/>
    <m/>
    <n v="106.1052"/>
    <n v="10.524749999999999"/>
    <s v="Tân Phước"/>
    <n v="0"/>
    <s v="Swap 4G Only"/>
    <m/>
    <m/>
    <x v="1"/>
    <x v="30"/>
    <m/>
    <e v="#N/A"/>
    <s v="CRAN"/>
    <s v="Sub"/>
    <n v="1"/>
  </r>
  <r>
    <s v="Tiền Giang"/>
    <s v="TGCTX2"/>
    <s v="TGTP23"/>
    <s v="Swap"/>
    <s v="Single-Band"/>
    <n v="3"/>
    <m/>
    <m/>
    <n v="106.20654999999999"/>
    <n v="10.44609"/>
    <s v="Chau Thanh"/>
    <n v="0"/>
    <s v="Swap_L18"/>
    <s v="Outdoor"/>
    <s v="Swap_0"/>
    <x v="6"/>
    <x v="34"/>
    <m/>
    <e v="#N/A"/>
    <s v="CRAN"/>
    <s v="Sub"/>
    <n v="2"/>
  </r>
  <r>
    <s v="Tiền Giang"/>
    <s v="TGTP23"/>
    <s v="TGTP23"/>
    <s v="Swap"/>
    <s v="Single-Band"/>
    <n v="4"/>
    <m/>
    <m/>
    <n v="106.21716379999999"/>
    <n v="10.463243200000001"/>
    <s v="Tan Phuoc"/>
    <n v="0"/>
    <s v="Swap_L18"/>
    <s v="Outdoor"/>
    <s v="Swap_0"/>
    <x v="7"/>
    <x v="34"/>
    <m/>
    <e v="#N/A"/>
    <s v="Macro"/>
    <s v="Master"/>
    <n v="2"/>
  </r>
  <r>
    <s v="Tiền Giang"/>
    <s v="TGTP24"/>
    <s v="TGTP24"/>
    <s v="Swap"/>
    <s v="Dual-band"/>
    <n v="3"/>
    <s v="Swap"/>
    <s v="Swap (PS mới 5G A)"/>
    <n v="106.30813999999999"/>
    <n v="10.47667"/>
    <s v="Tan Phuoc"/>
    <n v="0"/>
    <s v="Swap_L18 + L21 + NR 2.6 64T + NR 3.8"/>
    <s v="Outdoor"/>
    <s v="Swap_0"/>
    <x v="7"/>
    <x v="34"/>
    <m/>
    <e v="#N/A"/>
    <s v="Macro"/>
    <s v="Master"/>
    <n v="2"/>
  </r>
  <r>
    <s v="Tiền Giang"/>
    <s v="TGTPX0"/>
    <s v="TGTP24"/>
    <s v="Swap"/>
    <s v="Dual-band"/>
    <n v="3"/>
    <s v="New"/>
    <s v="PS mới 5G C"/>
    <n v="106.31468"/>
    <n v="10.477130000000001"/>
    <s v="Tan Phuoc"/>
    <n v="0"/>
    <s v="Swap_L18 + L21 + NR 2.6 32T"/>
    <s v="Outdoor"/>
    <s v="Swap_0"/>
    <x v="7"/>
    <x v="34"/>
    <m/>
    <e v="#N/A"/>
    <s v="CRAN"/>
    <s v="Sub"/>
    <n v="2"/>
  </r>
  <r>
    <s v="Tiền Giang"/>
    <s v="TGTP27"/>
    <s v="TGTP27"/>
    <s v="Swap"/>
    <s v="Dual-band"/>
    <n v="4"/>
    <s v="New"/>
    <s v="PS mới 5G C"/>
    <n v="106.3087"/>
    <n v="10.4712"/>
    <s v="Tan Phuoc"/>
    <n v="0"/>
    <s v="Swap_L18 + L21 + NR 2.6 32T"/>
    <s v="Outdoor"/>
    <s v="Swap_0"/>
    <x v="7"/>
    <x v="34"/>
    <m/>
    <e v="#N/A"/>
    <s v="Macro"/>
    <s v="Master"/>
    <n v="2"/>
  </r>
  <r>
    <s v="Tiền Giang"/>
    <s v="TGTP31"/>
    <s v="TGTP27"/>
    <s v="Swap"/>
    <s v="Dual-band"/>
    <n v="3"/>
    <s v="New"/>
    <s v="PS mới 5G C"/>
    <n v="106.30569010000001"/>
    <n v="10.4669398"/>
    <s v="Tan Phuoc"/>
    <n v="0"/>
    <s v="Swap_L18 + L21 + NR 2.6 32T"/>
    <s v="Outdoor"/>
    <s v="Swap_0"/>
    <x v="7"/>
    <x v="34"/>
    <m/>
    <e v="#N/A"/>
    <s v="CRAN"/>
    <s v="Sub"/>
    <n v="2"/>
  </r>
  <r>
    <s v="Tiền Giang"/>
    <s v="TGTP28"/>
    <s v="TGTP28"/>
    <s v="Swap"/>
    <s v="Single-Band"/>
    <n v="3"/>
    <s v="New"/>
    <s v="PS mới 5G C"/>
    <n v="106.2154771"/>
    <n v="10.4881759"/>
    <s v="Tan Phuoc"/>
    <n v="0"/>
    <s v="Swap_L18 + NR 2.6 32T"/>
    <s v="Outdoor"/>
    <s v="Swap_0"/>
    <x v="7"/>
    <x v="30"/>
    <m/>
    <e v="#N/A"/>
    <s v="Macro"/>
    <m/>
    <n v="1"/>
  </r>
  <r>
    <s v="Tiền Giang"/>
    <s v="TGTP29"/>
    <s v="TGTP29"/>
    <s v="Swap"/>
    <s v="Dual-band"/>
    <n v="3"/>
    <s v="New"/>
    <s v="PS mới 5G C"/>
    <n v="106.29464"/>
    <n v="10.47627"/>
    <s v="Tan Phuoc"/>
    <n v="0"/>
    <s v="Swap_L18 + L21 + NR 2.6 32T"/>
    <s v="Outdoor"/>
    <s v="Swap_0"/>
    <x v="7"/>
    <x v="34"/>
    <m/>
    <e v="#N/A"/>
    <s v="Macro"/>
    <s v="Master"/>
    <n v="2"/>
  </r>
  <r>
    <s v="Tiền Giang"/>
    <s v="TGTP49"/>
    <s v="TGTP29"/>
    <s v="Swap"/>
    <s v="Dual-band"/>
    <n v="3"/>
    <s v="New"/>
    <s v="PS mới 5G C"/>
    <n v="106.3087"/>
    <n v="10.4574"/>
    <s v="Tan Phuoc"/>
    <n v="0"/>
    <s v="Swap_L18 + L21 + NR 2.6 32T"/>
    <s v="Outdoor"/>
    <s v="Swap_0"/>
    <x v="7"/>
    <x v="34"/>
    <m/>
    <e v="#N/A"/>
    <s v="CRAN"/>
    <s v="Sub"/>
    <n v="2"/>
  </r>
  <r>
    <s v="Tiền Giang"/>
    <s v="TGTP30"/>
    <s v="TGTP30"/>
    <s v="Swap"/>
    <s v="Single-Band"/>
    <n v="3"/>
    <m/>
    <m/>
    <n v="106.25944"/>
    <n v="10.50816"/>
    <s v="Tan Phuoc"/>
    <n v="0"/>
    <s v="Swap_L18"/>
    <s v="Outdoor"/>
    <s v="Swap_0"/>
    <x v="7"/>
    <x v="30"/>
    <m/>
    <e v="#N/A"/>
    <s v="Macro"/>
    <m/>
    <n v="1"/>
  </r>
  <r>
    <s v="Tiền Giang"/>
    <s v="TGTP33"/>
    <s v="TGTP33"/>
    <s v="Swap"/>
    <s v="Single-Band"/>
    <n v="3"/>
    <m/>
    <m/>
    <n v="106.26439999999999"/>
    <n v="10.4373"/>
    <s v="Tan Phuoc"/>
    <n v="0"/>
    <s v="Swap_L18 + NR 7 + L9"/>
    <s v="Outdoor"/>
    <s v="Swap_0"/>
    <x v="7"/>
    <x v="34"/>
    <m/>
    <e v="#N/A"/>
    <s v="Macro"/>
    <m/>
    <n v="1"/>
  </r>
  <r>
    <s v="Tiền Giang"/>
    <s v="TGTP34"/>
    <s v="TGTP34"/>
    <s v="Swap"/>
    <s v="Single-Band"/>
    <n v="4"/>
    <s v="Swap"/>
    <s v="Swap (PS mới 5G B)"/>
    <n v="106.31148"/>
    <n v="10.46264"/>
    <s v="Tan Phuoc"/>
    <n v="0"/>
    <s v="Swap_L18 + NR 2.6 64T + NR 3.8"/>
    <s v="Outdoor"/>
    <s v="Swap_0"/>
    <x v="7"/>
    <x v="34"/>
    <m/>
    <e v="#N/A"/>
    <s v="Macro"/>
    <m/>
    <n v="1"/>
  </r>
  <r>
    <s v="Tiền Giang"/>
    <s v="TGTP35"/>
    <s v="TGTP35"/>
    <s v="Swap"/>
    <s v="Single-Band"/>
    <n v="3"/>
    <s v="New"/>
    <s v="PS mới 5G C"/>
    <n v="106.3183804"/>
    <n v="10.476016700000001"/>
    <s v="Tan Phuoc"/>
    <n v="0"/>
    <s v="Swap_L18 + NR 2.6 32T"/>
    <s v="Outdoor"/>
    <s v="Swap_0"/>
    <x v="7"/>
    <x v="34"/>
    <m/>
    <e v="#N/A"/>
    <s v="Macro"/>
    <m/>
    <n v="1"/>
  </r>
  <r>
    <s v="Tiền Giang"/>
    <s v="TGTP36"/>
    <s v="TGTP36"/>
    <s v="Swap"/>
    <s v="Dual-band"/>
    <n v="3"/>
    <s v="Swap"/>
    <s v="Swap (PS mới 5G A)"/>
    <n v="106.31808409999999"/>
    <n v="10.467079200000001"/>
    <s v="Tan Phuoc"/>
    <n v="0"/>
    <s v="Swap_L18 + L21 + NR 2.6 64T + NR 3.8"/>
    <s v="Outdoor"/>
    <s v="Swap_0"/>
    <x v="7"/>
    <x v="34"/>
    <m/>
    <e v="#N/A"/>
    <s v="Macro"/>
    <m/>
    <n v="1"/>
  </r>
  <r>
    <s v="Tiền Giang"/>
    <s v="TGTP37"/>
    <s v="TGTP37"/>
    <s v="Swap"/>
    <s v="Single-Band"/>
    <n v="4"/>
    <s v="New"/>
    <s v="PS mới 5G C"/>
    <n v="106.31959999999999"/>
    <n v="10.472"/>
    <s v="Tan Phuoc"/>
    <n v="0"/>
    <s v="Swap_L18 + NR 2.6 32T"/>
    <s v="Outdoor"/>
    <s v="Swap_0"/>
    <x v="7"/>
    <x v="34"/>
    <m/>
    <e v="#N/A"/>
    <s v="Macro"/>
    <m/>
    <n v="1"/>
  </r>
  <r>
    <s v="Tiền Giang"/>
    <s v="TGTP38"/>
    <s v="TGTP38"/>
    <s v="Swap"/>
    <s v="Single-Band"/>
    <n v="4"/>
    <s v="New"/>
    <s v="PS mới 5G C"/>
    <n v="106.30338999999999"/>
    <n v="10.46227"/>
    <s v="Tan Phuoc"/>
    <n v="0"/>
    <s v="Swap_L18 + NR 2.6 32T"/>
    <s v="Outdoor"/>
    <s v="Swap_0"/>
    <x v="7"/>
    <x v="34"/>
    <m/>
    <e v="#N/A"/>
    <s v="Macro"/>
    <m/>
    <n v="1"/>
  </r>
  <r>
    <s v="Tiền Giang"/>
    <s v="TGTP39"/>
    <s v="TGTP39"/>
    <s v="Swap"/>
    <s v="Dual-band"/>
    <n v="3"/>
    <s v="New"/>
    <s v="PS mới 5G C"/>
    <n v="106.31898"/>
    <n v="10.46313"/>
    <s v="Tan Phuoc"/>
    <n v="0"/>
    <s v="Swap_L18 + L21 + NR 2.6 32T"/>
    <s v="Outdoor"/>
    <s v="Swap_0"/>
    <x v="7"/>
    <x v="34"/>
    <m/>
    <e v="#N/A"/>
    <s v="Macro"/>
    <m/>
    <n v="1"/>
  </r>
  <r>
    <s v="Tiền Giang"/>
    <s v="TGTP40"/>
    <s v="TGTP40"/>
    <s v="Swap"/>
    <s v="Single-Band"/>
    <n v="3"/>
    <m/>
    <m/>
    <n v="106.2717"/>
    <n v="10.4856"/>
    <s v="Tan Phuoc"/>
    <n v="0"/>
    <s v="Swap_L18 + NR 7 + L9"/>
    <s v="Outdoor"/>
    <s v="Swap_0"/>
    <x v="7"/>
    <x v="34"/>
    <m/>
    <e v="#N/A"/>
    <s v="Macro"/>
    <m/>
    <n v="1"/>
  </r>
  <r>
    <s v="Tiền Giang"/>
    <s v="TGTP14"/>
    <s v="TGTP41"/>
    <s v="Swap"/>
    <s v="Single-Band"/>
    <n v="3"/>
    <m/>
    <m/>
    <n v="106.26151"/>
    <n v="10.58412"/>
    <s v="Tan Phuoc"/>
    <n v="0"/>
    <s v="Swap_L18"/>
    <s v="Outdoor"/>
    <s v="Swap_0"/>
    <x v="7"/>
    <x v="30"/>
    <m/>
    <e v="#N/A"/>
    <s v="CRAN"/>
    <s v="Sub"/>
    <n v="2"/>
  </r>
  <r>
    <s v="Tiền Giang"/>
    <s v="TGTP41"/>
    <s v="TGTP41"/>
    <s v="Swap"/>
    <s v="Single-Band"/>
    <n v="3"/>
    <m/>
    <m/>
    <n v="106.22836"/>
    <n v="10.58014"/>
    <s v="Tan Phuoc"/>
    <n v="0"/>
    <s v="Swap_L18"/>
    <s v="Outdoor"/>
    <s v="Swap_0"/>
    <x v="7"/>
    <x v="30"/>
    <m/>
    <e v="#N/A"/>
    <s v="Macro"/>
    <s v="Master"/>
    <n v="2"/>
  </r>
  <r>
    <s v="Tiền Giang"/>
    <s v="TGTP42"/>
    <s v="TGTP42"/>
    <s v="Swap"/>
    <s v="Single-Band"/>
    <n v="3"/>
    <m/>
    <m/>
    <n v="106.12833999999999"/>
    <n v="10.520770000000001"/>
    <s v="Tan Phuoc"/>
    <n v="0"/>
    <s v="Swap_L18"/>
    <s v="Outdoor"/>
    <s v="Swap_0"/>
    <x v="7"/>
    <x v="30"/>
    <m/>
    <e v="#N/A"/>
    <s v="Macro"/>
    <m/>
    <n v="1"/>
  </r>
  <r>
    <s v="Tiền Giang"/>
    <s v="TGTP43"/>
    <s v="TGTP43"/>
    <s v="Swap"/>
    <s v="Dual-band"/>
    <n v="3"/>
    <m/>
    <m/>
    <n v="106.16503"/>
    <n v="10.5459"/>
    <s v="Tan Phuoc"/>
    <n v="0"/>
    <s v="Swap_L18 + L21"/>
    <s v="Outdoor"/>
    <s v="Swap_0"/>
    <x v="7"/>
    <x v="30"/>
    <m/>
    <e v="#N/A"/>
    <s v="Macro"/>
    <m/>
    <n v="1"/>
  </r>
  <r>
    <s v="Tiền Giang"/>
    <s v="TGTP47"/>
    <s v="TGTP47"/>
    <s v="Swap"/>
    <s v="Single-Band"/>
    <n v="3"/>
    <m/>
    <m/>
    <n v="106.24442999999999"/>
    <n v="10.46733"/>
    <s v="Tan Phuoc"/>
    <n v="0"/>
    <s v="Swap_L18"/>
    <s v="Outdoor"/>
    <s v="Swap_0"/>
    <x v="7"/>
    <x v="34"/>
    <m/>
    <e v="#N/A"/>
    <s v="Macro"/>
    <m/>
    <n v="1"/>
  </r>
  <r>
    <s v="Tiền Giang"/>
    <s v="TGTP48"/>
    <s v="TGTP48"/>
    <s v="Swap"/>
    <s v="Single-Band"/>
    <n v="3"/>
    <m/>
    <m/>
    <n v="106.12367"/>
    <n v="10.551443000000001"/>
    <s v="Tan Phuoc"/>
    <n v="0"/>
    <s v="Swap_L18"/>
    <s v="Outdoor"/>
    <s v="Swap_0"/>
    <x v="7"/>
    <x v="30"/>
    <m/>
    <e v="#N/A"/>
    <s v="Macro"/>
    <m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"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0"/>
    <s v="S1_CL01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1"/>
    <s v="S1_CL02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3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2"/>
    <s v="S1_CL04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5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3"/>
    <s v="S1_CL06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7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8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4"/>
    <s v="S1_CL09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0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5"/>
    <s v="S1_CL11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2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6"/>
    <s v="S1_CL13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4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5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7"/>
    <s v="S1_CL16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7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8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8"/>
    <s v="S1_CL19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0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1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9"/>
    <s v="S1_CL22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3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4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0"/>
    <s v="S1_CL25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6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7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1"/>
    <s v="S1_CL28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29"/>
  </r>
  <r>
    <x v="12"/>
    <s v="S1_CL30"/>
  </r>
  <r>
    <x v="12"/>
    <s v="S1_CL30"/>
  </r>
  <r>
    <x v="12"/>
    <s v="S1_CL30"/>
  </r>
  <r>
    <x v="12"/>
    <s v="S1_CL30"/>
  </r>
  <r>
    <x v="12"/>
    <s v="S1_CL30"/>
  </r>
  <r>
    <x v="12"/>
    <s v="S1_CL30"/>
  </r>
  <r>
    <x v="12"/>
    <s v="S1_CL30"/>
  </r>
  <r>
    <x v="12"/>
    <s v="S1_CL30"/>
  </r>
  <r>
    <x v="12"/>
    <s v="S1_CL30"/>
  </r>
  <r>
    <x v="12"/>
    <s v="S1_CL30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1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2"/>
  </r>
  <r>
    <x v="12"/>
    <s v="S1_CL33"/>
  </r>
  <r>
    <x v="12"/>
    <s v="S1_CL33"/>
  </r>
  <r>
    <x v="12"/>
    <s v="S1_CL33"/>
  </r>
  <r>
    <x v="12"/>
    <s v="S1_CL33"/>
  </r>
  <r>
    <x v="12"/>
    <s v="S1_CL33"/>
  </r>
  <r>
    <x v="12"/>
    <s v="S1_CL33"/>
  </r>
  <r>
    <x v="12"/>
    <s v="S1_CL33"/>
  </r>
  <r>
    <x v="12"/>
    <s v="S1_CL33"/>
  </r>
  <r>
    <x v="12"/>
    <s v="S1_CL33"/>
  </r>
  <r>
    <x v="13"/>
    <s v="S1_CL34"/>
  </r>
  <r>
    <x v="13"/>
    <s v="S1_CL34"/>
  </r>
  <r>
    <x v="13"/>
    <s v="S1_CL34"/>
  </r>
  <r>
    <x v="13"/>
    <s v="S1_CL34"/>
  </r>
  <r>
    <x v="13"/>
    <s v="S1_CL34"/>
  </r>
  <r>
    <x v="13"/>
    <s v="S1_CL34"/>
  </r>
  <r>
    <x v="13"/>
    <s v="S1_CL34"/>
  </r>
  <r>
    <x v="13"/>
    <s v="S1_CL34"/>
  </r>
  <r>
    <x v="13"/>
    <s v="S1_CL34"/>
  </r>
  <r>
    <x v="13"/>
    <s v="S1_CL34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5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6"/>
  </r>
  <r>
    <x v="13"/>
    <s v="S1_CL37"/>
  </r>
  <r>
    <x v="13"/>
    <s v="S1_CL37"/>
  </r>
  <r>
    <x v="13"/>
    <s v="S1_CL37"/>
  </r>
  <r>
    <x v="13"/>
    <s v="S1_CL37"/>
  </r>
  <r>
    <x v="13"/>
    <s v="S1_CL37"/>
  </r>
  <r>
    <x v="13"/>
    <s v="S1_CL37"/>
  </r>
  <r>
    <x v="13"/>
    <s v="S1_CL37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8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39"/>
  </r>
  <r>
    <x v="13"/>
    <s v="S1_CL40"/>
  </r>
  <r>
    <x v="13"/>
    <s v="S1_CL40"/>
  </r>
  <r>
    <x v="13"/>
    <s v="S1_CL40"/>
  </r>
  <r>
    <x v="13"/>
    <s v="S1_CL40"/>
  </r>
  <r>
    <x v="13"/>
    <s v="S1_CL40"/>
  </r>
  <r>
    <x v="13"/>
    <s v="S1_CL40"/>
  </r>
  <r>
    <x v="13"/>
    <s v="S1_CL40"/>
  </r>
  <r>
    <x v="13"/>
    <s v="S1_CL40"/>
  </r>
  <r>
    <x v="13"/>
    <s v="S1_CL40"/>
  </r>
  <r>
    <x v="14"/>
    <s v="S1_CL41"/>
  </r>
  <r>
    <x v="14"/>
    <s v="S1_CL41"/>
  </r>
  <r>
    <x v="14"/>
    <s v="S1_CL41"/>
  </r>
  <r>
    <x v="14"/>
    <s v="S1_CL41"/>
  </r>
  <r>
    <x v="14"/>
    <s v="S1_CL41"/>
  </r>
  <r>
    <x v="14"/>
    <s v="S1_CL41"/>
  </r>
  <r>
    <x v="14"/>
    <s v="S1_CL41"/>
  </r>
  <r>
    <x v="14"/>
    <s v="S1_CL41"/>
  </r>
  <r>
    <x v="14"/>
    <s v="S1_CL41"/>
  </r>
  <r>
    <x v="14"/>
    <s v="S1_CL41"/>
  </r>
  <r>
    <x v="14"/>
    <s v="S1_CL42"/>
  </r>
  <r>
    <x v="14"/>
    <s v="S1_CL42"/>
  </r>
  <r>
    <x v="14"/>
    <s v="S1_CL42"/>
  </r>
  <r>
    <x v="14"/>
    <s v="S1_CL42"/>
  </r>
  <r>
    <x v="14"/>
    <s v="S1_CL42"/>
  </r>
  <r>
    <x v="14"/>
    <s v="S1_CL42"/>
  </r>
  <r>
    <x v="14"/>
    <s v="S1_CL42"/>
  </r>
  <r>
    <x v="14"/>
    <s v="S1_CL42"/>
  </r>
  <r>
    <x v="14"/>
    <s v="S1_CL42"/>
  </r>
  <r>
    <x v="14"/>
    <s v="S1_CL42"/>
  </r>
  <r>
    <x v="14"/>
    <s v="S1_CL42"/>
  </r>
  <r>
    <x v="15"/>
    <s v="S1_CL43"/>
  </r>
  <r>
    <x v="15"/>
    <s v="S1_CL43"/>
  </r>
  <r>
    <x v="15"/>
    <s v="S1_CL43"/>
  </r>
  <r>
    <x v="15"/>
    <s v="S1_CL43"/>
  </r>
  <r>
    <x v="15"/>
    <s v="S1_CL43"/>
  </r>
  <r>
    <x v="15"/>
    <s v="S1_CL43"/>
  </r>
  <r>
    <x v="15"/>
    <s v="S1_CL43"/>
  </r>
  <r>
    <x v="15"/>
    <s v="S1_CL43"/>
  </r>
  <r>
    <x v="15"/>
    <s v="S1_CL43"/>
  </r>
  <r>
    <x v="15"/>
    <s v="S1_CL43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4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5"/>
  </r>
  <r>
    <x v="15"/>
    <s v="S1_CL46"/>
  </r>
  <r>
    <x v="15"/>
    <s v="S1_CL46"/>
  </r>
  <r>
    <x v="15"/>
    <s v="S1_CL46"/>
  </r>
  <r>
    <x v="15"/>
    <s v="S1_CL46"/>
  </r>
  <r>
    <x v="15"/>
    <s v="S1_CL46"/>
  </r>
  <r>
    <x v="15"/>
    <s v="S1_CL46"/>
  </r>
  <r>
    <x v="16"/>
    <s v="S1_Pilot"/>
  </r>
  <r>
    <x v="16"/>
    <s v="S1_Pilot"/>
  </r>
  <r>
    <x v="16"/>
    <s v="S1_Pilot"/>
  </r>
  <r>
    <x v="16"/>
    <s v="S1_Pilot"/>
  </r>
  <r>
    <x v="16"/>
    <s v="S1_Pilot"/>
  </r>
  <r>
    <x v="16"/>
    <s v="S1_Pilot"/>
  </r>
  <r>
    <x v="16"/>
    <s v="S1_Pilot"/>
  </r>
  <r>
    <x v="16"/>
    <s v="S1_Pilot"/>
  </r>
  <r>
    <x v="16"/>
    <s v="S1_Pilot"/>
  </r>
  <r>
    <x v="16"/>
    <s v="S1_Pilot"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  <r>
    <x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7A70A-6B42-4CFE-877C-140498868900}" name="PivotTable1" cacheId="3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C582" firstHeaderRow="2" firstDataRow="2" firstDataCol="2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5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47">
        <item x="41"/>
        <item x="40"/>
        <item x="37"/>
        <item x="38"/>
        <item x="43"/>
        <item x="42"/>
        <item x="21"/>
        <item x="23"/>
        <item x="22"/>
        <item x="24"/>
        <item x="44"/>
        <item x="45"/>
        <item x="46"/>
        <item x="36"/>
        <item x="32"/>
        <item x="33"/>
        <item x="34"/>
        <item x="30"/>
        <item x="31"/>
        <item x="29"/>
        <item x="28"/>
        <item x="27"/>
        <item x="35"/>
        <item x="25"/>
        <item x="26"/>
        <item x="17"/>
        <item x="18"/>
        <item x="19"/>
        <item x="20"/>
        <item x="5"/>
        <item x="15"/>
        <item x="4"/>
        <item x="9"/>
        <item x="13"/>
        <item x="11"/>
        <item x="0"/>
        <item x="2"/>
        <item x="1"/>
        <item x="10"/>
        <item x="6"/>
        <item x="16"/>
        <item x="12"/>
        <item x="14"/>
        <item x="8"/>
        <item x="3"/>
        <item x="7"/>
        <item x="39"/>
      </items>
    </pivotField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0"/>
        <item x="1"/>
        <item x="2"/>
        <item t="default"/>
      </items>
    </pivotField>
    <pivotField compact="0" outline="0" showAll="0"/>
  </pivotFields>
  <rowFields count="2">
    <field x="5"/>
    <field x="19"/>
  </rowFields>
  <rowItems count="578">
    <i>
      <x/>
      <x v="35"/>
    </i>
    <i>
      <x v="1"/>
      <x v="37"/>
    </i>
    <i>
      <x v="2"/>
      <x v="36"/>
    </i>
    <i>
      <x v="3"/>
      <x v="44"/>
    </i>
    <i>
      <x v="4"/>
      <x v="31"/>
    </i>
    <i>
      <x v="5"/>
      <x v="29"/>
    </i>
    <i>
      <x v="6"/>
      <x v="39"/>
    </i>
    <i>
      <x v="7"/>
      <x v="45"/>
    </i>
    <i>
      <x v="8"/>
      <x v="43"/>
    </i>
    <i>
      <x v="9"/>
      <x v="32"/>
    </i>
    <i>
      <x v="10"/>
      <x v="38"/>
    </i>
    <i>
      <x v="11"/>
      <x v="45"/>
    </i>
    <i>
      <x v="12"/>
      <x v="39"/>
    </i>
    <i>
      <x v="13"/>
      <x v="45"/>
    </i>
    <i>
      <x v="14"/>
      <x v="34"/>
    </i>
    <i r="1">
      <x v="36"/>
    </i>
    <i>
      <x v="15"/>
      <x v="44"/>
    </i>
    <i>
      <x v="16"/>
      <x v="34"/>
    </i>
    <i>
      <x v="17"/>
      <x v="41"/>
    </i>
    <i>
      <x v="18"/>
      <x v="41"/>
    </i>
    <i>
      <x v="19"/>
      <x v="43"/>
    </i>
    <i>
      <x v="20"/>
      <x v="35"/>
    </i>
    <i>
      <x v="21"/>
      <x v="34"/>
    </i>
    <i>
      <x v="22"/>
      <x v="31"/>
    </i>
    <i>
      <x v="23"/>
      <x v="32"/>
    </i>
    <i>
      <x v="24"/>
      <x v="34"/>
    </i>
    <i>
      <x v="25"/>
      <x v="38"/>
    </i>
    <i>
      <x v="26"/>
      <x v="32"/>
    </i>
    <i>
      <x v="27"/>
      <x v="33"/>
    </i>
    <i>
      <x v="28"/>
      <x v="42"/>
    </i>
    <i>
      <x v="29"/>
      <x v="37"/>
    </i>
    <i>
      <x v="30"/>
      <x v="37"/>
    </i>
    <i>
      <x v="31"/>
      <x v="33"/>
    </i>
    <i>
      <x v="32"/>
      <x v="35"/>
    </i>
    <i>
      <x v="33"/>
      <x v="38"/>
    </i>
    <i r="1">
      <x v="39"/>
    </i>
    <i>
      <x v="34"/>
      <x v="32"/>
    </i>
    <i>
      <x v="35"/>
      <x v="39"/>
    </i>
    <i>
      <x v="36"/>
      <x v="42"/>
    </i>
    <i>
      <x v="37"/>
      <x v="43"/>
    </i>
    <i>
      <x v="38"/>
      <x v="32"/>
    </i>
    <i>
      <x v="39"/>
      <x v="39"/>
    </i>
    <i>
      <x v="40"/>
      <x v="36"/>
    </i>
    <i>
      <x v="41"/>
      <x v="38"/>
    </i>
    <i>
      <x v="42"/>
      <x v="43"/>
    </i>
    <i>
      <x v="43"/>
      <x v="39"/>
    </i>
    <i>
      <x v="44"/>
      <x v="36"/>
    </i>
    <i>
      <x v="45"/>
      <x v="35"/>
    </i>
    <i>
      <x v="46"/>
      <x v="33"/>
    </i>
    <i>
      <x v="47"/>
      <x v="35"/>
    </i>
    <i>
      <x v="48"/>
      <x v="43"/>
    </i>
    <i r="1">
      <x v="44"/>
    </i>
    <i>
      <x v="49"/>
      <x v="42"/>
    </i>
    <i>
      <x v="50"/>
      <x v="44"/>
    </i>
    <i>
      <x v="51"/>
      <x v="30"/>
    </i>
    <i>
      <x v="52"/>
      <x v="30"/>
    </i>
    <i>
      <x v="53"/>
      <x v="30"/>
    </i>
    <i>
      <x v="54"/>
      <x v="40"/>
    </i>
    <i>
      <x v="55"/>
      <x v="31"/>
    </i>
    <i>
      <x v="56"/>
      <x v="29"/>
    </i>
    <i>
      <x v="57"/>
      <x v="44"/>
    </i>
    <i>
      <x v="58"/>
      <x v="31"/>
    </i>
    <i>
      <x v="59"/>
      <x v="41"/>
    </i>
    <i>
      <x v="60"/>
      <x v="36"/>
    </i>
    <i>
      <x v="61"/>
      <x v="36"/>
    </i>
    <i>
      <x v="62"/>
      <x v="41"/>
    </i>
    <i>
      <x v="63"/>
      <x v="31"/>
    </i>
    <i>
      <x v="64"/>
      <x v="33"/>
    </i>
    <i>
      <x v="65"/>
      <x v="34"/>
    </i>
    <i>
      <x v="66"/>
      <x v="33"/>
    </i>
    <i>
      <x v="67"/>
      <x v="29"/>
    </i>
    <i>
      <x v="68"/>
      <x v="32"/>
    </i>
    <i>
      <x v="69"/>
      <x v="43"/>
    </i>
    <i r="1">
      <x v="44"/>
    </i>
    <i>
      <x v="70"/>
      <x v="39"/>
    </i>
    <i>
      <x v="71"/>
      <x v="42"/>
    </i>
    <i>
      <x v="72"/>
      <x v="31"/>
    </i>
    <i>
      <x v="73"/>
      <x v="37"/>
    </i>
    <i>
      <x v="74"/>
      <x v="40"/>
    </i>
    <i>
      <x v="75"/>
      <x v="40"/>
    </i>
    <i>
      <x v="76"/>
      <x v="38"/>
    </i>
    <i>
      <x v="77"/>
      <x v="40"/>
    </i>
    <i>
      <x v="78"/>
      <x v="38"/>
    </i>
    <i>
      <x v="79"/>
      <x v="44"/>
    </i>
    <i>
      <x v="80"/>
      <x v="37"/>
    </i>
    <i>
      <x v="81"/>
      <x v="39"/>
    </i>
    <i>
      <x v="82"/>
      <x v="29"/>
    </i>
    <i>
      <x v="83"/>
      <x v="33"/>
    </i>
    <i>
      <x v="84"/>
      <x v="45"/>
    </i>
    <i>
      <x v="85"/>
      <x v="41"/>
    </i>
    <i>
      <x v="86"/>
      <x v="34"/>
    </i>
    <i>
      <x v="87"/>
      <x v="32"/>
    </i>
    <i>
      <x v="88"/>
      <x v="37"/>
    </i>
    <i>
      <x v="89"/>
      <x v="44"/>
    </i>
    <i>
      <x v="90"/>
      <x v="40"/>
    </i>
    <i>
      <x v="91"/>
      <x v="45"/>
    </i>
    <i>
      <x v="92"/>
      <x v="30"/>
    </i>
    <i>
      <x v="93"/>
      <x v="40"/>
    </i>
    <i>
      <x v="94"/>
      <x v="30"/>
    </i>
    <i>
      <x v="95"/>
      <x v="30"/>
    </i>
    <i>
      <x v="96"/>
      <x v="30"/>
    </i>
    <i>
      <x v="97"/>
      <x v="31"/>
    </i>
    <i>
      <x v="98"/>
      <x v="41"/>
    </i>
    <i>
      <x v="99"/>
      <x v="30"/>
    </i>
    <i>
      <x v="100"/>
      <x v="30"/>
    </i>
    <i>
      <x v="101"/>
      <x v="35"/>
    </i>
    <i>
      <x v="102"/>
      <x v="44"/>
    </i>
    <i>
      <x v="103"/>
      <x v="44"/>
    </i>
    <i>
      <x v="104"/>
      <x v="44"/>
    </i>
    <i>
      <x v="105"/>
      <x v="36"/>
    </i>
    <i>
      <x v="106"/>
      <x v="43"/>
    </i>
    <i>
      <x v="107"/>
      <x v="43"/>
    </i>
    <i>
      <x v="108"/>
      <x v="42"/>
    </i>
    <i>
      <x v="109"/>
      <x v="32"/>
    </i>
    <i>
      <x v="110"/>
      <x v="45"/>
    </i>
    <i>
      <x v="111"/>
      <x v="44"/>
    </i>
    <i>
      <x v="112"/>
      <x v="43"/>
    </i>
    <i>
      <x v="113"/>
      <x v="44"/>
    </i>
    <i>
      <x v="114"/>
      <x v="30"/>
    </i>
    <i>
      <x v="115"/>
      <x v="30"/>
    </i>
    <i>
      <x v="116"/>
      <x v="42"/>
    </i>
    <i>
      <x v="117"/>
      <x v="25"/>
    </i>
    <i>
      <x v="118"/>
      <x v="25"/>
    </i>
    <i>
      <x v="119"/>
      <x v="25"/>
    </i>
    <i>
      <x v="120"/>
      <x v="26"/>
    </i>
    <i>
      <x v="121"/>
      <x v="26"/>
    </i>
    <i>
      <x v="122"/>
      <x v="27"/>
    </i>
    <i>
      <x v="123"/>
      <x v="25"/>
    </i>
    <i>
      <x v="124"/>
      <x v="26"/>
    </i>
    <i>
      <x v="125"/>
      <x v="25"/>
    </i>
    <i>
      <x v="126"/>
      <x v="26"/>
    </i>
    <i>
      <x v="127"/>
      <x v="26"/>
    </i>
    <i>
      <x v="128"/>
      <x v="26"/>
    </i>
    <i>
      <x v="129"/>
      <x v="28"/>
    </i>
    <i>
      <x v="130"/>
      <x v="28"/>
    </i>
    <i>
      <x v="131"/>
      <x v="27"/>
    </i>
    <i>
      <x v="132"/>
      <x v="27"/>
    </i>
    <i>
      <x v="133"/>
      <x v="25"/>
    </i>
    <i>
      <x v="134"/>
      <x v="28"/>
    </i>
    <i>
      <x v="135"/>
      <x v="25"/>
    </i>
    <i>
      <x v="136"/>
      <x v="28"/>
    </i>
    <i>
      <x v="137"/>
      <x v="26"/>
    </i>
    <i>
      <x v="138"/>
      <x v="28"/>
    </i>
    <i>
      <x v="139"/>
      <x v="27"/>
    </i>
    <i>
      <x v="140"/>
      <x v="25"/>
    </i>
    <i>
      <x v="141"/>
      <x v="27"/>
    </i>
    <i>
      <x v="142"/>
      <x v="27"/>
    </i>
    <i>
      <x v="143"/>
      <x v="26"/>
    </i>
    <i>
      <x v="144"/>
      <x v="25"/>
    </i>
    <i>
      <x v="145"/>
      <x v="28"/>
    </i>
    <i>
      <x v="146"/>
      <x v="27"/>
    </i>
    <i>
      <x v="147"/>
      <x v="28"/>
    </i>
    <i>
      <x v="148"/>
      <x v="28"/>
    </i>
    <i>
      <x v="149"/>
      <x v="28"/>
    </i>
    <i>
      <x v="150"/>
      <x v="27"/>
    </i>
    <i>
      <x v="151"/>
      <x v="25"/>
    </i>
    <i>
      <x v="152"/>
      <x v="28"/>
    </i>
    <i>
      <x v="153"/>
      <x v="27"/>
    </i>
    <i>
      <x v="154"/>
      <x v="25"/>
    </i>
    <i>
      <x v="155"/>
      <x v="25"/>
    </i>
    <i>
      <x v="156"/>
      <x v="28"/>
    </i>
    <i>
      <x v="157"/>
      <x v="27"/>
    </i>
    <i>
      <x v="158"/>
      <x v="26"/>
    </i>
    <i>
      <x v="159"/>
      <x v="26"/>
    </i>
    <i>
      <x v="160"/>
      <x v="26"/>
    </i>
    <i>
      <x v="161"/>
      <x v="25"/>
    </i>
    <i>
      <x v="162"/>
      <x v="25"/>
    </i>
    <i>
      <x v="163"/>
      <x v="25"/>
    </i>
    <i>
      <x v="164"/>
      <x v="25"/>
    </i>
    <i>
      <x v="165"/>
      <x v="26"/>
    </i>
    <i>
      <x v="166"/>
      <x v="25"/>
    </i>
    <i>
      <x v="167"/>
      <x v="27"/>
    </i>
    <i>
      <x v="168"/>
      <x v="26"/>
    </i>
    <i>
      <x v="169"/>
      <x v="26"/>
    </i>
    <i>
      <x v="170"/>
      <x v="27"/>
    </i>
    <i>
      <x v="171"/>
      <x v="25"/>
    </i>
    <i>
      <x v="172"/>
      <x v="28"/>
    </i>
    <i>
      <x v="173"/>
      <x v="28"/>
    </i>
    <i>
      <x v="174"/>
      <x v="25"/>
    </i>
    <i>
      <x v="175"/>
      <x v="28"/>
    </i>
    <i>
      <x v="176"/>
      <x v="28"/>
    </i>
    <i>
      <x v="177"/>
      <x v="28"/>
    </i>
    <i>
      <x v="178"/>
      <x v="27"/>
    </i>
    <i>
      <x v="179"/>
      <x v="27"/>
    </i>
    <i>
      <x v="180"/>
      <x v="27"/>
    </i>
    <i>
      <x v="181"/>
      <x v="28"/>
    </i>
    <i>
      <x v="182"/>
      <x v="26"/>
    </i>
    <i>
      <x v="183"/>
      <x v="6"/>
    </i>
    <i>
      <x v="184"/>
      <x v="8"/>
    </i>
    <i>
      <x v="185"/>
      <x v="6"/>
    </i>
    <i>
      <x v="186"/>
      <x v="6"/>
    </i>
    <i>
      <x v="187"/>
      <x v="7"/>
    </i>
    <i>
      <x v="188"/>
      <x v="6"/>
    </i>
    <i>
      <x v="189"/>
      <x v="8"/>
    </i>
    <i>
      <x v="190"/>
      <x v="7"/>
    </i>
    <i>
      <x v="191"/>
      <x v="6"/>
    </i>
    <i>
      <x v="192"/>
      <x v="9"/>
    </i>
    <i>
      <x v="193"/>
      <x v="6"/>
    </i>
    <i>
      <x v="194"/>
      <x v="8"/>
    </i>
    <i>
      <x v="195"/>
      <x v="8"/>
    </i>
    <i>
      <x v="196"/>
      <x v="8"/>
    </i>
    <i>
      <x v="197"/>
      <x v="6"/>
    </i>
    <i>
      <x v="198"/>
      <x v="7"/>
    </i>
    <i>
      <x v="199"/>
      <x v="6"/>
    </i>
    <i>
      <x v="200"/>
      <x v="7"/>
    </i>
    <i>
      <x v="201"/>
      <x v="7"/>
    </i>
    <i>
      <x v="202"/>
      <x v="7"/>
    </i>
    <i>
      <x v="203"/>
      <x v="6"/>
    </i>
    <i>
      <x v="204"/>
      <x v="7"/>
    </i>
    <i>
      <x v="205"/>
      <x v="7"/>
    </i>
    <i>
      <x v="206"/>
      <x v="6"/>
    </i>
    <i>
      <x v="207"/>
      <x v="8"/>
    </i>
    <i>
      <x v="208"/>
      <x v="6"/>
    </i>
    <i>
      <x v="209"/>
      <x v="8"/>
    </i>
    <i>
      <x v="210"/>
      <x v="8"/>
    </i>
    <i>
      <x v="211"/>
      <x v="7"/>
    </i>
    <i>
      <x v="212"/>
      <x v="6"/>
    </i>
    <i>
      <x v="213"/>
      <x v="6"/>
    </i>
    <i>
      <x v="214"/>
      <x v="7"/>
    </i>
    <i>
      <x v="215"/>
      <x v="6"/>
    </i>
    <i>
      <x v="216"/>
      <x v="7"/>
    </i>
    <i>
      <x v="217"/>
      <x v="6"/>
    </i>
    <i>
      <x v="218"/>
      <x v="7"/>
    </i>
    <i>
      <x v="219"/>
      <x v="6"/>
    </i>
    <i>
      <x v="220"/>
      <x v="8"/>
    </i>
    <i>
      <x v="221"/>
      <x v="6"/>
    </i>
    <i>
      <x v="222"/>
      <x v="8"/>
    </i>
    <i>
      <x v="223"/>
      <x v="6"/>
    </i>
    <i>
      <x v="224"/>
      <x v="6"/>
    </i>
    <i>
      <x v="225"/>
      <x v="6"/>
    </i>
    <i>
      <x v="226"/>
      <x v="7"/>
    </i>
    <i>
      <x v="227"/>
      <x v="7"/>
    </i>
    <i r="1">
      <x v="8"/>
    </i>
    <i>
      <x v="228"/>
      <x v="6"/>
    </i>
    <i>
      <x v="229"/>
      <x v="7"/>
    </i>
    <i>
      <x v="230"/>
      <x v="6"/>
    </i>
    <i>
      <x v="231"/>
      <x v="7"/>
    </i>
    <i>
      <x v="232"/>
      <x v="7"/>
    </i>
    <i>
      <x v="233"/>
      <x v="23"/>
    </i>
    <i>
      <x v="234"/>
      <x v="23"/>
    </i>
    <i>
      <x v="235"/>
      <x v="24"/>
    </i>
    <i>
      <x v="236"/>
      <x v="20"/>
    </i>
    <i r="1">
      <x v="21"/>
    </i>
    <i>
      <x v="237"/>
      <x v="23"/>
    </i>
    <i>
      <x v="238"/>
      <x v="23"/>
    </i>
    <i>
      <x v="239"/>
      <x v="20"/>
    </i>
    <i>
      <x v="240"/>
      <x v="24"/>
    </i>
    <i>
      <x v="241"/>
      <x v="20"/>
    </i>
    <i>
      <x v="242"/>
      <x v="23"/>
    </i>
    <i>
      <x v="243"/>
      <x v="24"/>
    </i>
    <i>
      <x v="244"/>
      <x v="24"/>
    </i>
    <i>
      <x v="245"/>
      <x v="19"/>
    </i>
    <i>
      <x v="246"/>
      <x v="21"/>
    </i>
    <i r="1">
      <x v="24"/>
    </i>
    <i>
      <x v="247"/>
      <x v="23"/>
    </i>
    <i>
      <x v="248"/>
      <x v="24"/>
    </i>
    <i>
      <x v="249"/>
      <x v="23"/>
    </i>
    <i>
      <x v="250"/>
      <x v="23"/>
    </i>
    <i>
      <x v="251"/>
      <x v="23"/>
    </i>
    <i>
      <x v="252"/>
      <x v="23"/>
    </i>
    <i>
      <x v="253"/>
      <x v="17"/>
    </i>
    <i r="1">
      <x v="23"/>
    </i>
    <i>
      <x v="254"/>
      <x v="24"/>
    </i>
    <i>
      <x v="255"/>
      <x v="20"/>
    </i>
    <i>
      <x v="256"/>
      <x v="23"/>
    </i>
    <i>
      <x v="257"/>
      <x v="20"/>
    </i>
    <i>
      <x v="258"/>
      <x v="23"/>
    </i>
    <i>
      <x v="259"/>
      <x v="24"/>
    </i>
    <i>
      <x v="260"/>
      <x v="24"/>
    </i>
    <i>
      <x v="261"/>
      <x v="24"/>
    </i>
    <i>
      <x v="262"/>
      <x v="24"/>
    </i>
    <i>
      <x v="263"/>
      <x v="23"/>
    </i>
    <i>
      <x v="264"/>
      <x v="24"/>
    </i>
    <i>
      <x v="265"/>
      <x v="24"/>
    </i>
    <i>
      <x v="266"/>
      <x v="20"/>
    </i>
    <i>
      <x v="267"/>
      <x v="24"/>
    </i>
    <i>
      <x v="268"/>
      <x v="23"/>
    </i>
    <i>
      <x v="269"/>
      <x v="23"/>
    </i>
    <i>
      <x v="270"/>
      <x v="23"/>
    </i>
    <i>
      <x v="271"/>
      <x v="23"/>
    </i>
    <i>
      <x v="272"/>
      <x v="24"/>
    </i>
    <i>
      <x v="273"/>
      <x v="24"/>
    </i>
    <i>
      <x v="274"/>
      <x v="23"/>
    </i>
    <i>
      <x v="275"/>
      <x v="19"/>
    </i>
    <i>
      <x v="276"/>
      <x v="19"/>
    </i>
    <i>
      <x v="277"/>
      <x v="18"/>
    </i>
    <i>
      <x v="278"/>
      <x v="19"/>
    </i>
    <i>
      <x v="279"/>
      <x v="18"/>
    </i>
    <i>
      <x v="280"/>
      <x v="19"/>
    </i>
    <i>
      <x v="281"/>
      <x v="18"/>
    </i>
    <i>
      <x v="282"/>
      <x v="19"/>
    </i>
    <i>
      <x v="283"/>
      <x v="19"/>
    </i>
    <i>
      <x v="284"/>
      <x v="14"/>
    </i>
    <i>
      <x v="285"/>
      <x v="15"/>
    </i>
    <i>
      <x v="286"/>
      <x v="15"/>
    </i>
    <i>
      <x v="287"/>
      <x v="14"/>
    </i>
    <i>
      <x v="288"/>
      <x v="14"/>
    </i>
    <i r="1">
      <x v="18"/>
    </i>
    <i>
      <x v="289"/>
      <x v="14"/>
    </i>
    <i>
      <x v="290"/>
      <x v="15"/>
    </i>
    <i>
      <x v="291"/>
      <x v="19"/>
    </i>
    <i>
      <x v="292"/>
      <x v="15"/>
    </i>
    <i>
      <x v="293"/>
      <x v="15"/>
    </i>
    <i>
      <x v="294"/>
      <x v="16"/>
    </i>
    <i r="1">
      <x v="18"/>
    </i>
    <i>
      <x v="295"/>
      <x v="14"/>
    </i>
    <i>
      <x v="296"/>
      <x v="22"/>
    </i>
    <i>
      <x v="297"/>
      <x v="15"/>
    </i>
    <i>
      <x v="298"/>
      <x v="14"/>
    </i>
    <i>
      <x v="299"/>
      <x v="19"/>
    </i>
    <i>
      <x v="300"/>
      <x v="18"/>
    </i>
    <i>
      <x v="301"/>
      <x v="14"/>
    </i>
    <i>
      <x v="302"/>
      <x v="19"/>
    </i>
    <i>
      <x v="303"/>
      <x v="21"/>
    </i>
    <i>
      <x v="304"/>
      <x v="18"/>
    </i>
    <i>
      <x v="305"/>
      <x v="18"/>
    </i>
    <i>
      <x v="306"/>
      <x v="19"/>
    </i>
    <i>
      <x v="307"/>
      <x v="13"/>
    </i>
    <i r="1">
      <x v="19"/>
    </i>
    <i>
      <x v="308"/>
      <x v="15"/>
    </i>
    <i>
      <x v="309"/>
      <x v="15"/>
    </i>
    <i>
      <x v="310"/>
      <x v="19"/>
    </i>
    <i>
      <x v="311"/>
      <x v="8"/>
    </i>
    <i r="1">
      <x v="14"/>
    </i>
    <i>
      <x v="312"/>
      <x v="15"/>
    </i>
    <i>
      <x v="313"/>
      <x v="18"/>
    </i>
    <i>
      <x v="314"/>
      <x v="15"/>
    </i>
    <i>
      <x v="315"/>
      <x v="19"/>
    </i>
    <i>
      <x v="316"/>
      <x v="15"/>
    </i>
    <i>
      <x v="317"/>
      <x v="15"/>
    </i>
    <i>
      <x v="318"/>
      <x v="15"/>
    </i>
    <i>
      <x v="319"/>
      <x v="14"/>
    </i>
    <i>
      <x v="320"/>
      <x v="19"/>
    </i>
    <i>
      <x v="321"/>
      <x v="19"/>
    </i>
    <i>
      <x v="322"/>
      <x v="19"/>
    </i>
    <i>
      <x v="323"/>
      <x v="18"/>
    </i>
    <i>
      <x v="324"/>
      <x v="18"/>
    </i>
    <i>
      <x v="325"/>
      <x v="15"/>
    </i>
    <i>
      <x v="326"/>
      <x v="15"/>
    </i>
    <i>
      <x v="327"/>
      <x v="18"/>
    </i>
    <i>
      <x v="328"/>
      <x v="21"/>
    </i>
    <i>
      <x v="329"/>
      <x v="22"/>
    </i>
    <i>
      <x v="330"/>
      <x v="22"/>
    </i>
    <i>
      <x v="331"/>
      <x v="21"/>
    </i>
    <i>
      <x v="332"/>
      <x v="21"/>
    </i>
    <i>
      <x v="333"/>
      <x v="22"/>
    </i>
    <i>
      <x v="334"/>
      <x v="21"/>
    </i>
    <i r="1">
      <x v="22"/>
    </i>
    <i>
      <x v="335"/>
      <x v="22"/>
    </i>
    <i>
      <x v="336"/>
      <x v="22"/>
    </i>
    <i>
      <x v="337"/>
      <x v="21"/>
    </i>
    <i>
      <x v="338"/>
      <x v="21"/>
    </i>
    <i>
      <x v="339"/>
      <x v="22"/>
    </i>
    <i>
      <x v="340"/>
      <x v="21"/>
    </i>
    <i>
      <x v="341"/>
      <x v="21"/>
    </i>
    <i>
      <x v="342"/>
      <x v="21"/>
    </i>
    <i>
      <x v="343"/>
      <x v="21"/>
    </i>
    <i>
      <x v="344"/>
      <x v="21"/>
    </i>
    <i>
      <x v="345"/>
      <x v="22"/>
    </i>
    <i>
      <x v="346"/>
      <x v="22"/>
    </i>
    <i>
      <x v="347"/>
      <x v="2"/>
    </i>
    <i>
      <x v="348"/>
      <x v="2"/>
    </i>
    <i>
      <x v="349"/>
      <x v="2"/>
    </i>
    <i>
      <x v="350"/>
      <x v="3"/>
    </i>
    <i>
      <x v="351"/>
      <x v="2"/>
    </i>
    <i>
      <x v="352"/>
      <x v="2"/>
    </i>
    <i>
      <x v="353"/>
      <x v="2"/>
    </i>
    <i>
      <x v="354"/>
      <x v="3"/>
    </i>
    <i>
      <x v="355"/>
      <x v="2"/>
    </i>
    <i>
      <x v="356"/>
      <x v="2"/>
    </i>
    <i>
      <x v="357"/>
      <x v="3"/>
    </i>
    <i>
      <x v="358"/>
      <x v="3"/>
    </i>
    <i>
      <x v="359"/>
      <x v="2"/>
    </i>
    <i>
      <x v="360"/>
      <x v="3"/>
    </i>
    <i>
      <x v="361"/>
      <x v="2"/>
    </i>
    <i>
      <x v="362"/>
      <x v="2"/>
    </i>
    <i>
      <x v="363"/>
      <x v="2"/>
    </i>
    <i>
      <x v="364"/>
      <x v="46"/>
    </i>
    <i>
      <x v="365"/>
      <x v="3"/>
    </i>
    <i>
      <x v="366"/>
      <x v="2"/>
    </i>
    <i>
      <x v="367"/>
      <x v="2"/>
    </i>
    <i>
      <x v="368"/>
      <x v="2"/>
    </i>
    <i>
      <x v="369"/>
      <x v="3"/>
    </i>
    <i>
      <x v="370"/>
      <x v="2"/>
    </i>
    <i>
      <x v="371"/>
      <x v="3"/>
    </i>
    <i>
      <x v="372"/>
      <x v="2"/>
    </i>
    <i>
      <x v="373"/>
      <x v="1"/>
    </i>
    <i>
      <x v="374"/>
      <x/>
    </i>
    <i>
      <x v="375"/>
      <x v="1"/>
    </i>
    <i>
      <x v="376"/>
      <x v="1"/>
    </i>
    <i>
      <x v="377"/>
      <x/>
    </i>
    <i>
      <x v="378"/>
      <x v="46"/>
    </i>
    <i>
      <x v="379"/>
      <x/>
    </i>
    <i>
      <x v="380"/>
      <x/>
    </i>
    <i>
      <x v="381"/>
      <x/>
    </i>
    <i>
      <x v="382"/>
      <x v="1"/>
    </i>
    <i>
      <x v="383"/>
      <x/>
    </i>
    <i>
      <x v="384"/>
      <x v="1"/>
    </i>
    <i>
      <x v="385"/>
      <x/>
    </i>
    <i>
      <x v="386"/>
      <x/>
    </i>
    <i>
      <x v="387"/>
      <x/>
    </i>
    <i>
      <x v="388"/>
      <x v="1"/>
    </i>
    <i>
      <x v="389"/>
      <x v="46"/>
    </i>
    <i>
      <x v="390"/>
      <x v="1"/>
    </i>
    <i>
      <x v="391"/>
      <x v="1"/>
    </i>
    <i>
      <x v="392"/>
      <x v="46"/>
    </i>
    <i>
      <x v="393"/>
      <x v="46"/>
    </i>
    <i>
      <x v="394"/>
      <x v="1"/>
    </i>
    <i>
      <x v="395"/>
      <x v="1"/>
    </i>
    <i>
      <x v="396"/>
      <x v="1"/>
    </i>
    <i>
      <x v="397"/>
      <x/>
    </i>
    <i>
      <x v="398"/>
      <x/>
    </i>
    <i>
      <x v="399"/>
      <x/>
    </i>
    <i>
      <x v="400"/>
      <x v="46"/>
    </i>
    <i>
      <x v="401"/>
      <x v="1"/>
    </i>
    <i>
      <x v="402"/>
      <x/>
    </i>
    <i>
      <x v="403"/>
      <x v="46"/>
    </i>
    <i>
      <x v="404"/>
      <x v="46"/>
    </i>
    <i>
      <x v="405"/>
      <x v="5"/>
    </i>
    <i>
      <x v="406"/>
      <x v="4"/>
    </i>
    <i>
      <x v="407"/>
      <x v="3"/>
    </i>
    <i>
      <x v="408"/>
      <x v="5"/>
    </i>
    <i>
      <x v="409"/>
      <x v="5"/>
    </i>
    <i>
      <x v="410"/>
      <x v="3"/>
    </i>
    <i>
      <x v="411"/>
      <x v="5"/>
    </i>
    <i>
      <x v="412"/>
      <x v="5"/>
    </i>
    <i>
      <x v="413"/>
      <x v="4"/>
    </i>
    <i>
      <x v="414"/>
      <x v="4"/>
    </i>
    <i>
      <x v="415"/>
      <x v="3"/>
    </i>
    <i>
      <x v="416"/>
      <x v="5"/>
    </i>
    <i>
      <x v="417"/>
      <x v="4"/>
    </i>
    <i>
      <x v="418"/>
      <x v="4"/>
    </i>
    <i>
      <x v="419"/>
      <x v="3"/>
    </i>
    <i r="1">
      <x v="4"/>
    </i>
    <i>
      <x v="420"/>
      <x v="3"/>
    </i>
    <i>
      <x v="421"/>
      <x v="5"/>
    </i>
    <i>
      <x v="422"/>
      <x v="5"/>
    </i>
    <i>
      <x v="423"/>
      <x v="5"/>
    </i>
    <i>
      <x v="424"/>
      <x v="5"/>
    </i>
    <i>
      <x v="425"/>
      <x v="4"/>
    </i>
    <i>
      <x v="426"/>
      <x v="5"/>
    </i>
    <i>
      <x v="427"/>
      <x v="5"/>
    </i>
    <i r="1">
      <x v="6"/>
    </i>
    <i>
      <x v="428"/>
      <x v="3"/>
    </i>
    <i>
      <x v="429"/>
      <x v="3"/>
    </i>
    <i>
      <x v="430"/>
      <x v="5"/>
    </i>
    <i>
      <x v="431"/>
      <x v="3"/>
    </i>
    <i>
      <x v="432"/>
      <x v="4"/>
    </i>
    <i>
      <x v="433"/>
      <x v="5"/>
    </i>
    <i>
      <x v="434"/>
      <x v="4"/>
    </i>
    <i>
      <x v="435"/>
      <x v="4"/>
    </i>
    <i r="1">
      <x v="5"/>
    </i>
    <i>
      <x v="436"/>
      <x v="5"/>
    </i>
    <i>
      <x v="437"/>
      <x v="5"/>
    </i>
    <i>
      <x v="438"/>
      <x v="10"/>
    </i>
    <i>
      <x v="439"/>
      <x v="11"/>
    </i>
    <i>
      <x v="440"/>
      <x v="13"/>
    </i>
    <i>
      <x v="441"/>
      <x v="11"/>
    </i>
    <i>
      <x v="442"/>
      <x v="11"/>
    </i>
    <i>
      <x v="443"/>
      <x v="11"/>
    </i>
    <i>
      <x v="444"/>
      <x v="10"/>
    </i>
    <i>
      <x v="445"/>
      <x v="11"/>
    </i>
    <i>
      <x v="446"/>
      <x v="10"/>
    </i>
    <i>
      <x v="447"/>
      <x v="10"/>
    </i>
    <i>
      <x v="448"/>
      <x v="11"/>
    </i>
    <i>
      <x v="449"/>
      <x v="11"/>
    </i>
    <i>
      <x v="450"/>
      <x v="10"/>
    </i>
    <i>
      <x v="451"/>
      <x v="9"/>
    </i>
    <i>
      <x v="452"/>
      <x v="11"/>
    </i>
    <i>
      <x v="453"/>
      <x v="13"/>
    </i>
    <i>
      <x v="454"/>
      <x v="11"/>
    </i>
    <i r="1">
      <x v="13"/>
    </i>
    <i>
      <x v="455"/>
      <x v="11"/>
    </i>
    <i>
      <x v="456"/>
      <x v="11"/>
    </i>
    <i>
      <x v="457"/>
      <x v="11"/>
    </i>
    <i>
      <x v="458"/>
      <x v="11"/>
    </i>
    <i>
      <x v="459"/>
      <x v="11"/>
    </i>
    <i>
      <x v="460"/>
      <x v="13"/>
    </i>
    <i>
      <x v="461"/>
      <x v="11"/>
    </i>
    <i>
      <x v="462"/>
      <x v="11"/>
    </i>
    <i>
      <x v="463"/>
      <x v="7"/>
    </i>
    <i r="1">
      <x v="9"/>
    </i>
    <i>
      <x v="464"/>
      <x v="13"/>
    </i>
    <i>
      <x v="465"/>
      <x v="9"/>
    </i>
    <i r="1">
      <x v="10"/>
    </i>
    <i>
      <x v="466"/>
      <x v="13"/>
    </i>
    <i>
      <x v="467"/>
      <x v="13"/>
    </i>
    <i>
      <x v="468"/>
      <x v="9"/>
    </i>
    <i>
      <x v="469"/>
      <x v="10"/>
    </i>
    <i>
      <x v="470"/>
      <x v="13"/>
    </i>
    <i>
      <x v="471"/>
      <x v="10"/>
    </i>
    <i>
      <x v="472"/>
      <x v="10"/>
    </i>
    <i>
      <x v="473"/>
      <x v="9"/>
    </i>
    <i>
      <x v="474"/>
      <x v="11"/>
    </i>
    <i>
      <x v="475"/>
      <x v="9"/>
    </i>
    <i>
      <x v="476"/>
      <x v="11"/>
    </i>
    <i>
      <x v="477"/>
      <x v="13"/>
    </i>
    <i>
      <x v="478"/>
      <x v="11"/>
    </i>
    <i>
      <x v="479"/>
      <x v="11"/>
    </i>
    <i>
      <x v="480"/>
      <x v="10"/>
    </i>
    <i>
      <x v="481"/>
      <x v="13"/>
    </i>
    <i>
      <x v="482"/>
      <x v="10"/>
    </i>
    <i>
      <x v="483"/>
      <x v="10"/>
    </i>
    <i>
      <x v="484"/>
      <x v="10"/>
    </i>
    <i>
      <x v="485"/>
      <x v="11"/>
    </i>
    <i>
      <x v="486"/>
      <x v="9"/>
    </i>
    <i>
      <x v="487"/>
      <x v="9"/>
    </i>
    <i>
      <x v="488"/>
      <x v="10"/>
    </i>
    <i>
      <x v="489"/>
      <x v="11"/>
    </i>
    <i>
      <x v="490"/>
      <x v="11"/>
    </i>
    <i>
      <x v="491"/>
      <x v="11"/>
    </i>
    <i>
      <x v="492"/>
      <x v="13"/>
    </i>
    <i>
      <x v="493"/>
      <x v="11"/>
    </i>
    <i>
      <x v="494"/>
      <x v="13"/>
    </i>
    <i>
      <x v="495"/>
      <x v="9"/>
    </i>
    <i>
      <x v="496"/>
      <x v="13"/>
    </i>
    <i>
      <x v="497"/>
      <x v="9"/>
    </i>
    <i>
      <x v="498"/>
      <x v="14"/>
    </i>
    <i>
      <x v="499"/>
      <x v="8"/>
    </i>
    <i r="1">
      <x v="9"/>
    </i>
    <i>
      <x v="500"/>
      <x v="10"/>
    </i>
    <i>
      <x v="501"/>
      <x v="13"/>
    </i>
    <i>
      <x v="502"/>
      <x v="10"/>
    </i>
    <i>
      <x v="503"/>
      <x v="12"/>
    </i>
    <i>
      <x v="504"/>
      <x v="12"/>
    </i>
    <i>
      <x v="505"/>
      <x v="12"/>
    </i>
    <i>
      <x v="506"/>
      <x v="12"/>
    </i>
    <i>
      <x v="507"/>
      <x v="12"/>
    </i>
    <i>
      <x v="508"/>
      <x v="12"/>
    </i>
    <i>
      <x v="509"/>
      <x v="12"/>
    </i>
    <i>
      <x v="510"/>
      <x v="12"/>
    </i>
    <i>
      <x v="511"/>
      <x v="12"/>
    </i>
    <i>
      <x v="512"/>
      <x v="12"/>
    </i>
    <i>
      <x v="513"/>
      <x v="12"/>
    </i>
    <i>
      <x v="514"/>
      <x v="12"/>
    </i>
    <i>
      <x v="515"/>
      <x v="12"/>
    </i>
    <i>
      <x v="516"/>
      <x v="12"/>
    </i>
    <i>
      <x v="517"/>
      <x v="12"/>
    </i>
    <i>
      <x v="518"/>
      <x v="17"/>
    </i>
    <i>
      <x v="519"/>
      <x v="17"/>
    </i>
    <i>
      <x v="520"/>
      <x v="17"/>
    </i>
    <i>
      <x v="521"/>
      <x v="17"/>
    </i>
    <i>
      <x v="522"/>
      <x v="16"/>
    </i>
    <i>
      <x v="523"/>
      <x v="16"/>
    </i>
    <i>
      <x v="524"/>
      <x v="17"/>
    </i>
    <i>
      <x v="525"/>
      <x v="16"/>
    </i>
    <i>
      <x v="526"/>
      <x v="16"/>
    </i>
    <i>
      <x v="527"/>
      <x v="17"/>
    </i>
    <i>
      <x v="528"/>
      <x v="17"/>
    </i>
    <i>
      <x v="529"/>
      <x v="16"/>
    </i>
    <i>
      <x v="530"/>
      <x v="17"/>
    </i>
    <i>
      <x v="531"/>
      <x v="17"/>
    </i>
    <i>
      <x v="532"/>
      <x v="17"/>
    </i>
    <i>
      <x v="533"/>
      <x v="17"/>
    </i>
    <i>
      <x v="534"/>
      <x v="17"/>
    </i>
    <i>
      <x v="535"/>
      <x v="16"/>
    </i>
    <i>
      <x v="536"/>
      <x v="17"/>
    </i>
    <i>
      <x v="537"/>
      <x v="17"/>
    </i>
    <i>
      <x v="538"/>
      <x v="16"/>
    </i>
    <i>
      <x v="539"/>
      <x v="16"/>
    </i>
    <i>
      <x v="540"/>
      <x v="16"/>
    </i>
    <i>
      <x v="541"/>
      <x v="17"/>
    </i>
    <i>
      <x v="542"/>
      <x v="16"/>
    </i>
    <i>
      <x v="543"/>
      <x v="17"/>
    </i>
    <i>
      <x v="544"/>
      <x v="16"/>
    </i>
    <i>
      <x v="545"/>
      <x v="16"/>
    </i>
    <i>
      <x v="546"/>
      <x v="16"/>
    </i>
    <i>
      <x v="547"/>
      <x v="16"/>
    </i>
    <i>
      <x v="548"/>
      <x v="16"/>
    </i>
    <i>
      <x v="549"/>
      <x v="16"/>
    </i>
    <i>
      <x v="550"/>
      <x v="16"/>
    </i>
    <i>
      <x v="551"/>
      <x v="16"/>
    </i>
    <i>
      <x v="552"/>
      <x v="17"/>
    </i>
    <i>
      <x v="553"/>
      <x v="17"/>
    </i>
    <i>
      <x v="554"/>
      <x v="17"/>
    </i>
    <i>
      <x v="555"/>
      <x v="16"/>
    </i>
    <i>
      <x v="556"/>
      <x v="17"/>
    </i>
    <i t="grand">
      <x/>
    </i>
  </rowItems>
  <colItems count="1">
    <i/>
  </colItems>
  <dataFields count="1">
    <dataField name="Count of  Cluster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C5BFE-5812-4DA3-A3F7-6A18348B6C34}" name="PivotTable2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C68" firstHeaderRow="2" firstDataRow="2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2"/>
        <item x="6"/>
        <item x="3"/>
        <item x="9"/>
        <item x="10"/>
        <item x="11"/>
        <item x="8"/>
        <item x="12"/>
        <item x="7"/>
        <item x="4"/>
        <item x="5"/>
        <item x="1"/>
        <item t="default"/>
      </items>
    </pivotField>
    <pivotField axis="axisRow" dataField="1" compact="0" outline="0" showAll="0" defaultSubtotal="0">
      <items count="47">
        <item x="41"/>
        <item x="40"/>
        <item x="37"/>
        <item x="38"/>
        <item x="43"/>
        <item x="42"/>
        <item x="21"/>
        <item x="23"/>
        <item x="22"/>
        <item x="24"/>
        <item x="44"/>
        <item x="45"/>
        <item x="46"/>
        <item x="36"/>
        <item x="32"/>
        <item x="33"/>
        <item x="34"/>
        <item x="30"/>
        <item x="31"/>
        <item x="29"/>
        <item x="27"/>
        <item x="28"/>
        <item x="35"/>
        <item x="25"/>
        <item x="26"/>
        <item x="17"/>
        <item x="18"/>
        <item x="19"/>
        <item x="20"/>
        <item x="5"/>
        <item x="15"/>
        <item x="4"/>
        <item x="9"/>
        <item x="13"/>
        <item x="11"/>
        <item x="0"/>
        <item x="2"/>
        <item x="1"/>
        <item x="10"/>
        <item x="6"/>
        <item x="16"/>
        <item x="12"/>
        <item x="14"/>
        <item x="8"/>
        <item x="3"/>
        <item x="7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6"/>
    <field x="15"/>
  </rowFields>
  <rowItems count="64">
    <i>
      <x/>
      <x v="5"/>
    </i>
    <i>
      <x v="1"/>
      <x v="1"/>
    </i>
    <i r="1">
      <x v="5"/>
    </i>
    <i>
      <x v="2"/>
      <x v="4"/>
    </i>
    <i r="1">
      <x v="5"/>
    </i>
    <i>
      <x v="3"/>
      <x v="4"/>
    </i>
    <i r="1">
      <x v="6"/>
    </i>
    <i>
      <x v="4"/>
      <x v="6"/>
    </i>
    <i>
      <x v="5"/>
      <x v="6"/>
    </i>
    <i>
      <x v="6"/>
      <x v="3"/>
    </i>
    <i>
      <x v="7"/>
      <x v="3"/>
    </i>
    <i>
      <x v="8"/>
      <x v="3"/>
    </i>
    <i>
      <x v="9"/>
      <x v="3"/>
    </i>
    <i r="1">
      <x v="7"/>
    </i>
    <i>
      <x v="10"/>
      <x v="7"/>
    </i>
    <i>
      <x v="11"/>
      <x v="7"/>
    </i>
    <i>
      <x v="12"/>
      <x v="8"/>
    </i>
    <i>
      <x v="13"/>
      <x v="7"/>
    </i>
    <i>
      <x v="14"/>
      <x v="2"/>
    </i>
    <i r="1">
      <x v="7"/>
    </i>
    <i>
      <x v="15"/>
      <x v="2"/>
    </i>
    <i>
      <x v="16"/>
      <x v="2"/>
    </i>
    <i r="1">
      <x v="9"/>
    </i>
    <i>
      <x v="17"/>
      <x v="9"/>
    </i>
    <i r="1">
      <x v="12"/>
    </i>
    <i>
      <x v="18"/>
      <x v="2"/>
    </i>
    <i>
      <x v="19"/>
      <x v="2"/>
    </i>
    <i r="1">
      <x v="10"/>
    </i>
    <i>
      <x v="20"/>
      <x v="10"/>
    </i>
    <i>
      <x v="21"/>
      <x v="2"/>
    </i>
    <i r="1">
      <x v="11"/>
    </i>
    <i>
      <x v="22"/>
      <x v="2"/>
    </i>
    <i r="1">
      <x v="11"/>
    </i>
    <i>
      <x v="23"/>
      <x v="1"/>
    </i>
    <i r="1">
      <x v="10"/>
    </i>
    <i>
      <x v="24"/>
      <x v="1"/>
    </i>
    <i r="1">
      <x v="10"/>
    </i>
    <i r="1">
      <x v="11"/>
    </i>
    <i>
      <x v="25"/>
      <x v="1"/>
    </i>
    <i>
      <x v="26"/>
      <x v="1"/>
    </i>
    <i>
      <x v="27"/>
      <x v="1"/>
    </i>
    <i>
      <x v="28"/>
      <x v="1"/>
    </i>
    <i>
      <x v="29"/>
      <x/>
    </i>
    <i>
      <x v="30"/>
      <x/>
    </i>
    <i>
      <x v="31"/>
      <x/>
    </i>
    <i>
      <x v="32"/>
      <x/>
    </i>
    <i>
      <x v="33"/>
      <x/>
    </i>
    <i>
      <x v="34"/>
      <x/>
    </i>
    <i>
      <x v="35"/>
      <x/>
    </i>
    <i>
      <x v="36"/>
      <x/>
    </i>
    <i>
      <x v="37"/>
      <x/>
    </i>
    <i>
      <x v="38"/>
      <x/>
    </i>
    <i>
      <x v="39"/>
      <x/>
    </i>
    <i>
      <x v="40"/>
      <x/>
    </i>
    <i>
      <x v="41"/>
      <x/>
    </i>
    <i>
      <x v="42"/>
      <x/>
    </i>
    <i>
      <x v="43"/>
      <x/>
    </i>
    <i r="1">
      <x v="12"/>
    </i>
    <i>
      <x v="44"/>
      <x/>
    </i>
    <i r="1">
      <x v="12"/>
    </i>
    <i>
      <x v="45"/>
      <x/>
    </i>
    <i>
      <x v="46"/>
      <x v="4"/>
    </i>
    <i r="1">
      <x v="5"/>
    </i>
    <i t="grand">
      <x/>
    </i>
  </rowItems>
  <colItems count="1">
    <i/>
  </colItems>
  <dataFields count="1">
    <dataField name="Count of  Cluster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EB26-D841-4DCD-9C1B-1D03181BCD93}" name="数据透视表5" cacheId="4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22" firstHeaderRow="1" firstDataRow="1" firstDataCol="1"/>
  <pivotFields count="2">
    <pivotField axis="axisRow" showAll="0">
      <items count="19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t="default"/>
      </items>
    </pivotField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计数项:TRU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D72"/>
  <sheetViews>
    <sheetView zoomScaleNormal="100" workbookViewId="0">
      <selection activeCell="A32" sqref="A32:D72"/>
    </sheetView>
  </sheetViews>
  <sheetFormatPr defaultRowHeight="13.5" x14ac:dyDescent="0.35"/>
  <cols>
    <col min="1" max="1" width="14.375" bestFit="1" customWidth="1"/>
    <col min="2" max="2" width="18.125" bestFit="1" customWidth="1"/>
    <col min="4" max="4" width="82.75" customWidth="1"/>
  </cols>
  <sheetData>
    <row r="1" spans="1:4" ht="38.25" customHeight="1" x14ac:dyDescent="0.35">
      <c r="A1" s="68" t="s">
        <v>1009</v>
      </c>
      <c r="B1" s="68" t="s">
        <v>1020</v>
      </c>
      <c r="C1" s="68" t="s">
        <v>1010</v>
      </c>
      <c r="D1" s="68" t="s">
        <v>1021</v>
      </c>
    </row>
    <row r="2" spans="1:4" hidden="1" x14ac:dyDescent="0.35">
      <c r="A2" s="70" t="s">
        <v>828</v>
      </c>
      <c r="B2" s="70" t="s">
        <v>828</v>
      </c>
      <c r="C2" s="70" t="s">
        <v>829</v>
      </c>
      <c r="D2" s="70"/>
    </row>
    <row r="3" spans="1:4" x14ac:dyDescent="0.35">
      <c r="A3" s="65" t="s">
        <v>828</v>
      </c>
      <c r="B3" s="65" t="s">
        <v>855</v>
      </c>
      <c r="C3" s="65" t="s">
        <v>856</v>
      </c>
      <c r="D3" s="65" t="s">
        <v>829</v>
      </c>
    </row>
    <row r="4" spans="1:4" hidden="1" x14ac:dyDescent="0.35">
      <c r="A4" s="65" t="s">
        <v>828</v>
      </c>
      <c r="B4" s="65" t="s">
        <v>830</v>
      </c>
      <c r="C4" s="65" t="s">
        <v>829</v>
      </c>
      <c r="D4" s="65"/>
    </row>
    <row r="5" spans="1:4" hidden="1" x14ac:dyDescent="0.35">
      <c r="A5" s="65" t="s">
        <v>882</v>
      </c>
      <c r="B5" s="65" t="s">
        <v>882</v>
      </c>
      <c r="C5" s="65" t="s">
        <v>880</v>
      </c>
      <c r="D5" s="65"/>
    </row>
    <row r="6" spans="1:4" hidden="1" x14ac:dyDescent="0.35">
      <c r="A6" s="70" t="s">
        <v>882</v>
      </c>
      <c r="B6" s="70" t="s">
        <v>883</v>
      </c>
      <c r="C6" s="70" t="s">
        <v>880</v>
      </c>
      <c r="D6" s="70"/>
    </row>
    <row r="7" spans="1:4" hidden="1" x14ac:dyDescent="0.35">
      <c r="A7" s="65" t="s">
        <v>882</v>
      </c>
      <c r="B7" s="65" t="s">
        <v>1012</v>
      </c>
      <c r="C7" s="65" t="s">
        <v>894</v>
      </c>
      <c r="D7" s="65" t="s">
        <v>1022</v>
      </c>
    </row>
    <row r="8" spans="1:4" hidden="1" x14ac:dyDescent="0.35">
      <c r="A8" s="65" t="s">
        <v>882</v>
      </c>
      <c r="B8" s="65" t="s">
        <v>884</v>
      </c>
      <c r="C8" s="65" t="s">
        <v>880</v>
      </c>
      <c r="D8" s="65"/>
    </row>
    <row r="9" spans="1:4" hidden="1" x14ac:dyDescent="0.35">
      <c r="A9" s="65" t="s">
        <v>882</v>
      </c>
      <c r="B9" s="65" t="s">
        <v>885</v>
      </c>
      <c r="C9" s="65" t="s">
        <v>880</v>
      </c>
      <c r="D9" s="65"/>
    </row>
    <row r="10" spans="1:4" hidden="1" x14ac:dyDescent="0.35">
      <c r="A10" s="70" t="s">
        <v>951</v>
      </c>
      <c r="B10" s="70" t="s">
        <v>951</v>
      </c>
      <c r="C10" s="70" t="s">
        <v>941</v>
      </c>
      <c r="D10" s="70"/>
    </row>
    <row r="11" spans="1:4" x14ac:dyDescent="0.35">
      <c r="A11" s="65" t="s">
        <v>951</v>
      </c>
      <c r="B11" s="65" t="s">
        <v>1013</v>
      </c>
      <c r="C11" s="65" t="s">
        <v>960</v>
      </c>
      <c r="D11" s="65" t="s">
        <v>941</v>
      </c>
    </row>
    <row r="12" spans="1:4" hidden="1" x14ac:dyDescent="0.35">
      <c r="A12" s="70" t="s">
        <v>952</v>
      </c>
      <c r="B12" s="70" t="s">
        <v>952</v>
      </c>
      <c r="C12" s="70" t="s">
        <v>1024</v>
      </c>
      <c r="D12" s="70"/>
    </row>
    <row r="13" spans="1:4" hidden="1" x14ac:dyDescent="0.35">
      <c r="A13" s="65" t="s">
        <v>952</v>
      </c>
      <c r="B13" s="65" t="s">
        <v>1023</v>
      </c>
      <c r="C13" s="65" t="s">
        <v>960</v>
      </c>
      <c r="D13" s="65" t="s">
        <v>1025</v>
      </c>
    </row>
    <row r="14" spans="1:4" hidden="1" x14ac:dyDescent="0.35">
      <c r="A14" s="65" t="s">
        <v>112</v>
      </c>
      <c r="B14" s="65" t="s">
        <v>110</v>
      </c>
      <c r="C14" s="65" t="s">
        <v>111</v>
      </c>
      <c r="D14" s="65"/>
    </row>
    <row r="15" spans="1:4" hidden="1" x14ac:dyDescent="0.35">
      <c r="A15" s="65" t="s">
        <v>112</v>
      </c>
      <c r="B15" s="65" t="s">
        <v>112</v>
      </c>
      <c r="C15" s="65" t="s">
        <v>111</v>
      </c>
      <c r="D15" s="65"/>
    </row>
    <row r="16" spans="1:4" hidden="1" x14ac:dyDescent="0.35">
      <c r="A16" s="70" t="s">
        <v>112</v>
      </c>
      <c r="B16" s="70" t="s">
        <v>136</v>
      </c>
      <c r="C16" s="70" t="s">
        <v>111</v>
      </c>
      <c r="D16" s="70"/>
    </row>
    <row r="17" spans="1:4" x14ac:dyDescent="0.35">
      <c r="A17" s="65" t="s">
        <v>112</v>
      </c>
      <c r="B17" s="65" t="s">
        <v>263</v>
      </c>
      <c r="C17" s="65" t="s">
        <v>80</v>
      </c>
      <c r="D17" s="65" t="s">
        <v>111</v>
      </c>
    </row>
    <row r="18" spans="1:4" hidden="1" x14ac:dyDescent="0.35">
      <c r="A18" s="65" t="s">
        <v>519</v>
      </c>
      <c r="B18" s="65" t="s">
        <v>519</v>
      </c>
      <c r="C18" s="65" t="s">
        <v>564</v>
      </c>
      <c r="D18" s="65"/>
    </row>
    <row r="19" spans="1:4" hidden="1" x14ac:dyDescent="0.35">
      <c r="A19" s="65" t="s">
        <v>519</v>
      </c>
      <c r="B19" s="65" t="s">
        <v>565</v>
      </c>
      <c r="C19" s="65" t="s">
        <v>564</v>
      </c>
      <c r="D19" s="65"/>
    </row>
    <row r="20" spans="1:4" hidden="1" x14ac:dyDescent="0.35">
      <c r="A20" s="65" t="s">
        <v>519</v>
      </c>
      <c r="B20" s="65" t="s">
        <v>566</v>
      </c>
      <c r="C20" s="65" t="s">
        <v>564</v>
      </c>
      <c r="D20" s="65"/>
    </row>
    <row r="21" spans="1:4" hidden="1" x14ac:dyDescent="0.35">
      <c r="A21" s="70" t="s">
        <v>519</v>
      </c>
      <c r="B21" s="70" t="s">
        <v>567</v>
      </c>
      <c r="C21" s="70" t="s">
        <v>564</v>
      </c>
      <c r="D21" s="70"/>
    </row>
    <row r="22" spans="1:4" x14ac:dyDescent="0.35">
      <c r="A22" s="65" t="s">
        <v>519</v>
      </c>
      <c r="B22" s="65" t="s">
        <v>518</v>
      </c>
      <c r="C22" s="65" t="s">
        <v>458</v>
      </c>
      <c r="D22" s="65" t="s">
        <v>564</v>
      </c>
    </row>
    <row r="23" spans="1:4" hidden="1" x14ac:dyDescent="0.35">
      <c r="A23" s="70" t="s">
        <v>579</v>
      </c>
      <c r="B23" s="70" t="s">
        <v>579</v>
      </c>
      <c r="C23" s="70" t="s">
        <v>242</v>
      </c>
      <c r="D23" s="70"/>
    </row>
    <row r="24" spans="1:4" x14ac:dyDescent="0.35">
      <c r="A24" s="65" t="s">
        <v>579</v>
      </c>
      <c r="B24" s="65" t="s">
        <v>1014</v>
      </c>
      <c r="C24" s="65" t="s">
        <v>458</v>
      </c>
      <c r="D24" s="65" t="s">
        <v>242</v>
      </c>
    </row>
    <row r="25" spans="1:4" hidden="1" x14ac:dyDescent="0.35">
      <c r="A25" s="70" t="s">
        <v>506</v>
      </c>
      <c r="B25" s="70" t="s">
        <v>506</v>
      </c>
      <c r="C25" s="70" t="s">
        <v>174</v>
      </c>
      <c r="D25" s="70"/>
    </row>
    <row r="26" spans="1:4" x14ac:dyDescent="0.35">
      <c r="A26" s="66" t="s">
        <v>506</v>
      </c>
      <c r="B26" s="66" t="s">
        <v>502</v>
      </c>
      <c r="C26" s="66" t="s">
        <v>482</v>
      </c>
      <c r="D26" s="65" t="s">
        <v>174</v>
      </c>
    </row>
    <row r="27" spans="1:4" x14ac:dyDescent="0.35">
      <c r="A27" s="66" t="s">
        <v>502</v>
      </c>
      <c r="B27" s="66" t="s">
        <v>1019</v>
      </c>
      <c r="C27" s="66" t="s">
        <v>482</v>
      </c>
      <c r="D27" s="65" t="s">
        <v>174</v>
      </c>
    </row>
    <row r="28" spans="1:4" x14ac:dyDescent="0.35">
      <c r="A28" s="79" t="s">
        <v>288</v>
      </c>
      <c r="B28" s="79" t="s">
        <v>1083</v>
      </c>
      <c r="C28" s="79" t="s">
        <v>1082</v>
      </c>
      <c r="D28" s="79" t="s">
        <v>1036</v>
      </c>
    </row>
    <row r="29" spans="1:4" hidden="1" x14ac:dyDescent="0.35">
      <c r="A29" s="65" t="s">
        <v>288</v>
      </c>
      <c r="B29" s="65" t="s">
        <v>286</v>
      </c>
      <c r="C29" s="65" t="s">
        <v>287</v>
      </c>
      <c r="D29" s="65"/>
    </row>
    <row r="30" spans="1:4" hidden="1" x14ac:dyDescent="0.35">
      <c r="A30" s="65" t="s">
        <v>532</v>
      </c>
      <c r="B30" s="65" t="s">
        <v>532</v>
      </c>
      <c r="C30" s="65" t="s">
        <v>287</v>
      </c>
      <c r="D30" s="65"/>
    </row>
    <row r="31" spans="1:4" hidden="1" x14ac:dyDescent="0.35">
      <c r="A31" s="70" t="s">
        <v>532</v>
      </c>
      <c r="B31" s="70" t="s">
        <v>533</v>
      </c>
      <c r="C31" s="70" t="s">
        <v>287</v>
      </c>
      <c r="D31" s="70"/>
    </row>
    <row r="32" spans="1:4" x14ac:dyDescent="0.35">
      <c r="A32" s="65" t="s">
        <v>532</v>
      </c>
      <c r="B32" s="65" t="s">
        <v>992</v>
      </c>
      <c r="C32" s="65" t="s">
        <v>452</v>
      </c>
      <c r="D32" s="65" t="s">
        <v>287</v>
      </c>
    </row>
    <row r="33" spans="1:4" hidden="1" x14ac:dyDescent="0.35">
      <c r="A33" s="65" t="s">
        <v>542</v>
      </c>
      <c r="B33" s="65" t="s">
        <v>541</v>
      </c>
      <c r="C33" s="65" t="s">
        <v>279</v>
      </c>
      <c r="D33" s="65"/>
    </row>
    <row r="34" spans="1:4" hidden="1" x14ac:dyDescent="0.35">
      <c r="A34" s="65" t="s">
        <v>542</v>
      </c>
      <c r="B34" s="65" t="s">
        <v>542</v>
      </c>
      <c r="C34" s="65" t="s">
        <v>279</v>
      </c>
      <c r="D34" s="65"/>
    </row>
    <row r="35" spans="1:4" hidden="1" x14ac:dyDescent="0.35">
      <c r="A35" s="70" t="s">
        <v>542</v>
      </c>
      <c r="B35" s="70" t="s">
        <v>561</v>
      </c>
      <c r="C35" s="70" t="s">
        <v>279</v>
      </c>
      <c r="D35" s="70"/>
    </row>
    <row r="36" spans="1:4" x14ac:dyDescent="0.35">
      <c r="A36" s="65" t="s">
        <v>542</v>
      </c>
      <c r="B36" s="65" t="s">
        <v>669</v>
      </c>
      <c r="C36" s="65" t="s">
        <v>384</v>
      </c>
      <c r="D36" s="65" t="s">
        <v>279</v>
      </c>
    </row>
    <row r="37" spans="1:4" x14ac:dyDescent="0.35">
      <c r="A37" s="65" t="s">
        <v>265</v>
      </c>
      <c r="B37" s="65" t="s">
        <v>264</v>
      </c>
      <c r="C37" s="65" t="s">
        <v>80</v>
      </c>
      <c r="D37" s="65" t="s">
        <v>408</v>
      </c>
    </row>
    <row r="38" spans="1:4" hidden="1" x14ac:dyDescent="0.35">
      <c r="A38" s="65" t="s">
        <v>265</v>
      </c>
      <c r="B38" s="65" t="s">
        <v>265</v>
      </c>
      <c r="C38" s="65" t="s">
        <v>408</v>
      </c>
      <c r="D38" s="65"/>
    </row>
    <row r="39" spans="1:4" hidden="1" x14ac:dyDescent="0.35">
      <c r="A39" s="70" t="s">
        <v>438</v>
      </c>
      <c r="B39" s="70" t="s">
        <v>438</v>
      </c>
      <c r="C39" s="70" t="s">
        <v>458</v>
      </c>
      <c r="D39" s="70"/>
    </row>
    <row r="40" spans="1:4" x14ac:dyDescent="0.35">
      <c r="A40" s="65" t="s">
        <v>438</v>
      </c>
      <c r="B40" s="65" t="s">
        <v>436</v>
      </c>
      <c r="C40" s="65" t="s">
        <v>437</v>
      </c>
      <c r="D40" s="65" t="s">
        <v>458</v>
      </c>
    </row>
    <row r="41" spans="1:4" hidden="1" x14ac:dyDescent="0.35">
      <c r="A41" s="65" t="s">
        <v>438</v>
      </c>
      <c r="B41" s="65" t="s">
        <v>606</v>
      </c>
      <c r="C41" s="65" t="s">
        <v>458</v>
      </c>
      <c r="D41" s="65"/>
    </row>
    <row r="42" spans="1:4" hidden="1" x14ac:dyDescent="0.35">
      <c r="A42" s="65" t="s">
        <v>438</v>
      </c>
      <c r="B42" s="65" t="s">
        <v>516</v>
      </c>
      <c r="C42" s="65" t="s">
        <v>458</v>
      </c>
      <c r="D42" s="65"/>
    </row>
    <row r="43" spans="1:4" hidden="1" x14ac:dyDescent="0.35">
      <c r="A43" s="65" t="s">
        <v>438</v>
      </c>
      <c r="B43" s="65" t="s">
        <v>1015</v>
      </c>
      <c r="C43" s="65" t="s">
        <v>458</v>
      </c>
      <c r="D43" s="65"/>
    </row>
    <row r="44" spans="1:4" hidden="1" x14ac:dyDescent="0.35">
      <c r="A44" s="70" t="s">
        <v>159</v>
      </c>
      <c r="B44" s="70" t="s">
        <v>159</v>
      </c>
      <c r="C44" s="70" t="s">
        <v>151</v>
      </c>
      <c r="D44" s="70"/>
    </row>
    <row r="45" spans="1:4" x14ac:dyDescent="0.35">
      <c r="A45" s="65" t="s">
        <v>159</v>
      </c>
      <c r="B45" s="65" t="s">
        <v>630</v>
      </c>
      <c r="C45" s="65" t="s">
        <v>129</v>
      </c>
      <c r="D45" s="65" t="s">
        <v>151</v>
      </c>
    </row>
    <row r="46" spans="1:4" hidden="1" x14ac:dyDescent="0.35">
      <c r="A46" s="70" t="s">
        <v>159</v>
      </c>
      <c r="B46" s="70" t="s">
        <v>160</v>
      </c>
      <c r="C46" s="70" t="s">
        <v>151</v>
      </c>
      <c r="D46" s="70"/>
    </row>
    <row r="47" spans="1:4" x14ac:dyDescent="0.35">
      <c r="A47" s="65" t="s">
        <v>196</v>
      </c>
      <c r="B47" s="65" t="s">
        <v>224</v>
      </c>
      <c r="C47" s="65" t="s">
        <v>198</v>
      </c>
      <c r="D47" s="65" t="s">
        <v>167</v>
      </c>
    </row>
    <row r="48" spans="1:4" hidden="1" x14ac:dyDescent="0.35">
      <c r="A48" s="65" t="s">
        <v>196</v>
      </c>
      <c r="B48" s="65" t="s">
        <v>613</v>
      </c>
      <c r="C48" s="65" t="s">
        <v>167</v>
      </c>
      <c r="D48" s="65"/>
    </row>
    <row r="49" spans="1:4" hidden="1" x14ac:dyDescent="0.35">
      <c r="A49" s="65" t="s">
        <v>196</v>
      </c>
      <c r="B49" s="65" t="s">
        <v>196</v>
      </c>
      <c r="C49" s="65" t="s">
        <v>167</v>
      </c>
      <c r="D49" s="65"/>
    </row>
    <row r="50" spans="1:4" hidden="1" x14ac:dyDescent="0.35">
      <c r="A50" s="70" t="s">
        <v>162</v>
      </c>
      <c r="B50" s="70" t="s">
        <v>161</v>
      </c>
      <c r="C50" s="70" t="s">
        <v>151</v>
      </c>
      <c r="D50" s="70"/>
    </row>
    <row r="51" spans="1:4" x14ac:dyDescent="0.35">
      <c r="A51" s="65" t="s">
        <v>162</v>
      </c>
      <c r="B51" s="65" t="s">
        <v>615</v>
      </c>
      <c r="C51" s="65" t="s">
        <v>167</v>
      </c>
      <c r="D51" s="65" t="s">
        <v>151</v>
      </c>
    </row>
    <row r="52" spans="1:4" hidden="1" x14ac:dyDescent="0.35">
      <c r="A52" s="65" t="s">
        <v>162</v>
      </c>
      <c r="B52" s="65" t="s">
        <v>163</v>
      </c>
      <c r="C52" s="65" t="s">
        <v>151</v>
      </c>
      <c r="D52" s="65"/>
    </row>
    <row r="53" spans="1:4" hidden="1" x14ac:dyDescent="0.35">
      <c r="A53" s="65" t="s">
        <v>162</v>
      </c>
      <c r="B53" s="65" t="s">
        <v>162</v>
      </c>
      <c r="C53" s="65" t="s">
        <v>151</v>
      </c>
      <c r="D53" s="65"/>
    </row>
    <row r="54" spans="1:4" hidden="1" x14ac:dyDescent="0.35">
      <c r="A54" s="65" t="s">
        <v>162</v>
      </c>
      <c r="B54" s="65" t="s">
        <v>164</v>
      </c>
      <c r="C54" s="65" t="s">
        <v>151</v>
      </c>
      <c r="D54" s="65"/>
    </row>
    <row r="55" spans="1:4" hidden="1" x14ac:dyDescent="0.35">
      <c r="A55" s="65" t="s">
        <v>350</v>
      </c>
      <c r="B55" s="65" t="s">
        <v>350</v>
      </c>
      <c r="C55" s="65" t="s">
        <v>325</v>
      </c>
      <c r="D55" s="65"/>
    </row>
    <row r="56" spans="1:4" hidden="1" x14ac:dyDescent="0.35">
      <c r="A56" s="70" t="s">
        <v>350</v>
      </c>
      <c r="B56" s="70" t="s">
        <v>1016</v>
      </c>
      <c r="C56" s="70" t="s">
        <v>325</v>
      </c>
      <c r="D56" s="70"/>
    </row>
    <row r="57" spans="1:4" x14ac:dyDescent="0.35">
      <c r="A57" s="65" t="s">
        <v>350</v>
      </c>
      <c r="B57" s="65" t="s">
        <v>399</v>
      </c>
      <c r="C57" s="65" t="s">
        <v>384</v>
      </c>
      <c r="D57" s="65" t="s">
        <v>325</v>
      </c>
    </row>
    <row r="58" spans="1:4" x14ac:dyDescent="0.35">
      <c r="A58" s="65" t="s">
        <v>249</v>
      </c>
      <c r="B58" s="65" t="s">
        <v>248</v>
      </c>
      <c r="C58" s="65" t="s">
        <v>111</v>
      </c>
      <c r="D58" s="65" t="s">
        <v>272</v>
      </c>
    </row>
    <row r="59" spans="1:4" hidden="1" x14ac:dyDescent="0.35">
      <c r="A59" s="65" t="s">
        <v>249</v>
      </c>
      <c r="B59" s="65" t="s">
        <v>249</v>
      </c>
      <c r="C59" s="65" t="s">
        <v>272</v>
      </c>
      <c r="D59" s="65"/>
    </row>
    <row r="60" spans="1:4" hidden="1" x14ac:dyDescent="0.35">
      <c r="A60" s="65" t="s">
        <v>249</v>
      </c>
      <c r="B60" s="65" t="s">
        <v>641</v>
      </c>
      <c r="C60" s="65" t="s">
        <v>272</v>
      </c>
      <c r="D60" s="65"/>
    </row>
    <row r="61" spans="1:4" hidden="1" x14ac:dyDescent="0.35">
      <c r="A61" s="70" t="s">
        <v>320</v>
      </c>
      <c r="B61" s="70" t="s">
        <v>320</v>
      </c>
      <c r="C61" s="70" t="s">
        <v>301</v>
      </c>
      <c r="D61" s="70"/>
    </row>
    <row r="62" spans="1:4" x14ac:dyDescent="0.35">
      <c r="A62" s="65" t="s">
        <v>320</v>
      </c>
      <c r="B62" s="65" t="s">
        <v>640</v>
      </c>
      <c r="C62" s="65" t="s">
        <v>272</v>
      </c>
      <c r="D62" s="65" t="s">
        <v>301</v>
      </c>
    </row>
    <row r="63" spans="1:4" hidden="1" x14ac:dyDescent="0.35">
      <c r="A63" s="70" t="s">
        <v>320</v>
      </c>
      <c r="B63" s="70" t="s">
        <v>321</v>
      </c>
      <c r="C63" s="70" t="s">
        <v>301</v>
      </c>
      <c r="D63" s="70"/>
    </row>
    <row r="64" spans="1:4" x14ac:dyDescent="0.35">
      <c r="A64" s="65" t="s">
        <v>267</v>
      </c>
      <c r="B64" s="65" t="s">
        <v>1017</v>
      </c>
      <c r="C64" s="65" t="s">
        <v>80</v>
      </c>
      <c r="D64" s="65" t="s">
        <v>272</v>
      </c>
    </row>
    <row r="65" spans="1:4" hidden="1" x14ac:dyDescent="0.35">
      <c r="A65" s="65" t="s">
        <v>267</v>
      </c>
      <c r="B65" s="65" t="s">
        <v>1018</v>
      </c>
      <c r="C65" s="65" t="s">
        <v>272</v>
      </c>
      <c r="D65" s="65"/>
    </row>
    <row r="66" spans="1:4" hidden="1" x14ac:dyDescent="0.35">
      <c r="A66" s="70" t="s">
        <v>267</v>
      </c>
      <c r="B66" s="70" t="s">
        <v>267</v>
      </c>
      <c r="C66" s="70" t="s">
        <v>272</v>
      </c>
      <c r="D66" s="70"/>
    </row>
    <row r="67" spans="1:4" x14ac:dyDescent="0.35">
      <c r="A67" s="65" t="s">
        <v>418</v>
      </c>
      <c r="B67" s="65" t="s">
        <v>420</v>
      </c>
      <c r="C67" s="65" t="s">
        <v>1036</v>
      </c>
      <c r="D67" s="65" t="s">
        <v>1037</v>
      </c>
    </row>
    <row r="68" spans="1:4" x14ac:dyDescent="0.35">
      <c r="A68" s="65" t="s">
        <v>418</v>
      </c>
      <c r="B68" s="65" t="s">
        <v>421</v>
      </c>
      <c r="C68" s="65" t="s">
        <v>1036</v>
      </c>
      <c r="D68" s="65" t="s">
        <v>1037</v>
      </c>
    </row>
    <row r="69" spans="1:4" x14ac:dyDescent="0.35">
      <c r="A69" s="65" t="s">
        <v>418</v>
      </c>
      <c r="B69" s="65" t="s">
        <v>417</v>
      </c>
      <c r="C69" s="65" t="s">
        <v>1036</v>
      </c>
      <c r="D69" s="65" t="s">
        <v>1037</v>
      </c>
    </row>
    <row r="70" spans="1:4" x14ac:dyDescent="0.35">
      <c r="A70" s="65" t="s">
        <v>394</v>
      </c>
      <c r="B70" s="65" t="s">
        <v>394</v>
      </c>
      <c r="C70" s="65" t="s">
        <v>1040</v>
      </c>
      <c r="D70" s="65" t="s">
        <v>1041</v>
      </c>
    </row>
    <row r="71" spans="1:4" x14ac:dyDescent="0.35">
      <c r="A71" s="65" t="s">
        <v>394</v>
      </c>
      <c r="B71" s="65" t="s">
        <v>554</v>
      </c>
      <c r="C71" s="65" t="s">
        <v>1040</v>
      </c>
      <c r="D71" s="65" t="s">
        <v>1041</v>
      </c>
    </row>
    <row r="72" spans="1:4" x14ac:dyDescent="0.35">
      <c r="A72" s="65" t="s">
        <v>394</v>
      </c>
      <c r="B72" s="65" t="s">
        <v>393</v>
      </c>
      <c r="C72" s="65" t="s">
        <v>1040</v>
      </c>
      <c r="D72" s="65" t="s">
        <v>1041</v>
      </c>
    </row>
  </sheetData>
  <autoFilter ref="A1:D72" xr:uid="{00000000-0001-0000-0000-000000000000}">
    <filterColumn colId="3">
      <filters>
        <filter val="S1_CL05"/>
        <filter val="S1_CL06"/>
        <filter val="S1_CL08"/>
        <filter val="S1_CL10"/>
        <filter val="S1_CL11"/>
        <filter val="S1_CL12"/>
        <filter val="S1_CL15"/>
        <filter val="S1_CL19"/>
        <filter val="S1_CL20"/>
        <filter val="S1_CL21"/>
        <filter val="S1_CL22"/>
        <filter val="S1_CL24"/>
        <filter val="S1_CL25"/>
        <filter val="S1_CL35"/>
        <filter val="S1_CL44"/>
      </filters>
    </filterColumn>
  </autoFilter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FF8D-8B6F-4DBA-9C0C-7DBE3D4E1E04}">
  <dimension ref="A3:C582"/>
  <sheetViews>
    <sheetView workbookViewId="0">
      <selection activeCell="F35" sqref="F35"/>
    </sheetView>
  </sheetViews>
  <sheetFormatPr defaultRowHeight="13.5" x14ac:dyDescent="0.35"/>
  <cols>
    <col min="1" max="1" width="17.5" bestFit="1" customWidth="1"/>
    <col min="2" max="2" width="10.5" bestFit="1" customWidth="1"/>
    <col min="3" max="3" width="6" bestFit="1" customWidth="1"/>
  </cols>
  <sheetData>
    <row r="3" spans="1:3" x14ac:dyDescent="0.35">
      <c r="A3" s="27" t="s">
        <v>1008</v>
      </c>
    </row>
    <row r="4" spans="1:3" x14ac:dyDescent="0.35">
      <c r="A4" s="27" t="s">
        <v>1009</v>
      </c>
      <c r="B4" s="27" t="s">
        <v>1010</v>
      </c>
      <c r="C4" t="s">
        <v>1011</v>
      </c>
    </row>
    <row r="5" spans="1:3" x14ac:dyDescent="0.35">
      <c r="A5" t="s">
        <v>838</v>
      </c>
      <c r="B5" t="s">
        <v>839</v>
      </c>
      <c r="C5" s="28">
        <v>2</v>
      </c>
    </row>
    <row r="6" spans="1:3" x14ac:dyDescent="0.35">
      <c r="A6" t="s">
        <v>866</v>
      </c>
      <c r="B6" t="s">
        <v>867</v>
      </c>
      <c r="C6" s="28">
        <v>3</v>
      </c>
    </row>
    <row r="7" spans="1:3" x14ac:dyDescent="0.35">
      <c r="A7" t="s">
        <v>861</v>
      </c>
      <c r="B7" t="s">
        <v>856</v>
      </c>
      <c r="C7" s="28">
        <v>1</v>
      </c>
    </row>
    <row r="8" spans="1:3" x14ac:dyDescent="0.35">
      <c r="A8" t="s">
        <v>965</v>
      </c>
      <c r="B8" t="s">
        <v>960</v>
      </c>
      <c r="C8" s="28">
        <v>1</v>
      </c>
    </row>
    <row r="9" spans="1:3" x14ac:dyDescent="0.35">
      <c r="A9" t="s">
        <v>794</v>
      </c>
      <c r="B9" t="s">
        <v>795</v>
      </c>
      <c r="C9" s="28">
        <v>2</v>
      </c>
    </row>
    <row r="10" spans="1:3" x14ac:dyDescent="0.35">
      <c r="A10" t="s">
        <v>763</v>
      </c>
      <c r="B10" t="s">
        <v>765</v>
      </c>
      <c r="C10" s="28">
        <v>4</v>
      </c>
    </row>
    <row r="11" spans="1:3" x14ac:dyDescent="0.35">
      <c r="A11" t="s">
        <v>896</v>
      </c>
      <c r="B11" t="s">
        <v>894</v>
      </c>
      <c r="C11" s="28">
        <v>1</v>
      </c>
    </row>
    <row r="12" spans="1:3" x14ac:dyDescent="0.35">
      <c r="A12" t="s">
        <v>979</v>
      </c>
      <c r="B12" t="s">
        <v>1006</v>
      </c>
      <c r="C12" s="28">
        <v>1</v>
      </c>
    </row>
    <row r="13" spans="1:3" x14ac:dyDescent="0.35">
      <c r="A13" t="s">
        <v>954</v>
      </c>
      <c r="B13" t="s">
        <v>941</v>
      </c>
      <c r="C13" s="28">
        <v>1</v>
      </c>
    </row>
    <row r="14" spans="1:3" x14ac:dyDescent="0.35">
      <c r="A14" t="s">
        <v>814</v>
      </c>
      <c r="B14" t="s">
        <v>808</v>
      </c>
      <c r="C14" s="28">
        <v>1</v>
      </c>
    </row>
    <row r="15" spans="1:3" x14ac:dyDescent="0.35">
      <c r="A15" t="s">
        <v>886</v>
      </c>
      <c r="B15" t="s">
        <v>880</v>
      </c>
      <c r="C15" s="28">
        <v>1</v>
      </c>
    </row>
    <row r="16" spans="1:3" x14ac:dyDescent="0.35">
      <c r="A16" t="s">
        <v>981</v>
      </c>
      <c r="B16" t="s">
        <v>1006</v>
      </c>
      <c r="C16" s="28">
        <v>1</v>
      </c>
    </row>
    <row r="17" spans="1:3" x14ac:dyDescent="0.35">
      <c r="A17" t="s">
        <v>897</v>
      </c>
      <c r="B17" t="s">
        <v>894</v>
      </c>
      <c r="C17" s="28">
        <v>1</v>
      </c>
    </row>
    <row r="18" spans="1:3" x14ac:dyDescent="0.35">
      <c r="A18" t="s">
        <v>999</v>
      </c>
      <c r="B18" t="s">
        <v>1006</v>
      </c>
      <c r="C18" s="28">
        <v>1</v>
      </c>
    </row>
    <row r="19" spans="1:3" x14ac:dyDescent="0.35">
      <c r="A19" t="s">
        <v>828</v>
      </c>
      <c r="B19" t="s">
        <v>829</v>
      </c>
      <c r="C19" s="28">
        <v>2</v>
      </c>
    </row>
    <row r="20" spans="1:3" x14ac:dyDescent="0.35">
      <c r="A20" t="s">
        <v>828</v>
      </c>
      <c r="B20" t="s">
        <v>856</v>
      </c>
      <c r="C20" s="28">
        <v>1</v>
      </c>
    </row>
    <row r="21" spans="1:3" x14ac:dyDescent="0.35">
      <c r="A21" t="s">
        <v>959</v>
      </c>
      <c r="B21" t="s">
        <v>960</v>
      </c>
      <c r="C21" s="28">
        <v>2</v>
      </c>
    </row>
    <row r="22" spans="1:3" x14ac:dyDescent="0.35">
      <c r="A22" t="s">
        <v>831</v>
      </c>
      <c r="B22" t="s">
        <v>829</v>
      </c>
      <c r="C22" s="28">
        <v>2</v>
      </c>
    </row>
    <row r="23" spans="1:3" x14ac:dyDescent="0.35">
      <c r="A23" t="s">
        <v>924</v>
      </c>
      <c r="B23" t="s">
        <v>915</v>
      </c>
      <c r="C23" s="28">
        <v>1</v>
      </c>
    </row>
    <row r="24" spans="1:3" x14ac:dyDescent="0.35">
      <c r="A24" t="s">
        <v>914</v>
      </c>
      <c r="B24" t="s">
        <v>915</v>
      </c>
      <c r="C24" s="28">
        <v>2</v>
      </c>
    </row>
    <row r="25" spans="1:3" x14ac:dyDescent="0.35">
      <c r="A25" t="s">
        <v>953</v>
      </c>
      <c r="B25" t="s">
        <v>941</v>
      </c>
      <c r="C25" s="28">
        <v>1</v>
      </c>
    </row>
    <row r="26" spans="1:3" x14ac:dyDescent="0.35">
      <c r="A26" t="s">
        <v>851</v>
      </c>
      <c r="B26" t="s">
        <v>839</v>
      </c>
      <c r="C26" s="28">
        <v>1</v>
      </c>
    </row>
    <row r="27" spans="1:3" x14ac:dyDescent="0.35">
      <c r="A27" t="s">
        <v>835</v>
      </c>
      <c r="B27" t="s">
        <v>829</v>
      </c>
      <c r="C27" s="28">
        <v>1</v>
      </c>
    </row>
    <row r="28" spans="1:3" x14ac:dyDescent="0.35">
      <c r="A28" t="s">
        <v>805</v>
      </c>
      <c r="B28" t="s">
        <v>795</v>
      </c>
      <c r="C28" s="28">
        <v>1</v>
      </c>
    </row>
    <row r="29" spans="1:3" x14ac:dyDescent="0.35">
      <c r="A29" t="s">
        <v>807</v>
      </c>
      <c r="B29" t="s">
        <v>808</v>
      </c>
      <c r="C29" s="28">
        <v>2</v>
      </c>
    </row>
    <row r="30" spans="1:3" x14ac:dyDescent="0.35">
      <c r="A30" t="s">
        <v>833</v>
      </c>
      <c r="B30" t="s">
        <v>829</v>
      </c>
      <c r="C30" s="28">
        <v>2</v>
      </c>
    </row>
    <row r="31" spans="1:3" x14ac:dyDescent="0.35">
      <c r="A31" t="s">
        <v>879</v>
      </c>
      <c r="B31" t="s">
        <v>880</v>
      </c>
      <c r="C31" s="28">
        <v>2</v>
      </c>
    </row>
    <row r="32" spans="1:3" x14ac:dyDescent="0.35">
      <c r="A32" t="s">
        <v>812</v>
      </c>
      <c r="B32" t="s">
        <v>808</v>
      </c>
      <c r="C32" s="28">
        <v>1</v>
      </c>
    </row>
    <row r="33" spans="1:3" x14ac:dyDescent="0.35">
      <c r="A33" t="s">
        <v>823</v>
      </c>
      <c r="B33" t="s">
        <v>818</v>
      </c>
      <c r="C33" s="28">
        <v>1</v>
      </c>
    </row>
    <row r="34" spans="1:3" x14ac:dyDescent="0.35">
      <c r="A34" t="s">
        <v>928</v>
      </c>
      <c r="B34" t="s">
        <v>929</v>
      </c>
      <c r="C34" s="28">
        <v>3</v>
      </c>
    </row>
    <row r="35" spans="1:3" x14ac:dyDescent="0.35">
      <c r="A35" t="s">
        <v>870</v>
      </c>
      <c r="B35" t="s">
        <v>867</v>
      </c>
      <c r="C35" s="28">
        <v>3</v>
      </c>
    </row>
    <row r="36" spans="1:3" x14ac:dyDescent="0.35">
      <c r="A36" t="s">
        <v>876</v>
      </c>
      <c r="B36" t="s">
        <v>867</v>
      </c>
      <c r="C36" s="28">
        <v>1</v>
      </c>
    </row>
    <row r="37" spans="1:3" x14ac:dyDescent="0.35">
      <c r="A37" t="s">
        <v>817</v>
      </c>
      <c r="B37" t="s">
        <v>818</v>
      </c>
      <c r="C37" s="28">
        <v>5</v>
      </c>
    </row>
    <row r="38" spans="1:3" x14ac:dyDescent="0.35">
      <c r="A38" t="s">
        <v>841</v>
      </c>
      <c r="B38" t="s">
        <v>839</v>
      </c>
      <c r="C38" s="28">
        <v>4</v>
      </c>
    </row>
    <row r="39" spans="1:3" x14ac:dyDescent="0.35">
      <c r="A39" t="s">
        <v>882</v>
      </c>
      <c r="B39" t="s">
        <v>880</v>
      </c>
      <c r="C39" s="28">
        <v>4</v>
      </c>
    </row>
    <row r="40" spans="1:3" x14ac:dyDescent="0.35">
      <c r="A40" t="s">
        <v>882</v>
      </c>
      <c r="B40" t="s">
        <v>894</v>
      </c>
      <c r="C40" s="28">
        <v>1</v>
      </c>
    </row>
    <row r="41" spans="1:3" x14ac:dyDescent="0.35">
      <c r="A41" t="s">
        <v>810</v>
      </c>
      <c r="B41" t="s">
        <v>808</v>
      </c>
      <c r="C41" s="28">
        <v>1</v>
      </c>
    </row>
    <row r="42" spans="1:3" x14ac:dyDescent="0.35">
      <c r="A42" t="s">
        <v>899</v>
      </c>
      <c r="B42" t="s">
        <v>894</v>
      </c>
      <c r="C42" s="28">
        <v>1</v>
      </c>
    </row>
    <row r="43" spans="1:3" x14ac:dyDescent="0.35">
      <c r="A43" t="s">
        <v>935</v>
      </c>
      <c r="B43" t="s">
        <v>929</v>
      </c>
      <c r="C43" s="28">
        <v>1</v>
      </c>
    </row>
    <row r="44" spans="1:3" x14ac:dyDescent="0.35">
      <c r="A44" t="s">
        <v>940</v>
      </c>
      <c r="B44" t="s">
        <v>941</v>
      </c>
      <c r="C44" s="28">
        <v>3</v>
      </c>
    </row>
    <row r="45" spans="1:3" x14ac:dyDescent="0.35">
      <c r="A45" t="s">
        <v>813</v>
      </c>
      <c r="B45" t="s">
        <v>808</v>
      </c>
      <c r="C45" s="28">
        <v>1</v>
      </c>
    </row>
    <row r="46" spans="1:3" x14ac:dyDescent="0.35">
      <c r="A46" t="s">
        <v>900</v>
      </c>
      <c r="B46" t="s">
        <v>894</v>
      </c>
      <c r="C46" s="28">
        <v>1</v>
      </c>
    </row>
    <row r="47" spans="1:3" x14ac:dyDescent="0.35">
      <c r="A47" t="s">
        <v>862</v>
      </c>
      <c r="B47" t="s">
        <v>856</v>
      </c>
      <c r="C47" s="28">
        <v>1</v>
      </c>
    </row>
    <row r="48" spans="1:3" x14ac:dyDescent="0.35">
      <c r="A48" t="s">
        <v>889</v>
      </c>
      <c r="B48" t="s">
        <v>880</v>
      </c>
      <c r="C48" s="28">
        <v>1</v>
      </c>
    </row>
    <row r="49" spans="1:3" x14ac:dyDescent="0.35">
      <c r="A49" t="s">
        <v>947</v>
      </c>
      <c r="B49" t="s">
        <v>941</v>
      </c>
      <c r="C49" s="28">
        <v>3</v>
      </c>
    </row>
    <row r="50" spans="1:3" x14ac:dyDescent="0.35">
      <c r="A50" t="s">
        <v>893</v>
      </c>
      <c r="B50" t="s">
        <v>894</v>
      </c>
      <c r="C50" s="28">
        <v>3</v>
      </c>
    </row>
    <row r="51" spans="1:3" x14ac:dyDescent="0.35">
      <c r="A51" t="s">
        <v>857</v>
      </c>
      <c r="B51" t="s">
        <v>856</v>
      </c>
      <c r="C51" s="28">
        <v>3</v>
      </c>
    </row>
    <row r="52" spans="1:3" x14ac:dyDescent="0.35">
      <c r="A52" t="s">
        <v>846</v>
      </c>
      <c r="B52" t="s">
        <v>839</v>
      </c>
      <c r="C52" s="28">
        <v>4</v>
      </c>
    </row>
    <row r="53" spans="1:3" x14ac:dyDescent="0.35">
      <c r="A53" t="s">
        <v>824</v>
      </c>
      <c r="B53" t="s">
        <v>818</v>
      </c>
      <c r="C53" s="28">
        <v>1</v>
      </c>
    </row>
    <row r="54" spans="1:3" x14ac:dyDescent="0.35">
      <c r="A54" t="s">
        <v>852</v>
      </c>
      <c r="B54" t="s">
        <v>839</v>
      </c>
      <c r="C54" s="28">
        <v>1</v>
      </c>
    </row>
    <row r="55" spans="1:3" x14ac:dyDescent="0.35">
      <c r="A55" t="s">
        <v>951</v>
      </c>
      <c r="B55" t="s">
        <v>941</v>
      </c>
      <c r="C55" s="28">
        <v>1</v>
      </c>
    </row>
    <row r="56" spans="1:3" x14ac:dyDescent="0.35">
      <c r="A56" t="s">
        <v>951</v>
      </c>
      <c r="B56" t="s">
        <v>960</v>
      </c>
      <c r="C56" s="28">
        <v>1</v>
      </c>
    </row>
    <row r="57" spans="1:3" x14ac:dyDescent="0.35">
      <c r="A57" t="s">
        <v>938</v>
      </c>
      <c r="B57" t="s">
        <v>929</v>
      </c>
      <c r="C57" s="28">
        <v>1</v>
      </c>
    </row>
    <row r="58" spans="1:3" x14ac:dyDescent="0.35">
      <c r="A58" t="s">
        <v>966</v>
      </c>
      <c r="B58" t="s">
        <v>960</v>
      </c>
      <c r="C58" s="28">
        <v>1</v>
      </c>
    </row>
    <row r="59" spans="1:3" x14ac:dyDescent="0.35">
      <c r="A59" t="s">
        <v>784</v>
      </c>
      <c r="B59" t="s">
        <v>779</v>
      </c>
      <c r="C59" s="28">
        <v>1</v>
      </c>
    </row>
    <row r="60" spans="1:3" x14ac:dyDescent="0.35">
      <c r="A60" t="s">
        <v>786</v>
      </c>
      <c r="B60" t="s">
        <v>779</v>
      </c>
      <c r="C60" s="28">
        <v>1</v>
      </c>
    </row>
    <row r="61" spans="1:3" x14ac:dyDescent="0.35">
      <c r="A61" t="s">
        <v>788</v>
      </c>
      <c r="B61" t="s">
        <v>779</v>
      </c>
      <c r="C61" s="28">
        <v>1</v>
      </c>
    </row>
    <row r="62" spans="1:3" x14ac:dyDescent="0.35">
      <c r="A62" t="s">
        <v>911</v>
      </c>
      <c r="B62" t="s">
        <v>905</v>
      </c>
      <c r="C62" s="28">
        <v>1</v>
      </c>
    </row>
    <row r="63" spans="1:3" x14ac:dyDescent="0.35">
      <c r="A63" t="s">
        <v>802</v>
      </c>
      <c r="B63" t="s">
        <v>795</v>
      </c>
      <c r="C63" s="28">
        <v>1</v>
      </c>
    </row>
    <row r="64" spans="1:3" x14ac:dyDescent="0.35">
      <c r="A64" t="s">
        <v>776</v>
      </c>
      <c r="B64" t="s">
        <v>765</v>
      </c>
      <c r="C64" s="28">
        <v>1</v>
      </c>
    </row>
    <row r="65" spans="1:3" x14ac:dyDescent="0.35">
      <c r="A65" t="s">
        <v>968</v>
      </c>
      <c r="B65" t="s">
        <v>960</v>
      </c>
      <c r="C65" s="28">
        <v>1</v>
      </c>
    </row>
    <row r="66" spans="1:3" x14ac:dyDescent="0.35">
      <c r="A66" t="s">
        <v>798</v>
      </c>
      <c r="B66" t="s">
        <v>795</v>
      </c>
      <c r="C66" s="28">
        <v>4</v>
      </c>
    </row>
    <row r="67" spans="1:3" x14ac:dyDescent="0.35">
      <c r="A67" t="s">
        <v>918</v>
      </c>
      <c r="B67" t="s">
        <v>915</v>
      </c>
      <c r="C67" s="28">
        <v>3</v>
      </c>
    </row>
    <row r="68" spans="1:3" x14ac:dyDescent="0.35">
      <c r="A68" t="s">
        <v>863</v>
      </c>
      <c r="B68" t="s">
        <v>856</v>
      </c>
      <c r="C68" s="28">
        <v>1</v>
      </c>
    </row>
    <row r="69" spans="1:3" x14ac:dyDescent="0.35">
      <c r="A69" t="s">
        <v>864</v>
      </c>
      <c r="B69" t="s">
        <v>856</v>
      </c>
      <c r="C69" s="28">
        <v>1</v>
      </c>
    </row>
    <row r="70" spans="1:3" x14ac:dyDescent="0.35">
      <c r="A70" t="s">
        <v>920</v>
      </c>
      <c r="B70" t="s">
        <v>915</v>
      </c>
      <c r="C70" s="28">
        <v>3</v>
      </c>
    </row>
    <row r="71" spans="1:3" x14ac:dyDescent="0.35">
      <c r="A71" t="s">
        <v>806</v>
      </c>
      <c r="B71" t="s">
        <v>795</v>
      </c>
      <c r="C71" s="28">
        <v>1</v>
      </c>
    </row>
    <row r="72" spans="1:3" x14ac:dyDescent="0.35">
      <c r="A72" t="s">
        <v>825</v>
      </c>
      <c r="B72" t="s">
        <v>818</v>
      </c>
      <c r="C72" s="28">
        <v>1</v>
      </c>
    </row>
    <row r="73" spans="1:3" x14ac:dyDescent="0.35">
      <c r="A73" t="s">
        <v>837</v>
      </c>
      <c r="B73" t="s">
        <v>829</v>
      </c>
      <c r="C73" s="28">
        <v>1</v>
      </c>
    </row>
    <row r="74" spans="1:3" x14ac:dyDescent="0.35">
      <c r="A74" t="s">
        <v>826</v>
      </c>
      <c r="B74" t="s">
        <v>818</v>
      </c>
      <c r="C74" s="28">
        <v>1</v>
      </c>
    </row>
    <row r="75" spans="1:3" x14ac:dyDescent="0.35">
      <c r="A75" t="s">
        <v>770</v>
      </c>
      <c r="B75" t="s">
        <v>765</v>
      </c>
      <c r="C75" s="28">
        <v>3</v>
      </c>
    </row>
    <row r="76" spans="1:3" x14ac:dyDescent="0.35">
      <c r="A76" t="s">
        <v>811</v>
      </c>
      <c r="B76" t="s">
        <v>808</v>
      </c>
      <c r="C76" s="28">
        <v>1</v>
      </c>
    </row>
    <row r="77" spans="1:3" x14ac:dyDescent="0.35">
      <c r="A77" t="s">
        <v>952</v>
      </c>
      <c r="B77" t="s">
        <v>941</v>
      </c>
      <c r="C77" s="28">
        <v>1</v>
      </c>
    </row>
    <row r="78" spans="1:3" x14ac:dyDescent="0.35">
      <c r="A78" t="s">
        <v>952</v>
      </c>
      <c r="B78" t="s">
        <v>960</v>
      </c>
      <c r="C78" s="28">
        <v>1</v>
      </c>
    </row>
    <row r="79" spans="1:3" x14ac:dyDescent="0.35">
      <c r="A79" t="s">
        <v>901</v>
      </c>
      <c r="B79" t="s">
        <v>894</v>
      </c>
      <c r="C79" s="28">
        <v>1</v>
      </c>
    </row>
    <row r="80" spans="1:3" x14ac:dyDescent="0.35">
      <c r="A80" t="s">
        <v>931</v>
      </c>
      <c r="B80" t="s">
        <v>929</v>
      </c>
      <c r="C80" s="28">
        <v>3</v>
      </c>
    </row>
    <row r="81" spans="1:3" x14ac:dyDescent="0.35">
      <c r="A81" t="s">
        <v>803</v>
      </c>
      <c r="B81" t="s">
        <v>795</v>
      </c>
      <c r="C81" s="28">
        <v>1</v>
      </c>
    </row>
    <row r="82" spans="1:3" x14ac:dyDescent="0.35">
      <c r="A82" t="s">
        <v>874</v>
      </c>
      <c r="B82" t="s">
        <v>867</v>
      </c>
      <c r="C82" s="28">
        <v>2</v>
      </c>
    </row>
    <row r="83" spans="1:3" x14ac:dyDescent="0.35">
      <c r="A83" t="s">
        <v>904</v>
      </c>
      <c r="B83" t="s">
        <v>905</v>
      </c>
      <c r="C83" s="28">
        <v>3</v>
      </c>
    </row>
    <row r="84" spans="1:3" x14ac:dyDescent="0.35">
      <c r="A84" t="s">
        <v>907</v>
      </c>
      <c r="B84" t="s">
        <v>905</v>
      </c>
      <c r="C84" s="28">
        <v>2</v>
      </c>
    </row>
    <row r="85" spans="1:3" x14ac:dyDescent="0.35">
      <c r="A85" t="s">
        <v>888</v>
      </c>
      <c r="B85" t="s">
        <v>880</v>
      </c>
      <c r="C85" s="28">
        <v>1</v>
      </c>
    </row>
    <row r="86" spans="1:3" x14ac:dyDescent="0.35">
      <c r="A86" t="s">
        <v>912</v>
      </c>
      <c r="B86" t="s">
        <v>905</v>
      </c>
      <c r="C86" s="28">
        <v>1</v>
      </c>
    </row>
    <row r="87" spans="1:3" x14ac:dyDescent="0.35">
      <c r="A87" t="s">
        <v>887</v>
      </c>
      <c r="B87" t="s">
        <v>880</v>
      </c>
      <c r="C87" s="28">
        <v>1</v>
      </c>
    </row>
    <row r="88" spans="1:3" x14ac:dyDescent="0.35">
      <c r="A88" t="s">
        <v>970</v>
      </c>
      <c r="B88" t="s">
        <v>960</v>
      </c>
      <c r="C88" s="28">
        <v>1</v>
      </c>
    </row>
    <row r="89" spans="1:3" x14ac:dyDescent="0.35">
      <c r="A89" t="s">
        <v>877</v>
      </c>
      <c r="B89" t="s">
        <v>867</v>
      </c>
      <c r="C89" s="28">
        <v>1</v>
      </c>
    </row>
    <row r="90" spans="1:3" x14ac:dyDescent="0.35">
      <c r="A90" t="s">
        <v>902</v>
      </c>
      <c r="B90" t="s">
        <v>894</v>
      </c>
      <c r="C90" s="28">
        <v>1</v>
      </c>
    </row>
    <row r="91" spans="1:3" x14ac:dyDescent="0.35">
      <c r="A91" t="s">
        <v>773</v>
      </c>
      <c r="B91" t="s">
        <v>765</v>
      </c>
      <c r="C91" s="28">
        <v>2</v>
      </c>
    </row>
    <row r="92" spans="1:3" x14ac:dyDescent="0.35">
      <c r="A92" t="s">
        <v>827</v>
      </c>
      <c r="B92" t="s">
        <v>818</v>
      </c>
      <c r="C92" s="28">
        <v>1</v>
      </c>
    </row>
    <row r="93" spans="1:3" x14ac:dyDescent="0.35">
      <c r="A93" t="s">
        <v>983</v>
      </c>
      <c r="B93" t="s">
        <v>1006</v>
      </c>
      <c r="C93" s="28">
        <v>1</v>
      </c>
    </row>
    <row r="94" spans="1:3" x14ac:dyDescent="0.35">
      <c r="A94" t="s">
        <v>925</v>
      </c>
      <c r="B94" t="s">
        <v>915</v>
      </c>
      <c r="C94" s="28">
        <v>1</v>
      </c>
    </row>
    <row r="95" spans="1:3" x14ac:dyDescent="0.35">
      <c r="A95" t="s">
        <v>836</v>
      </c>
      <c r="B95" t="s">
        <v>829</v>
      </c>
      <c r="C95" s="28">
        <v>1</v>
      </c>
    </row>
    <row r="96" spans="1:3" x14ac:dyDescent="0.35">
      <c r="A96" t="s">
        <v>815</v>
      </c>
      <c r="B96" t="s">
        <v>808</v>
      </c>
      <c r="C96" s="28">
        <v>1</v>
      </c>
    </row>
    <row r="97" spans="1:3" x14ac:dyDescent="0.35">
      <c r="A97" t="s">
        <v>878</v>
      </c>
      <c r="B97" t="s">
        <v>867</v>
      </c>
      <c r="C97" s="28">
        <v>1</v>
      </c>
    </row>
    <row r="98" spans="1:3" x14ac:dyDescent="0.35">
      <c r="A98" t="s">
        <v>971</v>
      </c>
      <c r="B98" t="s">
        <v>960</v>
      </c>
      <c r="C98" s="28">
        <v>1</v>
      </c>
    </row>
    <row r="99" spans="1:3" x14ac:dyDescent="0.35">
      <c r="A99" t="s">
        <v>913</v>
      </c>
      <c r="B99" t="s">
        <v>905</v>
      </c>
      <c r="C99" s="28">
        <v>1</v>
      </c>
    </row>
    <row r="100" spans="1:3" x14ac:dyDescent="0.35">
      <c r="A100" t="s">
        <v>984</v>
      </c>
      <c r="B100" t="s">
        <v>1006</v>
      </c>
      <c r="C100" s="28">
        <v>1</v>
      </c>
    </row>
    <row r="101" spans="1:3" x14ac:dyDescent="0.35">
      <c r="A101" t="s">
        <v>778</v>
      </c>
      <c r="B101" t="s">
        <v>779</v>
      </c>
      <c r="C101" s="28">
        <v>2</v>
      </c>
    </row>
    <row r="102" spans="1:3" x14ac:dyDescent="0.35">
      <c r="A102" t="s">
        <v>909</v>
      </c>
      <c r="B102" t="s">
        <v>905</v>
      </c>
      <c r="C102" s="28">
        <v>2</v>
      </c>
    </row>
    <row r="103" spans="1:3" x14ac:dyDescent="0.35">
      <c r="A103" t="s">
        <v>781</v>
      </c>
      <c r="B103" t="s">
        <v>779</v>
      </c>
      <c r="C103" s="28">
        <v>1</v>
      </c>
    </row>
    <row r="104" spans="1:3" x14ac:dyDescent="0.35">
      <c r="A104" t="s">
        <v>783</v>
      </c>
      <c r="B104" t="s">
        <v>779</v>
      </c>
      <c r="C104" s="28">
        <v>1</v>
      </c>
    </row>
    <row r="105" spans="1:3" x14ac:dyDescent="0.35">
      <c r="A105" t="s">
        <v>789</v>
      </c>
      <c r="B105" t="s">
        <v>779</v>
      </c>
      <c r="C105" s="28">
        <v>1</v>
      </c>
    </row>
    <row r="106" spans="1:3" x14ac:dyDescent="0.35">
      <c r="A106" t="s">
        <v>804</v>
      </c>
      <c r="B106" t="s">
        <v>795</v>
      </c>
      <c r="C106" s="28">
        <v>1</v>
      </c>
    </row>
    <row r="107" spans="1:3" x14ac:dyDescent="0.35">
      <c r="A107" t="s">
        <v>926</v>
      </c>
      <c r="B107" t="s">
        <v>915</v>
      </c>
      <c r="C107" s="28">
        <v>1</v>
      </c>
    </row>
    <row r="108" spans="1:3" x14ac:dyDescent="0.35">
      <c r="A108" t="s">
        <v>790</v>
      </c>
      <c r="B108" t="s">
        <v>779</v>
      </c>
      <c r="C108" s="28">
        <v>1</v>
      </c>
    </row>
    <row r="109" spans="1:3" x14ac:dyDescent="0.35">
      <c r="A109" t="s">
        <v>791</v>
      </c>
      <c r="B109" t="s">
        <v>779</v>
      </c>
      <c r="C109" s="28">
        <v>1</v>
      </c>
    </row>
    <row r="110" spans="1:3" x14ac:dyDescent="0.35">
      <c r="A110" t="s">
        <v>854</v>
      </c>
      <c r="B110" t="s">
        <v>839</v>
      </c>
      <c r="C110" s="28">
        <v>1</v>
      </c>
    </row>
    <row r="111" spans="1:3" x14ac:dyDescent="0.35">
      <c r="A111" t="s">
        <v>972</v>
      </c>
      <c r="B111" t="s">
        <v>960</v>
      </c>
      <c r="C111" s="28">
        <v>1</v>
      </c>
    </row>
    <row r="112" spans="1:3" x14ac:dyDescent="0.35">
      <c r="A112" t="s">
        <v>973</v>
      </c>
      <c r="B112" t="s">
        <v>960</v>
      </c>
      <c r="C112" s="28">
        <v>1</v>
      </c>
    </row>
    <row r="113" spans="1:3" x14ac:dyDescent="0.35">
      <c r="A113" t="s">
        <v>974</v>
      </c>
      <c r="B113" t="s">
        <v>960</v>
      </c>
      <c r="C113" s="28">
        <v>1</v>
      </c>
    </row>
    <row r="114" spans="1:3" x14ac:dyDescent="0.35">
      <c r="A114" t="s">
        <v>865</v>
      </c>
      <c r="B114" t="s">
        <v>856</v>
      </c>
      <c r="C114" s="28">
        <v>1</v>
      </c>
    </row>
    <row r="115" spans="1:3" x14ac:dyDescent="0.35">
      <c r="A115" t="s">
        <v>955</v>
      </c>
      <c r="B115" t="s">
        <v>941</v>
      </c>
      <c r="C115" s="28">
        <v>1</v>
      </c>
    </row>
    <row r="116" spans="1:3" x14ac:dyDescent="0.35">
      <c r="A116" t="s">
        <v>956</v>
      </c>
      <c r="B116" t="s">
        <v>941</v>
      </c>
      <c r="C116" s="28">
        <v>1</v>
      </c>
    </row>
    <row r="117" spans="1:3" x14ac:dyDescent="0.35">
      <c r="A117" t="s">
        <v>936</v>
      </c>
      <c r="B117" t="s">
        <v>929</v>
      </c>
      <c r="C117" s="28">
        <v>1</v>
      </c>
    </row>
    <row r="118" spans="1:3" x14ac:dyDescent="0.35">
      <c r="A118" t="s">
        <v>816</v>
      </c>
      <c r="B118" t="s">
        <v>808</v>
      </c>
      <c r="C118" s="28">
        <v>1</v>
      </c>
    </row>
    <row r="119" spans="1:3" x14ac:dyDescent="0.35">
      <c r="A119" t="s">
        <v>985</v>
      </c>
      <c r="B119" t="s">
        <v>1006</v>
      </c>
      <c r="C119" s="28">
        <v>1</v>
      </c>
    </row>
    <row r="120" spans="1:3" x14ac:dyDescent="0.35">
      <c r="A120" t="s">
        <v>977</v>
      </c>
      <c r="B120" t="s">
        <v>960</v>
      </c>
      <c r="C120" s="28">
        <v>1</v>
      </c>
    </row>
    <row r="121" spans="1:3" x14ac:dyDescent="0.35">
      <c r="A121" t="s">
        <v>958</v>
      </c>
      <c r="B121" t="s">
        <v>941</v>
      </c>
      <c r="C121" s="28">
        <v>1</v>
      </c>
    </row>
    <row r="122" spans="1:3" x14ac:dyDescent="0.35">
      <c r="A122" t="s">
        <v>975</v>
      </c>
      <c r="B122" t="s">
        <v>960</v>
      </c>
      <c r="C122" s="28">
        <v>1</v>
      </c>
    </row>
    <row r="123" spans="1:3" x14ac:dyDescent="0.35">
      <c r="A123" t="s">
        <v>792</v>
      </c>
      <c r="B123" t="s">
        <v>779</v>
      </c>
      <c r="C123" s="28">
        <v>1</v>
      </c>
    </row>
    <row r="124" spans="1:3" x14ac:dyDescent="0.35">
      <c r="A124" t="s">
        <v>793</v>
      </c>
      <c r="B124" t="s">
        <v>779</v>
      </c>
      <c r="C124" s="28">
        <v>1</v>
      </c>
    </row>
    <row r="125" spans="1:3" x14ac:dyDescent="0.35">
      <c r="A125" t="s">
        <v>937</v>
      </c>
      <c r="B125" t="s">
        <v>929</v>
      </c>
      <c r="C125" s="28">
        <v>1</v>
      </c>
    </row>
    <row r="126" spans="1:3" x14ac:dyDescent="0.35">
      <c r="A126" t="s">
        <v>684</v>
      </c>
      <c r="B126" t="s">
        <v>672</v>
      </c>
      <c r="C126" s="28">
        <v>1</v>
      </c>
    </row>
    <row r="127" spans="1:3" x14ac:dyDescent="0.35">
      <c r="A127" t="s">
        <v>671</v>
      </c>
      <c r="B127" t="s">
        <v>672</v>
      </c>
      <c r="C127" s="28">
        <v>2</v>
      </c>
    </row>
    <row r="128" spans="1:3" x14ac:dyDescent="0.35">
      <c r="A128" t="s">
        <v>674</v>
      </c>
      <c r="B128" t="s">
        <v>672</v>
      </c>
      <c r="C128" s="28">
        <v>2</v>
      </c>
    </row>
    <row r="129" spans="1:3" x14ac:dyDescent="0.35">
      <c r="A129" t="s">
        <v>699</v>
      </c>
      <c r="B129" t="s">
        <v>75</v>
      </c>
      <c r="C129" s="28">
        <v>2</v>
      </c>
    </row>
    <row r="130" spans="1:3" x14ac:dyDescent="0.35">
      <c r="A130" t="s">
        <v>712</v>
      </c>
      <c r="B130" t="s">
        <v>75</v>
      </c>
      <c r="C130" s="28">
        <v>1</v>
      </c>
    </row>
    <row r="131" spans="1:3" x14ac:dyDescent="0.35">
      <c r="A131" t="s">
        <v>729</v>
      </c>
      <c r="B131" t="s">
        <v>722</v>
      </c>
      <c r="C131" s="28">
        <v>1</v>
      </c>
    </row>
    <row r="132" spans="1:3" x14ac:dyDescent="0.35">
      <c r="A132" t="s">
        <v>686</v>
      </c>
      <c r="B132" t="s">
        <v>672</v>
      </c>
      <c r="C132" s="28">
        <v>1</v>
      </c>
    </row>
    <row r="133" spans="1:3" x14ac:dyDescent="0.35">
      <c r="A133" t="s">
        <v>702</v>
      </c>
      <c r="B133" t="s">
        <v>75</v>
      </c>
      <c r="C133" s="28">
        <v>3</v>
      </c>
    </row>
    <row r="134" spans="1:3" x14ac:dyDescent="0.35">
      <c r="A134" t="s">
        <v>685</v>
      </c>
      <c r="B134" t="s">
        <v>672</v>
      </c>
      <c r="C134" s="28">
        <v>1</v>
      </c>
    </row>
    <row r="135" spans="1:3" x14ac:dyDescent="0.35">
      <c r="A135" t="s">
        <v>76</v>
      </c>
      <c r="B135" t="s">
        <v>75</v>
      </c>
      <c r="C135" s="28">
        <v>4</v>
      </c>
    </row>
    <row r="136" spans="1:3" x14ac:dyDescent="0.35">
      <c r="A136" t="s">
        <v>713</v>
      </c>
      <c r="B136" t="s">
        <v>75</v>
      </c>
      <c r="C136" s="28">
        <v>1</v>
      </c>
    </row>
    <row r="137" spans="1:3" x14ac:dyDescent="0.35">
      <c r="A137" t="s">
        <v>714</v>
      </c>
      <c r="B137" t="s">
        <v>75</v>
      </c>
      <c r="C137" s="28">
        <v>1</v>
      </c>
    </row>
    <row r="138" spans="1:3" x14ac:dyDescent="0.35">
      <c r="A138" t="s">
        <v>747</v>
      </c>
      <c r="B138" t="s">
        <v>48</v>
      </c>
      <c r="C138" s="28">
        <v>1</v>
      </c>
    </row>
    <row r="139" spans="1:3" x14ac:dyDescent="0.35">
      <c r="A139" t="s">
        <v>54</v>
      </c>
      <c r="B139" t="s">
        <v>48</v>
      </c>
      <c r="C139" s="28">
        <v>5</v>
      </c>
    </row>
    <row r="140" spans="1:3" x14ac:dyDescent="0.35">
      <c r="A140" t="s">
        <v>721</v>
      </c>
      <c r="B140" t="s">
        <v>722</v>
      </c>
      <c r="C140" s="28">
        <v>2</v>
      </c>
    </row>
    <row r="141" spans="1:3" x14ac:dyDescent="0.35">
      <c r="A141" t="s">
        <v>724</v>
      </c>
      <c r="B141" t="s">
        <v>722</v>
      </c>
      <c r="C141" s="28">
        <v>2</v>
      </c>
    </row>
    <row r="142" spans="1:3" x14ac:dyDescent="0.35">
      <c r="A142" t="s">
        <v>687</v>
      </c>
      <c r="B142" t="s">
        <v>672</v>
      </c>
      <c r="C142" s="28">
        <v>1</v>
      </c>
    </row>
    <row r="143" spans="1:3" x14ac:dyDescent="0.35">
      <c r="A143" t="s">
        <v>748</v>
      </c>
      <c r="B143" t="s">
        <v>48</v>
      </c>
      <c r="C143" s="28">
        <v>1</v>
      </c>
    </row>
    <row r="144" spans="1:3" x14ac:dyDescent="0.35">
      <c r="A144" t="s">
        <v>688</v>
      </c>
      <c r="B144" t="s">
        <v>672</v>
      </c>
      <c r="C144" s="28">
        <v>1</v>
      </c>
    </row>
    <row r="145" spans="1:3" x14ac:dyDescent="0.35">
      <c r="A145" t="s">
        <v>749</v>
      </c>
      <c r="B145" t="s">
        <v>48</v>
      </c>
      <c r="C145" s="28">
        <v>1</v>
      </c>
    </row>
    <row r="146" spans="1:3" x14ac:dyDescent="0.35">
      <c r="A146" t="s">
        <v>715</v>
      </c>
      <c r="B146" t="s">
        <v>75</v>
      </c>
      <c r="C146" s="28">
        <v>1</v>
      </c>
    </row>
    <row r="147" spans="1:3" x14ac:dyDescent="0.35">
      <c r="A147" t="s">
        <v>750</v>
      </c>
      <c r="B147" t="s">
        <v>48</v>
      </c>
      <c r="C147" s="28">
        <v>1</v>
      </c>
    </row>
    <row r="148" spans="1:3" x14ac:dyDescent="0.35">
      <c r="A148" t="s">
        <v>730</v>
      </c>
      <c r="B148" t="s">
        <v>722</v>
      </c>
      <c r="C148" s="28">
        <v>1</v>
      </c>
    </row>
    <row r="149" spans="1:3" x14ac:dyDescent="0.35">
      <c r="A149" t="s">
        <v>689</v>
      </c>
      <c r="B149" t="s">
        <v>672</v>
      </c>
      <c r="C149" s="28">
        <v>1</v>
      </c>
    </row>
    <row r="150" spans="1:3" x14ac:dyDescent="0.35">
      <c r="A150" t="s">
        <v>731</v>
      </c>
      <c r="B150" t="s">
        <v>722</v>
      </c>
      <c r="C150" s="28">
        <v>1</v>
      </c>
    </row>
    <row r="151" spans="1:3" x14ac:dyDescent="0.35">
      <c r="A151" t="s">
        <v>739</v>
      </c>
      <c r="B151" t="s">
        <v>722</v>
      </c>
      <c r="C151" s="28">
        <v>1</v>
      </c>
    </row>
    <row r="152" spans="1:3" x14ac:dyDescent="0.35">
      <c r="A152" t="s">
        <v>706</v>
      </c>
      <c r="B152" t="s">
        <v>75</v>
      </c>
      <c r="C152" s="28">
        <v>2</v>
      </c>
    </row>
    <row r="153" spans="1:3" x14ac:dyDescent="0.35">
      <c r="A153" t="s">
        <v>690</v>
      </c>
      <c r="B153" t="s">
        <v>672</v>
      </c>
      <c r="C153" s="28">
        <v>1</v>
      </c>
    </row>
    <row r="154" spans="1:3" x14ac:dyDescent="0.35">
      <c r="A154" t="s">
        <v>752</v>
      </c>
      <c r="B154" t="s">
        <v>48</v>
      </c>
      <c r="C154" s="28">
        <v>1</v>
      </c>
    </row>
    <row r="155" spans="1:3" x14ac:dyDescent="0.35">
      <c r="A155" t="s">
        <v>732</v>
      </c>
      <c r="B155" t="s">
        <v>722</v>
      </c>
      <c r="C155" s="28">
        <v>1</v>
      </c>
    </row>
    <row r="156" spans="1:3" x14ac:dyDescent="0.35">
      <c r="A156" t="s">
        <v>754</v>
      </c>
      <c r="B156" t="s">
        <v>48</v>
      </c>
      <c r="C156" s="28">
        <v>1</v>
      </c>
    </row>
    <row r="157" spans="1:3" x14ac:dyDescent="0.35">
      <c r="A157" t="s">
        <v>743</v>
      </c>
      <c r="B157" t="s">
        <v>48</v>
      </c>
      <c r="C157" s="28">
        <v>1</v>
      </c>
    </row>
    <row r="158" spans="1:3" x14ac:dyDescent="0.35">
      <c r="A158" t="s">
        <v>755</v>
      </c>
      <c r="B158" t="s">
        <v>48</v>
      </c>
      <c r="C158" s="28">
        <v>1</v>
      </c>
    </row>
    <row r="159" spans="1:3" x14ac:dyDescent="0.35">
      <c r="A159" t="s">
        <v>733</v>
      </c>
      <c r="B159" t="s">
        <v>722</v>
      </c>
      <c r="C159" s="28">
        <v>1</v>
      </c>
    </row>
    <row r="160" spans="1:3" x14ac:dyDescent="0.35">
      <c r="A160" t="s">
        <v>691</v>
      </c>
      <c r="B160" t="s">
        <v>672</v>
      </c>
      <c r="C160" s="28">
        <v>1</v>
      </c>
    </row>
    <row r="161" spans="1:3" x14ac:dyDescent="0.35">
      <c r="A161" t="s">
        <v>756</v>
      </c>
      <c r="B161" t="s">
        <v>48</v>
      </c>
      <c r="C161" s="28">
        <v>1</v>
      </c>
    </row>
    <row r="162" spans="1:3" x14ac:dyDescent="0.35">
      <c r="A162" t="s">
        <v>734</v>
      </c>
      <c r="B162" t="s">
        <v>722</v>
      </c>
      <c r="C162" s="28">
        <v>1</v>
      </c>
    </row>
    <row r="163" spans="1:3" x14ac:dyDescent="0.35">
      <c r="A163" t="s">
        <v>697</v>
      </c>
      <c r="B163" t="s">
        <v>672</v>
      </c>
      <c r="C163" s="28">
        <v>1</v>
      </c>
    </row>
    <row r="164" spans="1:3" x14ac:dyDescent="0.35">
      <c r="A164" t="s">
        <v>676</v>
      </c>
      <c r="B164" t="s">
        <v>672</v>
      </c>
      <c r="C164" s="28">
        <v>4</v>
      </c>
    </row>
    <row r="165" spans="1:3" x14ac:dyDescent="0.35">
      <c r="A165" t="s">
        <v>744</v>
      </c>
      <c r="B165" t="s">
        <v>48</v>
      </c>
      <c r="C165" s="28">
        <v>1</v>
      </c>
    </row>
    <row r="166" spans="1:3" x14ac:dyDescent="0.35">
      <c r="A166" t="s">
        <v>726</v>
      </c>
      <c r="B166" t="s">
        <v>722</v>
      </c>
      <c r="C166" s="28">
        <v>3</v>
      </c>
    </row>
    <row r="167" spans="1:3" x14ac:dyDescent="0.35">
      <c r="A167" t="s">
        <v>716</v>
      </c>
      <c r="B167" t="s">
        <v>75</v>
      </c>
      <c r="C167" s="28">
        <v>1</v>
      </c>
    </row>
    <row r="168" spans="1:3" x14ac:dyDescent="0.35">
      <c r="A168" t="s">
        <v>717</v>
      </c>
      <c r="B168" t="s">
        <v>75</v>
      </c>
      <c r="C168" s="28">
        <v>1</v>
      </c>
    </row>
    <row r="169" spans="1:3" x14ac:dyDescent="0.35">
      <c r="A169" t="s">
        <v>718</v>
      </c>
      <c r="B169" t="s">
        <v>75</v>
      </c>
      <c r="C169" s="28">
        <v>1</v>
      </c>
    </row>
    <row r="170" spans="1:3" x14ac:dyDescent="0.35">
      <c r="A170" t="s">
        <v>682</v>
      </c>
      <c r="B170" t="s">
        <v>672</v>
      </c>
      <c r="C170" s="28">
        <v>3</v>
      </c>
    </row>
    <row r="171" spans="1:3" x14ac:dyDescent="0.35">
      <c r="A171" t="s">
        <v>692</v>
      </c>
      <c r="B171" t="s">
        <v>672</v>
      </c>
      <c r="C171" s="28">
        <v>1</v>
      </c>
    </row>
    <row r="172" spans="1:3" x14ac:dyDescent="0.35">
      <c r="A172" t="s">
        <v>693</v>
      </c>
      <c r="B172" t="s">
        <v>672</v>
      </c>
      <c r="C172" s="28">
        <v>1</v>
      </c>
    </row>
    <row r="173" spans="1:3" x14ac:dyDescent="0.35">
      <c r="A173" t="s">
        <v>694</v>
      </c>
      <c r="B173" t="s">
        <v>672</v>
      </c>
      <c r="C173" s="28">
        <v>1</v>
      </c>
    </row>
    <row r="174" spans="1:3" x14ac:dyDescent="0.35">
      <c r="A174" t="s">
        <v>709</v>
      </c>
      <c r="B174" t="s">
        <v>75</v>
      </c>
      <c r="C174" s="28">
        <v>2</v>
      </c>
    </row>
    <row r="175" spans="1:3" x14ac:dyDescent="0.35">
      <c r="A175" t="s">
        <v>698</v>
      </c>
      <c r="B175" t="s">
        <v>672</v>
      </c>
      <c r="C175" s="28">
        <v>1</v>
      </c>
    </row>
    <row r="176" spans="1:3" x14ac:dyDescent="0.35">
      <c r="A176" t="s">
        <v>735</v>
      </c>
      <c r="B176" t="s">
        <v>722</v>
      </c>
      <c r="C176" s="28">
        <v>1</v>
      </c>
    </row>
    <row r="177" spans="1:3" x14ac:dyDescent="0.35">
      <c r="A177" t="s">
        <v>710</v>
      </c>
      <c r="B177" t="s">
        <v>75</v>
      </c>
      <c r="C177" s="28">
        <v>1</v>
      </c>
    </row>
    <row r="178" spans="1:3" x14ac:dyDescent="0.35">
      <c r="A178" t="s">
        <v>711</v>
      </c>
      <c r="B178" t="s">
        <v>75</v>
      </c>
      <c r="C178" s="28">
        <v>1</v>
      </c>
    </row>
    <row r="179" spans="1:3" x14ac:dyDescent="0.35">
      <c r="A179" t="s">
        <v>740</v>
      </c>
      <c r="B179" t="s">
        <v>722</v>
      </c>
      <c r="C179" s="28">
        <v>1</v>
      </c>
    </row>
    <row r="180" spans="1:3" x14ac:dyDescent="0.35">
      <c r="A180" t="s">
        <v>695</v>
      </c>
      <c r="B180" t="s">
        <v>672</v>
      </c>
      <c r="C180" s="28">
        <v>1</v>
      </c>
    </row>
    <row r="181" spans="1:3" x14ac:dyDescent="0.35">
      <c r="A181" t="s">
        <v>51</v>
      </c>
      <c r="B181" t="s">
        <v>48</v>
      </c>
      <c r="C181" s="28">
        <v>2</v>
      </c>
    </row>
    <row r="182" spans="1:3" x14ac:dyDescent="0.35">
      <c r="A182" t="s">
        <v>745</v>
      </c>
      <c r="B182" t="s">
        <v>48</v>
      </c>
      <c r="C182" s="28">
        <v>1</v>
      </c>
    </row>
    <row r="183" spans="1:3" x14ac:dyDescent="0.35">
      <c r="A183" t="s">
        <v>696</v>
      </c>
      <c r="B183" t="s">
        <v>672</v>
      </c>
      <c r="C183" s="28">
        <v>1</v>
      </c>
    </row>
    <row r="184" spans="1:3" x14ac:dyDescent="0.35">
      <c r="A184" t="s">
        <v>758</v>
      </c>
      <c r="B184" t="s">
        <v>48</v>
      </c>
      <c r="C184" s="28">
        <v>1</v>
      </c>
    </row>
    <row r="185" spans="1:3" x14ac:dyDescent="0.35">
      <c r="A185" t="s">
        <v>998</v>
      </c>
      <c r="B185" t="s">
        <v>48</v>
      </c>
      <c r="C185" s="28">
        <v>1</v>
      </c>
    </row>
    <row r="186" spans="1:3" x14ac:dyDescent="0.35">
      <c r="A186" t="s">
        <v>759</v>
      </c>
      <c r="B186" t="s">
        <v>48</v>
      </c>
      <c r="C186" s="28">
        <v>1</v>
      </c>
    </row>
    <row r="187" spans="1:3" x14ac:dyDescent="0.35">
      <c r="A187" t="s">
        <v>736</v>
      </c>
      <c r="B187" t="s">
        <v>722</v>
      </c>
      <c r="C187" s="28">
        <v>1</v>
      </c>
    </row>
    <row r="188" spans="1:3" x14ac:dyDescent="0.35">
      <c r="A188" t="s">
        <v>737</v>
      </c>
      <c r="B188" t="s">
        <v>722</v>
      </c>
      <c r="C188" s="28">
        <v>1</v>
      </c>
    </row>
    <row r="189" spans="1:3" x14ac:dyDescent="0.35">
      <c r="A189" t="s">
        <v>738</v>
      </c>
      <c r="B189" t="s">
        <v>722</v>
      </c>
      <c r="C189" s="28">
        <v>1</v>
      </c>
    </row>
    <row r="190" spans="1:3" x14ac:dyDescent="0.35">
      <c r="A190" t="s">
        <v>760</v>
      </c>
      <c r="B190" t="s">
        <v>48</v>
      </c>
      <c r="C190" s="28">
        <v>1</v>
      </c>
    </row>
    <row r="191" spans="1:3" x14ac:dyDescent="0.35">
      <c r="A191" t="s">
        <v>720</v>
      </c>
      <c r="B191" t="s">
        <v>75</v>
      </c>
      <c r="C191" s="28">
        <v>1</v>
      </c>
    </row>
    <row r="192" spans="1:3" x14ac:dyDescent="0.35">
      <c r="A192" t="s">
        <v>197</v>
      </c>
      <c r="B192" t="s">
        <v>198</v>
      </c>
      <c r="C192" s="28">
        <v>1</v>
      </c>
    </row>
    <row r="193" spans="1:3" x14ac:dyDescent="0.35">
      <c r="A193" t="s">
        <v>250</v>
      </c>
      <c r="B193" t="s">
        <v>80</v>
      </c>
      <c r="C193" s="28">
        <v>1</v>
      </c>
    </row>
    <row r="194" spans="1:3" x14ac:dyDescent="0.35">
      <c r="A194" t="s">
        <v>199</v>
      </c>
      <c r="B194" t="s">
        <v>198</v>
      </c>
      <c r="C194" s="28">
        <v>1</v>
      </c>
    </row>
    <row r="195" spans="1:3" x14ac:dyDescent="0.35">
      <c r="A195" t="s">
        <v>200</v>
      </c>
      <c r="B195" t="s">
        <v>198</v>
      </c>
      <c r="C195" s="28">
        <v>1</v>
      </c>
    </row>
    <row r="196" spans="1:3" x14ac:dyDescent="0.35">
      <c r="A196" t="s">
        <v>227</v>
      </c>
      <c r="B196" t="s">
        <v>111</v>
      </c>
      <c r="C196" s="28">
        <v>1</v>
      </c>
    </row>
    <row r="197" spans="1:3" x14ac:dyDescent="0.35">
      <c r="A197" t="s">
        <v>221</v>
      </c>
      <c r="B197" t="s">
        <v>198</v>
      </c>
      <c r="C197" s="28">
        <v>1</v>
      </c>
    </row>
    <row r="198" spans="1:3" x14ac:dyDescent="0.35">
      <c r="A198" t="s">
        <v>251</v>
      </c>
      <c r="B198" t="s">
        <v>80</v>
      </c>
      <c r="C198" s="28">
        <v>1</v>
      </c>
    </row>
    <row r="199" spans="1:3" x14ac:dyDescent="0.35">
      <c r="A199" t="s">
        <v>228</v>
      </c>
      <c r="B199" t="s">
        <v>111</v>
      </c>
      <c r="C199" s="28">
        <v>1</v>
      </c>
    </row>
    <row r="200" spans="1:3" x14ac:dyDescent="0.35">
      <c r="A200" t="s">
        <v>202</v>
      </c>
      <c r="B200" t="s">
        <v>198</v>
      </c>
      <c r="C200" s="28">
        <v>1</v>
      </c>
    </row>
    <row r="201" spans="1:3" x14ac:dyDescent="0.35">
      <c r="A201" t="s">
        <v>273</v>
      </c>
      <c r="B201" t="s">
        <v>272</v>
      </c>
      <c r="C201" s="28">
        <v>1</v>
      </c>
    </row>
    <row r="202" spans="1:3" x14ac:dyDescent="0.35">
      <c r="A202" t="s">
        <v>204</v>
      </c>
      <c r="B202" t="s">
        <v>198</v>
      </c>
      <c r="C202" s="28">
        <v>1</v>
      </c>
    </row>
    <row r="203" spans="1:3" x14ac:dyDescent="0.35">
      <c r="A203" t="s">
        <v>253</v>
      </c>
      <c r="B203" t="s">
        <v>80</v>
      </c>
      <c r="C203" s="28">
        <v>1</v>
      </c>
    </row>
    <row r="204" spans="1:3" x14ac:dyDescent="0.35">
      <c r="A204" t="s">
        <v>254</v>
      </c>
      <c r="B204" t="s">
        <v>80</v>
      </c>
      <c r="C204" s="28">
        <v>1</v>
      </c>
    </row>
    <row r="205" spans="1:3" x14ac:dyDescent="0.35">
      <c r="A205" t="s">
        <v>81</v>
      </c>
      <c r="B205" t="s">
        <v>80</v>
      </c>
      <c r="C205" s="28">
        <v>3</v>
      </c>
    </row>
    <row r="206" spans="1:3" x14ac:dyDescent="0.35">
      <c r="A206" t="s">
        <v>222</v>
      </c>
      <c r="B206" t="s">
        <v>198</v>
      </c>
      <c r="C206" s="28">
        <v>2</v>
      </c>
    </row>
    <row r="207" spans="1:3" x14ac:dyDescent="0.35">
      <c r="A207" t="s">
        <v>246</v>
      </c>
      <c r="B207" t="s">
        <v>111</v>
      </c>
      <c r="C207" s="28">
        <v>2</v>
      </c>
    </row>
    <row r="208" spans="1:3" x14ac:dyDescent="0.35">
      <c r="A208" t="s">
        <v>206</v>
      </c>
      <c r="B208" t="s">
        <v>198</v>
      </c>
      <c r="C208" s="28">
        <v>1</v>
      </c>
    </row>
    <row r="209" spans="1:3" x14ac:dyDescent="0.35">
      <c r="A209" t="s">
        <v>229</v>
      </c>
      <c r="B209" t="s">
        <v>111</v>
      </c>
      <c r="C209" s="28">
        <v>1</v>
      </c>
    </row>
    <row r="210" spans="1:3" x14ac:dyDescent="0.35">
      <c r="A210" t="s">
        <v>230</v>
      </c>
      <c r="B210" t="s">
        <v>111</v>
      </c>
      <c r="C210" s="28">
        <v>1</v>
      </c>
    </row>
    <row r="211" spans="1:3" x14ac:dyDescent="0.35">
      <c r="A211" t="s">
        <v>231</v>
      </c>
      <c r="B211" t="s">
        <v>111</v>
      </c>
      <c r="C211" s="28">
        <v>1</v>
      </c>
    </row>
    <row r="212" spans="1:3" x14ac:dyDescent="0.35">
      <c r="A212" t="s">
        <v>207</v>
      </c>
      <c r="B212" t="s">
        <v>198</v>
      </c>
      <c r="C212" s="28">
        <v>1</v>
      </c>
    </row>
    <row r="213" spans="1:3" x14ac:dyDescent="0.35">
      <c r="A213" t="s">
        <v>232</v>
      </c>
      <c r="B213" t="s">
        <v>111</v>
      </c>
      <c r="C213" s="28">
        <v>1</v>
      </c>
    </row>
    <row r="214" spans="1:3" x14ac:dyDescent="0.35">
      <c r="A214" t="s">
        <v>233</v>
      </c>
      <c r="B214" t="s">
        <v>111</v>
      </c>
      <c r="C214" s="28">
        <v>1</v>
      </c>
    </row>
    <row r="215" spans="1:3" x14ac:dyDescent="0.35">
      <c r="A215" t="s">
        <v>208</v>
      </c>
      <c r="B215" t="s">
        <v>198</v>
      </c>
      <c r="C215" s="28">
        <v>1</v>
      </c>
    </row>
    <row r="216" spans="1:3" x14ac:dyDescent="0.35">
      <c r="A216" t="s">
        <v>255</v>
      </c>
      <c r="B216" t="s">
        <v>80</v>
      </c>
      <c r="C216" s="28">
        <v>1</v>
      </c>
    </row>
    <row r="217" spans="1:3" x14ac:dyDescent="0.35">
      <c r="A217" t="s">
        <v>209</v>
      </c>
      <c r="B217" t="s">
        <v>198</v>
      </c>
      <c r="C217" s="28">
        <v>1</v>
      </c>
    </row>
    <row r="218" spans="1:3" x14ac:dyDescent="0.35">
      <c r="A218" t="s">
        <v>260</v>
      </c>
      <c r="B218" t="s">
        <v>80</v>
      </c>
      <c r="C218" s="28">
        <v>3</v>
      </c>
    </row>
    <row r="219" spans="1:3" x14ac:dyDescent="0.35">
      <c r="A219" t="s">
        <v>256</v>
      </c>
      <c r="B219" t="s">
        <v>80</v>
      </c>
      <c r="C219" s="28">
        <v>1</v>
      </c>
    </row>
    <row r="220" spans="1:3" x14ac:dyDescent="0.35">
      <c r="A220" t="s">
        <v>225</v>
      </c>
      <c r="B220" t="s">
        <v>111</v>
      </c>
      <c r="C220" s="28">
        <v>1</v>
      </c>
    </row>
    <row r="221" spans="1:3" x14ac:dyDescent="0.35">
      <c r="A221" t="s">
        <v>210</v>
      </c>
      <c r="B221" t="s">
        <v>198</v>
      </c>
      <c r="C221" s="28">
        <v>1</v>
      </c>
    </row>
    <row r="222" spans="1:3" x14ac:dyDescent="0.35">
      <c r="A222" t="s">
        <v>212</v>
      </c>
      <c r="B222" t="s">
        <v>198</v>
      </c>
      <c r="C222" s="28">
        <v>1</v>
      </c>
    </row>
    <row r="223" spans="1:3" x14ac:dyDescent="0.35">
      <c r="A223" t="s">
        <v>236</v>
      </c>
      <c r="B223" t="s">
        <v>111</v>
      </c>
      <c r="C223" s="28">
        <v>1</v>
      </c>
    </row>
    <row r="224" spans="1:3" x14ac:dyDescent="0.35">
      <c r="A224" t="s">
        <v>213</v>
      </c>
      <c r="B224" t="s">
        <v>198</v>
      </c>
      <c r="C224" s="28">
        <v>1</v>
      </c>
    </row>
    <row r="225" spans="1:3" x14ac:dyDescent="0.35">
      <c r="A225" t="s">
        <v>237</v>
      </c>
      <c r="B225" t="s">
        <v>111</v>
      </c>
      <c r="C225" s="28">
        <v>1</v>
      </c>
    </row>
    <row r="226" spans="1:3" x14ac:dyDescent="0.35">
      <c r="A226" t="s">
        <v>214</v>
      </c>
      <c r="B226" t="s">
        <v>198</v>
      </c>
      <c r="C226" s="28">
        <v>1</v>
      </c>
    </row>
    <row r="227" spans="1:3" x14ac:dyDescent="0.35">
      <c r="A227" t="s">
        <v>238</v>
      </c>
      <c r="B227" t="s">
        <v>111</v>
      </c>
      <c r="C227" s="28">
        <v>1</v>
      </c>
    </row>
    <row r="228" spans="1:3" x14ac:dyDescent="0.35">
      <c r="A228" t="s">
        <v>215</v>
      </c>
      <c r="B228" t="s">
        <v>198</v>
      </c>
      <c r="C228" s="28">
        <v>1</v>
      </c>
    </row>
    <row r="229" spans="1:3" x14ac:dyDescent="0.35">
      <c r="A229" t="s">
        <v>257</v>
      </c>
      <c r="B229" t="s">
        <v>80</v>
      </c>
      <c r="C229" s="28">
        <v>1</v>
      </c>
    </row>
    <row r="230" spans="1:3" x14ac:dyDescent="0.35">
      <c r="A230" t="s">
        <v>216</v>
      </c>
      <c r="B230" t="s">
        <v>198</v>
      </c>
      <c r="C230" s="28">
        <v>1</v>
      </c>
    </row>
    <row r="231" spans="1:3" x14ac:dyDescent="0.35">
      <c r="A231" t="s">
        <v>258</v>
      </c>
      <c r="B231" t="s">
        <v>80</v>
      </c>
      <c r="C231" s="28">
        <v>1</v>
      </c>
    </row>
    <row r="232" spans="1:3" x14ac:dyDescent="0.35">
      <c r="A232" t="s">
        <v>217</v>
      </c>
      <c r="B232" t="s">
        <v>198</v>
      </c>
      <c r="C232" s="28">
        <v>1</v>
      </c>
    </row>
    <row r="233" spans="1:3" x14ac:dyDescent="0.35">
      <c r="A233" t="s">
        <v>205</v>
      </c>
      <c r="B233" t="s">
        <v>198</v>
      </c>
      <c r="C233" s="28">
        <v>1</v>
      </c>
    </row>
    <row r="234" spans="1:3" x14ac:dyDescent="0.35">
      <c r="A234" t="s">
        <v>211</v>
      </c>
      <c r="B234" t="s">
        <v>198</v>
      </c>
      <c r="C234" s="28">
        <v>1</v>
      </c>
    </row>
    <row r="235" spans="1:3" x14ac:dyDescent="0.35">
      <c r="A235" t="s">
        <v>239</v>
      </c>
      <c r="B235" t="s">
        <v>111</v>
      </c>
      <c r="C235" s="28">
        <v>1</v>
      </c>
    </row>
    <row r="236" spans="1:3" x14ac:dyDescent="0.35">
      <c r="A236" t="s">
        <v>112</v>
      </c>
      <c r="B236" t="s">
        <v>111</v>
      </c>
      <c r="C236" s="28">
        <v>3</v>
      </c>
    </row>
    <row r="237" spans="1:3" x14ac:dyDescent="0.35">
      <c r="A237" t="s">
        <v>112</v>
      </c>
      <c r="B237" t="s">
        <v>80</v>
      </c>
      <c r="C237" s="28">
        <v>1</v>
      </c>
    </row>
    <row r="238" spans="1:3" x14ac:dyDescent="0.35">
      <c r="A238" t="s">
        <v>218</v>
      </c>
      <c r="B238" t="s">
        <v>198</v>
      </c>
      <c r="C238" s="28">
        <v>1</v>
      </c>
    </row>
    <row r="239" spans="1:3" x14ac:dyDescent="0.35">
      <c r="A239" t="s">
        <v>240</v>
      </c>
      <c r="B239" t="s">
        <v>111</v>
      </c>
      <c r="C239" s="28">
        <v>1</v>
      </c>
    </row>
    <row r="240" spans="1:3" x14ac:dyDescent="0.35">
      <c r="A240" t="s">
        <v>219</v>
      </c>
      <c r="B240" t="s">
        <v>198</v>
      </c>
      <c r="C240" s="28">
        <v>1</v>
      </c>
    </row>
    <row r="241" spans="1:3" x14ac:dyDescent="0.35">
      <c r="A241" t="s">
        <v>244</v>
      </c>
      <c r="B241" t="s">
        <v>111</v>
      </c>
      <c r="C241" s="28">
        <v>1</v>
      </c>
    </row>
    <row r="242" spans="1:3" x14ac:dyDescent="0.35">
      <c r="A242" t="s">
        <v>245</v>
      </c>
      <c r="B242" t="s">
        <v>111</v>
      </c>
      <c r="C242" s="28">
        <v>1</v>
      </c>
    </row>
    <row r="243" spans="1:3" x14ac:dyDescent="0.35">
      <c r="A243" t="s">
        <v>175</v>
      </c>
      <c r="B243" t="s">
        <v>174</v>
      </c>
      <c r="C243" s="28">
        <v>3</v>
      </c>
    </row>
    <row r="244" spans="1:3" x14ac:dyDescent="0.35">
      <c r="A244" t="s">
        <v>235</v>
      </c>
      <c r="B244" t="s">
        <v>174</v>
      </c>
      <c r="C244" s="28">
        <v>2</v>
      </c>
    </row>
    <row r="245" spans="1:3" x14ac:dyDescent="0.35">
      <c r="A245" t="s">
        <v>647</v>
      </c>
      <c r="B245" t="s">
        <v>242</v>
      </c>
      <c r="C245" s="28">
        <v>2</v>
      </c>
    </row>
    <row r="246" spans="1:3" x14ac:dyDescent="0.35">
      <c r="A246" t="s">
        <v>519</v>
      </c>
      <c r="B246" t="s">
        <v>564</v>
      </c>
      <c r="C246" s="28">
        <v>4</v>
      </c>
    </row>
    <row r="247" spans="1:3" x14ac:dyDescent="0.35">
      <c r="A247" t="s">
        <v>519</v>
      </c>
      <c r="B247" t="s">
        <v>458</v>
      </c>
      <c r="C247" s="28">
        <v>1</v>
      </c>
    </row>
    <row r="248" spans="1:3" x14ac:dyDescent="0.35">
      <c r="A248" t="s">
        <v>631</v>
      </c>
      <c r="B248" t="s">
        <v>174</v>
      </c>
      <c r="C248" s="28">
        <v>1</v>
      </c>
    </row>
    <row r="249" spans="1:3" x14ac:dyDescent="0.35">
      <c r="A249" t="s">
        <v>632</v>
      </c>
      <c r="B249" t="s">
        <v>174</v>
      </c>
      <c r="C249" s="28">
        <v>1</v>
      </c>
    </row>
    <row r="250" spans="1:3" x14ac:dyDescent="0.35">
      <c r="A250" t="s">
        <v>568</v>
      </c>
      <c r="B250" t="s">
        <v>564</v>
      </c>
      <c r="C250" s="28">
        <v>2</v>
      </c>
    </row>
    <row r="251" spans="1:3" x14ac:dyDescent="0.35">
      <c r="A251" t="s">
        <v>664</v>
      </c>
      <c r="B251" t="s">
        <v>242</v>
      </c>
      <c r="C251" s="28">
        <v>1</v>
      </c>
    </row>
    <row r="252" spans="1:3" x14ac:dyDescent="0.35">
      <c r="A252" t="s">
        <v>570</v>
      </c>
      <c r="B252" t="s">
        <v>564</v>
      </c>
      <c r="C252" s="28">
        <v>2</v>
      </c>
    </row>
    <row r="253" spans="1:3" x14ac:dyDescent="0.35">
      <c r="A253" t="s">
        <v>633</v>
      </c>
      <c r="B253" t="s">
        <v>174</v>
      </c>
      <c r="C253" s="28">
        <v>1</v>
      </c>
    </row>
    <row r="254" spans="1:3" x14ac:dyDescent="0.35">
      <c r="A254" t="s">
        <v>665</v>
      </c>
      <c r="B254" t="s">
        <v>242</v>
      </c>
      <c r="C254" s="28">
        <v>1</v>
      </c>
    </row>
    <row r="255" spans="1:3" x14ac:dyDescent="0.35">
      <c r="A255" t="s">
        <v>243</v>
      </c>
      <c r="B255" t="s">
        <v>242</v>
      </c>
      <c r="C255" s="28">
        <v>3</v>
      </c>
    </row>
    <row r="256" spans="1:3" x14ac:dyDescent="0.35">
      <c r="A256" t="s">
        <v>394</v>
      </c>
      <c r="B256" t="s">
        <v>279</v>
      </c>
      <c r="C256" s="28">
        <v>3</v>
      </c>
    </row>
    <row r="257" spans="1:3" x14ac:dyDescent="0.35">
      <c r="A257" t="s">
        <v>579</v>
      </c>
      <c r="B257" t="s">
        <v>458</v>
      </c>
      <c r="C257" s="28">
        <v>1</v>
      </c>
    </row>
    <row r="258" spans="1:3" x14ac:dyDescent="0.35">
      <c r="A258" t="s">
        <v>579</v>
      </c>
      <c r="B258" t="s">
        <v>242</v>
      </c>
      <c r="C258" s="28">
        <v>1</v>
      </c>
    </row>
    <row r="259" spans="1:3" x14ac:dyDescent="0.35">
      <c r="A259" t="s">
        <v>625</v>
      </c>
      <c r="B259" t="s">
        <v>174</v>
      </c>
      <c r="C259" s="28">
        <v>2</v>
      </c>
    </row>
    <row r="260" spans="1:3" x14ac:dyDescent="0.35">
      <c r="A260" t="s">
        <v>666</v>
      </c>
      <c r="B260" t="s">
        <v>242</v>
      </c>
      <c r="C260" s="28">
        <v>1</v>
      </c>
    </row>
    <row r="261" spans="1:3" x14ac:dyDescent="0.35">
      <c r="A261" t="s">
        <v>634</v>
      </c>
      <c r="B261" t="s">
        <v>174</v>
      </c>
      <c r="C261" s="28">
        <v>1</v>
      </c>
    </row>
    <row r="262" spans="1:3" x14ac:dyDescent="0.35">
      <c r="A262" t="s">
        <v>179</v>
      </c>
      <c r="B262" t="s">
        <v>174</v>
      </c>
      <c r="C262" s="28">
        <v>2</v>
      </c>
    </row>
    <row r="263" spans="1:3" x14ac:dyDescent="0.35">
      <c r="A263" t="s">
        <v>635</v>
      </c>
      <c r="B263" t="s">
        <v>174</v>
      </c>
      <c r="C263" s="28">
        <v>1</v>
      </c>
    </row>
    <row r="264" spans="1:3" x14ac:dyDescent="0.35">
      <c r="A264" t="s">
        <v>636</v>
      </c>
      <c r="B264" t="s">
        <v>174</v>
      </c>
      <c r="C264" s="28">
        <v>1</v>
      </c>
    </row>
    <row r="265" spans="1:3" x14ac:dyDescent="0.35">
      <c r="A265" t="s">
        <v>506</v>
      </c>
      <c r="B265" t="s">
        <v>482</v>
      </c>
      <c r="C265" s="28">
        <v>1</v>
      </c>
    </row>
    <row r="266" spans="1:3" x14ac:dyDescent="0.35">
      <c r="A266" t="s">
        <v>506</v>
      </c>
      <c r="B266" t="s">
        <v>174</v>
      </c>
      <c r="C266" s="28">
        <v>1</v>
      </c>
    </row>
    <row r="267" spans="1:3" x14ac:dyDescent="0.35">
      <c r="A267" t="s">
        <v>654</v>
      </c>
      <c r="B267" t="s">
        <v>242</v>
      </c>
      <c r="C267" s="28">
        <v>3</v>
      </c>
    </row>
    <row r="268" spans="1:3" x14ac:dyDescent="0.35">
      <c r="A268" t="s">
        <v>573</v>
      </c>
      <c r="B268" t="s">
        <v>564</v>
      </c>
      <c r="C268" s="28">
        <v>3</v>
      </c>
    </row>
    <row r="269" spans="1:3" x14ac:dyDescent="0.35">
      <c r="A269" t="s">
        <v>637</v>
      </c>
      <c r="B269" t="s">
        <v>174</v>
      </c>
      <c r="C269" s="28">
        <v>1</v>
      </c>
    </row>
    <row r="270" spans="1:3" x14ac:dyDescent="0.35">
      <c r="A270" t="s">
        <v>572</v>
      </c>
      <c r="B270" t="s">
        <v>564</v>
      </c>
      <c r="C270" s="28">
        <v>1</v>
      </c>
    </row>
    <row r="271" spans="1:3" x14ac:dyDescent="0.35">
      <c r="A271" t="s">
        <v>638</v>
      </c>
      <c r="B271" t="s">
        <v>174</v>
      </c>
      <c r="C271" s="28">
        <v>1</v>
      </c>
    </row>
    <row r="272" spans="1:3" x14ac:dyDescent="0.35">
      <c r="A272" t="s">
        <v>667</v>
      </c>
      <c r="B272" t="s">
        <v>242</v>
      </c>
      <c r="C272" s="28">
        <v>1</v>
      </c>
    </row>
    <row r="273" spans="1:3" x14ac:dyDescent="0.35">
      <c r="A273" t="s">
        <v>659</v>
      </c>
      <c r="B273" t="s">
        <v>242</v>
      </c>
      <c r="C273" s="28">
        <v>1</v>
      </c>
    </row>
    <row r="274" spans="1:3" x14ac:dyDescent="0.35">
      <c r="A274" t="s">
        <v>660</v>
      </c>
      <c r="B274" t="s">
        <v>242</v>
      </c>
      <c r="C274" s="28">
        <v>1</v>
      </c>
    </row>
    <row r="275" spans="1:3" x14ac:dyDescent="0.35">
      <c r="A275" t="s">
        <v>661</v>
      </c>
      <c r="B275" t="s">
        <v>242</v>
      </c>
      <c r="C275" s="28">
        <v>1</v>
      </c>
    </row>
    <row r="276" spans="1:3" x14ac:dyDescent="0.35">
      <c r="A276" t="s">
        <v>627</v>
      </c>
      <c r="B276" t="s">
        <v>174</v>
      </c>
      <c r="C276" s="28">
        <v>2</v>
      </c>
    </row>
    <row r="277" spans="1:3" x14ac:dyDescent="0.35">
      <c r="A277" t="s">
        <v>662</v>
      </c>
      <c r="B277" t="s">
        <v>242</v>
      </c>
      <c r="C277" s="28">
        <v>1</v>
      </c>
    </row>
    <row r="278" spans="1:3" x14ac:dyDescent="0.35">
      <c r="A278" t="s">
        <v>657</v>
      </c>
      <c r="B278" t="s">
        <v>242</v>
      </c>
      <c r="C278" s="28">
        <v>3</v>
      </c>
    </row>
    <row r="279" spans="1:3" x14ac:dyDescent="0.35">
      <c r="A279" t="s">
        <v>577</v>
      </c>
      <c r="B279" t="s">
        <v>564</v>
      </c>
      <c r="C279" s="28">
        <v>2</v>
      </c>
    </row>
    <row r="280" spans="1:3" x14ac:dyDescent="0.35">
      <c r="A280" t="s">
        <v>668</v>
      </c>
      <c r="B280" t="s">
        <v>242</v>
      </c>
      <c r="C280" s="28">
        <v>1</v>
      </c>
    </row>
    <row r="281" spans="1:3" x14ac:dyDescent="0.35">
      <c r="A281" t="s">
        <v>629</v>
      </c>
      <c r="B281" t="s">
        <v>174</v>
      </c>
      <c r="C281" s="28">
        <v>1</v>
      </c>
    </row>
    <row r="282" spans="1:3" x14ac:dyDescent="0.35">
      <c r="A282" t="s">
        <v>642</v>
      </c>
      <c r="B282" t="s">
        <v>174</v>
      </c>
      <c r="C282" s="28">
        <v>1</v>
      </c>
    </row>
    <row r="283" spans="1:3" x14ac:dyDescent="0.35">
      <c r="A283" t="s">
        <v>643</v>
      </c>
      <c r="B283" t="s">
        <v>174</v>
      </c>
      <c r="C283" s="28">
        <v>1</v>
      </c>
    </row>
    <row r="284" spans="1:3" x14ac:dyDescent="0.35">
      <c r="A284" t="s">
        <v>644</v>
      </c>
      <c r="B284" t="s">
        <v>174</v>
      </c>
      <c r="C284" s="28">
        <v>1</v>
      </c>
    </row>
    <row r="285" spans="1:3" x14ac:dyDescent="0.35">
      <c r="A285" t="s">
        <v>663</v>
      </c>
      <c r="B285" t="s">
        <v>242</v>
      </c>
      <c r="C285" s="28">
        <v>1</v>
      </c>
    </row>
    <row r="286" spans="1:3" x14ac:dyDescent="0.35">
      <c r="A286" t="s">
        <v>670</v>
      </c>
      <c r="B286" t="s">
        <v>242</v>
      </c>
      <c r="C286" s="28">
        <v>1</v>
      </c>
    </row>
    <row r="287" spans="1:3" x14ac:dyDescent="0.35">
      <c r="A287" t="s">
        <v>645</v>
      </c>
      <c r="B287" t="s">
        <v>174</v>
      </c>
      <c r="C287" s="28">
        <v>1</v>
      </c>
    </row>
    <row r="288" spans="1:3" x14ac:dyDescent="0.35">
      <c r="A288" t="s">
        <v>536</v>
      </c>
      <c r="B288" t="s">
        <v>279</v>
      </c>
      <c r="C288" s="28">
        <v>1</v>
      </c>
    </row>
    <row r="289" spans="1:3" x14ac:dyDescent="0.35">
      <c r="A289" t="s">
        <v>537</v>
      </c>
      <c r="B289" t="s">
        <v>279</v>
      </c>
      <c r="C289" s="28">
        <v>1</v>
      </c>
    </row>
    <row r="290" spans="1:3" x14ac:dyDescent="0.35">
      <c r="A290" t="s">
        <v>526</v>
      </c>
      <c r="B290" t="s">
        <v>287</v>
      </c>
      <c r="C290" s="28">
        <v>2</v>
      </c>
    </row>
    <row r="291" spans="1:3" x14ac:dyDescent="0.35">
      <c r="A291" t="s">
        <v>556</v>
      </c>
      <c r="B291" t="s">
        <v>279</v>
      </c>
      <c r="C291" s="28">
        <v>3</v>
      </c>
    </row>
    <row r="292" spans="1:3" x14ac:dyDescent="0.35">
      <c r="A292" t="s">
        <v>367</v>
      </c>
      <c r="B292" t="s">
        <v>287</v>
      </c>
      <c r="C292" s="28">
        <v>5</v>
      </c>
    </row>
    <row r="293" spans="1:3" x14ac:dyDescent="0.35">
      <c r="A293" t="s">
        <v>558</v>
      </c>
      <c r="B293" t="s">
        <v>279</v>
      </c>
      <c r="C293" s="28">
        <v>3</v>
      </c>
    </row>
    <row r="294" spans="1:3" x14ac:dyDescent="0.35">
      <c r="A294" t="s">
        <v>515</v>
      </c>
      <c r="B294" t="s">
        <v>287</v>
      </c>
      <c r="C294" s="28">
        <v>1</v>
      </c>
    </row>
    <row r="295" spans="1:3" x14ac:dyDescent="0.35">
      <c r="A295" t="s">
        <v>538</v>
      </c>
      <c r="B295" t="s">
        <v>279</v>
      </c>
      <c r="C295" s="28">
        <v>1</v>
      </c>
    </row>
    <row r="296" spans="1:3" x14ac:dyDescent="0.35">
      <c r="A296" t="s">
        <v>539</v>
      </c>
      <c r="B296" t="s">
        <v>279</v>
      </c>
      <c r="C296" s="28">
        <v>1</v>
      </c>
    </row>
    <row r="297" spans="1:3" x14ac:dyDescent="0.35">
      <c r="A297" t="s">
        <v>404</v>
      </c>
      <c r="B297" t="s">
        <v>408</v>
      </c>
      <c r="C297" s="28">
        <v>1</v>
      </c>
    </row>
    <row r="298" spans="1:3" x14ac:dyDescent="0.35">
      <c r="A298" t="s">
        <v>439</v>
      </c>
      <c r="B298" t="s">
        <v>370</v>
      </c>
      <c r="C298" s="28">
        <v>3</v>
      </c>
    </row>
    <row r="299" spans="1:3" x14ac:dyDescent="0.35">
      <c r="A299" t="s">
        <v>442</v>
      </c>
      <c r="B299" t="s">
        <v>370</v>
      </c>
      <c r="C299" s="28">
        <v>2</v>
      </c>
    </row>
    <row r="300" spans="1:3" x14ac:dyDescent="0.35">
      <c r="A300" t="s">
        <v>414</v>
      </c>
      <c r="B300" t="s">
        <v>408</v>
      </c>
      <c r="C300" s="28">
        <v>2</v>
      </c>
    </row>
    <row r="301" spans="1:3" x14ac:dyDescent="0.35">
      <c r="A301" t="s">
        <v>288</v>
      </c>
      <c r="B301" t="s">
        <v>408</v>
      </c>
      <c r="C301" s="28">
        <v>1</v>
      </c>
    </row>
    <row r="302" spans="1:3" x14ac:dyDescent="0.35">
      <c r="A302" t="s">
        <v>288</v>
      </c>
      <c r="B302" t="s">
        <v>287</v>
      </c>
      <c r="C302" s="28">
        <v>1</v>
      </c>
    </row>
    <row r="303" spans="1:3" x14ac:dyDescent="0.35">
      <c r="A303" t="s">
        <v>409</v>
      </c>
      <c r="B303" t="s">
        <v>408</v>
      </c>
      <c r="C303" s="28">
        <v>1</v>
      </c>
    </row>
    <row r="304" spans="1:3" x14ac:dyDescent="0.35">
      <c r="A304" t="s">
        <v>427</v>
      </c>
      <c r="B304" t="s">
        <v>370</v>
      </c>
      <c r="C304" s="28">
        <v>3</v>
      </c>
    </row>
    <row r="305" spans="1:3" x14ac:dyDescent="0.35">
      <c r="A305" t="s">
        <v>543</v>
      </c>
      <c r="B305" t="s">
        <v>279</v>
      </c>
      <c r="C305" s="28">
        <v>1</v>
      </c>
    </row>
    <row r="306" spans="1:3" x14ac:dyDescent="0.35">
      <c r="A306" t="s">
        <v>371</v>
      </c>
      <c r="B306" t="s">
        <v>370</v>
      </c>
      <c r="C306" s="28">
        <v>2</v>
      </c>
    </row>
    <row r="307" spans="1:3" x14ac:dyDescent="0.35">
      <c r="A307" t="s">
        <v>445</v>
      </c>
      <c r="B307" t="s">
        <v>370</v>
      </c>
      <c r="C307" s="28">
        <v>2</v>
      </c>
    </row>
    <row r="308" spans="1:3" x14ac:dyDescent="0.35">
      <c r="A308" t="s">
        <v>532</v>
      </c>
      <c r="B308" t="s">
        <v>452</v>
      </c>
      <c r="C308" s="28">
        <v>1</v>
      </c>
    </row>
    <row r="309" spans="1:3" x14ac:dyDescent="0.35">
      <c r="A309" t="s">
        <v>532</v>
      </c>
      <c r="B309" t="s">
        <v>287</v>
      </c>
      <c r="C309" s="28">
        <v>2</v>
      </c>
    </row>
    <row r="310" spans="1:3" x14ac:dyDescent="0.35">
      <c r="A310" t="s">
        <v>410</v>
      </c>
      <c r="B310" t="s">
        <v>408</v>
      </c>
      <c r="C310" s="28">
        <v>2</v>
      </c>
    </row>
    <row r="311" spans="1:3" x14ac:dyDescent="0.35">
      <c r="A311" t="s">
        <v>431</v>
      </c>
      <c r="B311" t="s">
        <v>437</v>
      </c>
      <c r="C311" s="28">
        <v>4</v>
      </c>
    </row>
    <row r="312" spans="1:3" x14ac:dyDescent="0.35">
      <c r="A312" t="s">
        <v>425</v>
      </c>
      <c r="B312" t="s">
        <v>370</v>
      </c>
      <c r="C312" s="28">
        <v>1</v>
      </c>
    </row>
    <row r="313" spans="1:3" x14ac:dyDescent="0.35">
      <c r="A313" t="s">
        <v>411</v>
      </c>
      <c r="B313" t="s">
        <v>408</v>
      </c>
      <c r="C313" s="28">
        <v>1</v>
      </c>
    </row>
    <row r="314" spans="1:3" x14ac:dyDescent="0.35">
      <c r="A314" t="s">
        <v>545</v>
      </c>
      <c r="B314" t="s">
        <v>279</v>
      </c>
      <c r="C314" s="28">
        <v>1</v>
      </c>
    </row>
    <row r="315" spans="1:3" x14ac:dyDescent="0.35">
      <c r="A315" t="s">
        <v>517</v>
      </c>
      <c r="B315" t="s">
        <v>287</v>
      </c>
      <c r="C315" s="28">
        <v>1</v>
      </c>
    </row>
    <row r="316" spans="1:3" x14ac:dyDescent="0.35">
      <c r="A316" t="s">
        <v>412</v>
      </c>
      <c r="B316" t="s">
        <v>408</v>
      </c>
      <c r="C316" s="28">
        <v>1</v>
      </c>
    </row>
    <row r="317" spans="1:3" x14ac:dyDescent="0.35">
      <c r="A317" t="s">
        <v>546</v>
      </c>
      <c r="B317" t="s">
        <v>279</v>
      </c>
      <c r="C317" s="28">
        <v>1</v>
      </c>
    </row>
    <row r="318" spans="1:3" x14ac:dyDescent="0.35">
      <c r="A318" t="s">
        <v>582</v>
      </c>
      <c r="B318" t="s">
        <v>458</v>
      </c>
      <c r="C318" s="28">
        <v>1</v>
      </c>
    </row>
    <row r="319" spans="1:3" x14ac:dyDescent="0.35">
      <c r="A319" t="s">
        <v>520</v>
      </c>
      <c r="B319" t="s">
        <v>287</v>
      </c>
      <c r="C319" s="28">
        <v>1</v>
      </c>
    </row>
    <row r="320" spans="1:3" x14ac:dyDescent="0.35">
      <c r="A320" t="s">
        <v>534</v>
      </c>
      <c r="B320" t="s">
        <v>287</v>
      </c>
      <c r="C320" s="28">
        <v>2</v>
      </c>
    </row>
    <row r="321" spans="1:3" x14ac:dyDescent="0.35">
      <c r="A321" t="s">
        <v>547</v>
      </c>
      <c r="B321" t="s">
        <v>279</v>
      </c>
      <c r="C321" s="28">
        <v>1</v>
      </c>
    </row>
    <row r="322" spans="1:3" x14ac:dyDescent="0.35">
      <c r="A322" t="s">
        <v>542</v>
      </c>
      <c r="B322" t="s">
        <v>384</v>
      </c>
      <c r="C322" s="28">
        <v>1</v>
      </c>
    </row>
    <row r="323" spans="1:3" x14ac:dyDescent="0.35">
      <c r="A323" t="s">
        <v>542</v>
      </c>
      <c r="B323" t="s">
        <v>279</v>
      </c>
      <c r="C323" s="28">
        <v>3</v>
      </c>
    </row>
    <row r="324" spans="1:3" x14ac:dyDescent="0.35">
      <c r="A324" t="s">
        <v>422</v>
      </c>
      <c r="B324" t="s">
        <v>370</v>
      </c>
      <c r="C324" s="28">
        <v>1</v>
      </c>
    </row>
    <row r="325" spans="1:3" x14ac:dyDescent="0.35">
      <c r="A325" t="s">
        <v>432</v>
      </c>
      <c r="B325" t="s">
        <v>370</v>
      </c>
      <c r="C325" s="28">
        <v>1</v>
      </c>
    </row>
    <row r="326" spans="1:3" x14ac:dyDescent="0.35">
      <c r="A326" t="s">
        <v>280</v>
      </c>
      <c r="B326" t="s">
        <v>279</v>
      </c>
      <c r="C326" s="28">
        <v>5</v>
      </c>
    </row>
    <row r="327" spans="1:3" x14ac:dyDescent="0.35">
      <c r="A327" t="s">
        <v>265</v>
      </c>
      <c r="B327" t="s">
        <v>80</v>
      </c>
      <c r="C327" s="28">
        <v>1</v>
      </c>
    </row>
    <row r="328" spans="1:3" x14ac:dyDescent="0.35">
      <c r="A328" t="s">
        <v>265</v>
      </c>
      <c r="B328" t="s">
        <v>408</v>
      </c>
      <c r="C328" s="28">
        <v>1</v>
      </c>
    </row>
    <row r="329" spans="1:3" x14ac:dyDescent="0.35">
      <c r="A329" t="s">
        <v>433</v>
      </c>
      <c r="B329" t="s">
        <v>370</v>
      </c>
      <c r="C329" s="28">
        <v>1</v>
      </c>
    </row>
    <row r="330" spans="1:3" x14ac:dyDescent="0.35">
      <c r="A330" t="s">
        <v>521</v>
      </c>
      <c r="B330" t="s">
        <v>287</v>
      </c>
      <c r="C330" s="28">
        <v>1</v>
      </c>
    </row>
    <row r="331" spans="1:3" x14ac:dyDescent="0.35">
      <c r="A331" t="s">
        <v>447</v>
      </c>
      <c r="B331" t="s">
        <v>370</v>
      </c>
      <c r="C331" s="28">
        <v>3</v>
      </c>
    </row>
    <row r="332" spans="1:3" x14ac:dyDescent="0.35">
      <c r="A332" t="s">
        <v>548</v>
      </c>
      <c r="B332" t="s">
        <v>279</v>
      </c>
      <c r="C332" s="28">
        <v>1</v>
      </c>
    </row>
    <row r="333" spans="1:3" x14ac:dyDescent="0.35">
      <c r="A333" t="s">
        <v>373</v>
      </c>
      <c r="B333" t="s">
        <v>370</v>
      </c>
      <c r="C333" s="28">
        <v>2</v>
      </c>
    </row>
    <row r="334" spans="1:3" x14ac:dyDescent="0.35">
      <c r="A334" t="s">
        <v>434</v>
      </c>
      <c r="B334" t="s">
        <v>370</v>
      </c>
      <c r="C334" s="28">
        <v>1</v>
      </c>
    </row>
    <row r="335" spans="1:3" x14ac:dyDescent="0.35">
      <c r="A335" t="s">
        <v>435</v>
      </c>
      <c r="B335" t="s">
        <v>370</v>
      </c>
      <c r="C335" s="28">
        <v>1</v>
      </c>
    </row>
    <row r="336" spans="1:3" x14ac:dyDescent="0.35">
      <c r="A336" t="s">
        <v>407</v>
      </c>
      <c r="B336" t="s">
        <v>408</v>
      </c>
      <c r="C336" s="28">
        <v>1</v>
      </c>
    </row>
    <row r="337" spans="1:3" x14ac:dyDescent="0.35">
      <c r="A337" t="s">
        <v>550</v>
      </c>
      <c r="B337" t="s">
        <v>279</v>
      </c>
      <c r="C337" s="28">
        <v>1</v>
      </c>
    </row>
    <row r="338" spans="1:3" x14ac:dyDescent="0.35">
      <c r="A338" t="s">
        <v>551</v>
      </c>
      <c r="B338" t="s">
        <v>279</v>
      </c>
      <c r="C338" s="28">
        <v>1</v>
      </c>
    </row>
    <row r="339" spans="1:3" x14ac:dyDescent="0.35">
      <c r="A339" t="s">
        <v>552</v>
      </c>
      <c r="B339" t="s">
        <v>279</v>
      </c>
      <c r="C339" s="28">
        <v>1</v>
      </c>
    </row>
    <row r="340" spans="1:3" x14ac:dyDescent="0.35">
      <c r="A340" t="s">
        <v>522</v>
      </c>
      <c r="B340" t="s">
        <v>287</v>
      </c>
      <c r="C340" s="28">
        <v>1</v>
      </c>
    </row>
    <row r="341" spans="1:3" x14ac:dyDescent="0.35">
      <c r="A341" t="s">
        <v>525</v>
      </c>
      <c r="B341" t="s">
        <v>287</v>
      </c>
      <c r="C341" s="28">
        <v>1</v>
      </c>
    </row>
    <row r="342" spans="1:3" x14ac:dyDescent="0.35">
      <c r="A342" t="s">
        <v>424</v>
      </c>
      <c r="B342" t="s">
        <v>370</v>
      </c>
      <c r="C342" s="28">
        <v>1</v>
      </c>
    </row>
    <row r="343" spans="1:3" x14ac:dyDescent="0.35">
      <c r="A343" t="s">
        <v>423</v>
      </c>
      <c r="B343" t="s">
        <v>370</v>
      </c>
      <c r="C343" s="28">
        <v>1</v>
      </c>
    </row>
    <row r="344" spans="1:3" x14ac:dyDescent="0.35">
      <c r="A344" t="s">
        <v>524</v>
      </c>
      <c r="B344" t="s">
        <v>287</v>
      </c>
      <c r="C344" s="28">
        <v>1</v>
      </c>
    </row>
    <row r="345" spans="1:3" x14ac:dyDescent="0.35">
      <c r="A345" t="s">
        <v>583</v>
      </c>
      <c r="B345" t="s">
        <v>458</v>
      </c>
      <c r="C345" s="28">
        <v>1</v>
      </c>
    </row>
    <row r="346" spans="1:3" x14ac:dyDescent="0.35">
      <c r="A346" t="s">
        <v>471</v>
      </c>
      <c r="B346" t="s">
        <v>437</v>
      </c>
      <c r="C346" s="28">
        <v>5</v>
      </c>
    </row>
    <row r="347" spans="1:3" x14ac:dyDescent="0.35">
      <c r="A347" t="s">
        <v>608</v>
      </c>
      <c r="B347" t="s">
        <v>437</v>
      </c>
      <c r="C347" s="28">
        <v>1</v>
      </c>
    </row>
    <row r="348" spans="1:3" x14ac:dyDescent="0.35">
      <c r="A348" t="s">
        <v>459</v>
      </c>
      <c r="B348" t="s">
        <v>458</v>
      </c>
      <c r="C348" s="28">
        <v>8</v>
      </c>
    </row>
    <row r="349" spans="1:3" x14ac:dyDescent="0.35">
      <c r="A349" t="s">
        <v>602</v>
      </c>
      <c r="B349" t="s">
        <v>458</v>
      </c>
      <c r="C349" s="28">
        <v>3</v>
      </c>
    </row>
    <row r="350" spans="1:3" x14ac:dyDescent="0.35">
      <c r="A350" t="s">
        <v>609</v>
      </c>
      <c r="B350" t="s">
        <v>437</v>
      </c>
      <c r="C350" s="28">
        <v>1</v>
      </c>
    </row>
    <row r="351" spans="1:3" x14ac:dyDescent="0.35">
      <c r="A351" t="s">
        <v>438</v>
      </c>
      <c r="B351" t="s">
        <v>458</v>
      </c>
      <c r="C351" s="28">
        <v>4</v>
      </c>
    </row>
    <row r="352" spans="1:3" x14ac:dyDescent="0.35">
      <c r="A352" t="s">
        <v>438</v>
      </c>
      <c r="B352" t="s">
        <v>437</v>
      </c>
      <c r="C352" s="28">
        <v>1</v>
      </c>
    </row>
    <row r="353" spans="1:3" x14ac:dyDescent="0.35">
      <c r="A353" t="s">
        <v>617</v>
      </c>
      <c r="B353" t="s">
        <v>437</v>
      </c>
      <c r="C353" s="28">
        <v>1</v>
      </c>
    </row>
    <row r="354" spans="1:3" x14ac:dyDescent="0.35">
      <c r="A354" t="s">
        <v>610</v>
      </c>
      <c r="B354" t="s">
        <v>437</v>
      </c>
      <c r="C354" s="28">
        <v>1</v>
      </c>
    </row>
    <row r="355" spans="1:3" x14ac:dyDescent="0.35">
      <c r="A355" t="s">
        <v>586</v>
      </c>
      <c r="B355" t="s">
        <v>458</v>
      </c>
      <c r="C355" s="28">
        <v>1</v>
      </c>
    </row>
    <row r="356" spans="1:3" x14ac:dyDescent="0.35">
      <c r="A356" t="s">
        <v>587</v>
      </c>
      <c r="B356" t="s">
        <v>458</v>
      </c>
      <c r="C356" s="28">
        <v>1</v>
      </c>
    </row>
    <row r="357" spans="1:3" x14ac:dyDescent="0.35">
      <c r="A357" t="s">
        <v>612</v>
      </c>
      <c r="B357" t="s">
        <v>437</v>
      </c>
      <c r="C357" s="28">
        <v>1</v>
      </c>
    </row>
    <row r="358" spans="1:3" x14ac:dyDescent="0.35">
      <c r="A358" t="s">
        <v>584</v>
      </c>
      <c r="B358" t="s">
        <v>458</v>
      </c>
      <c r="C358" s="28">
        <v>1</v>
      </c>
    </row>
    <row r="359" spans="1:3" x14ac:dyDescent="0.35">
      <c r="A359" t="s">
        <v>589</v>
      </c>
      <c r="B359" t="s">
        <v>458</v>
      </c>
      <c r="C359" s="28">
        <v>1</v>
      </c>
    </row>
    <row r="360" spans="1:3" x14ac:dyDescent="0.35">
      <c r="A360" t="s">
        <v>590</v>
      </c>
      <c r="B360" t="s">
        <v>458</v>
      </c>
      <c r="C360" s="28">
        <v>1</v>
      </c>
    </row>
    <row r="361" spans="1:3" x14ac:dyDescent="0.35">
      <c r="A361" t="s">
        <v>595</v>
      </c>
      <c r="B361" t="s">
        <v>458</v>
      </c>
      <c r="C361" s="28">
        <v>1</v>
      </c>
    </row>
    <row r="362" spans="1:3" x14ac:dyDescent="0.35">
      <c r="A362" t="s">
        <v>585</v>
      </c>
      <c r="B362" t="s">
        <v>458</v>
      </c>
      <c r="C362" s="28">
        <v>1</v>
      </c>
    </row>
    <row r="363" spans="1:3" x14ac:dyDescent="0.35">
      <c r="A363" t="s">
        <v>614</v>
      </c>
      <c r="B363" t="s">
        <v>437</v>
      </c>
      <c r="C363" s="28">
        <v>1</v>
      </c>
    </row>
    <row r="364" spans="1:3" x14ac:dyDescent="0.35">
      <c r="A364" t="s">
        <v>616</v>
      </c>
      <c r="B364" t="s">
        <v>437</v>
      </c>
      <c r="C364" s="28">
        <v>1</v>
      </c>
    </row>
    <row r="365" spans="1:3" x14ac:dyDescent="0.35">
      <c r="A365" t="s">
        <v>96</v>
      </c>
      <c r="B365" t="s">
        <v>99</v>
      </c>
      <c r="C365" s="28">
        <v>1</v>
      </c>
    </row>
    <row r="366" spans="1:3" x14ac:dyDescent="0.35">
      <c r="A366" t="s">
        <v>118</v>
      </c>
      <c r="B366" t="s">
        <v>99</v>
      </c>
      <c r="C366" s="28">
        <v>3</v>
      </c>
    </row>
    <row r="367" spans="1:3" x14ac:dyDescent="0.35">
      <c r="A367" t="s">
        <v>100</v>
      </c>
      <c r="B367" t="s">
        <v>99</v>
      </c>
      <c r="C367" s="28">
        <v>1</v>
      </c>
    </row>
    <row r="368" spans="1:3" x14ac:dyDescent="0.35">
      <c r="A368" t="s">
        <v>143</v>
      </c>
      <c r="B368" t="s">
        <v>129</v>
      </c>
      <c r="C368" s="28">
        <v>2</v>
      </c>
    </row>
    <row r="369" spans="1:3" x14ac:dyDescent="0.35">
      <c r="A369" t="s">
        <v>101</v>
      </c>
      <c r="B369" t="s">
        <v>99</v>
      </c>
      <c r="C369" s="28">
        <v>1</v>
      </c>
    </row>
    <row r="370" spans="1:3" x14ac:dyDescent="0.35">
      <c r="A370" t="s">
        <v>102</v>
      </c>
      <c r="B370" t="s">
        <v>99</v>
      </c>
      <c r="C370" s="28">
        <v>1</v>
      </c>
    </row>
    <row r="371" spans="1:3" x14ac:dyDescent="0.35">
      <c r="A371" t="s">
        <v>121</v>
      </c>
      <c r="B371" t="s">
        <v>99</v>
      </c>
      <c r="C371" s="28">
        <v>3</v>
      </c>
    </row>
    <row r="372" spans="1:3" x14ac:dyDescent="0.35">
      <c r="A372" t="s">
        <v>137</v>
      </c>
      <c r="B372" t="s">
        <v>129</v>
      </c>
      <c r="C372" s="28">
        <v>1</v>
      </c>
    </row>
    <row r="373" spans="1:3" x14ac:dyDescent="0.35">
      <c r="A373" t="s">
        <v>123</v>
      </c>
      <c r="B373" t="s">
        <v>99</v>
      </c>
      <c r="C373" s="28">
        <v>2</v>
      </c>
    </row>
    <row r="374" spans="1:3" x14ac:dyDescent="0.35">
      <c r="A374" t="s">
        <v>103</v>
      </c>
      <c r="B374" t="s">
        <v>99</v>
      </c>
      <c r="C374" s="28">
        <v>1</v>
      </c>
    </row>
    <row r="375" spans="1:3" x14ac:dyDescent="0.35">
      <c r="A375" t="s">
        <v>142</v>
      </c>
      <c r="B375" t="s">
        <v>129</v>
      </c>
      <c r="C375" s="28">
        <v>1</v>
      </c>
    </row>
    <row r="376" spans="1:3" x14ac:dyDescent="0.35">
      <c r="A376" t="s">
        <v>138</v>
      </c>
      <c r="B376" t="s">
        <v>129</v>
      </c>
      <c r="C376" s="28">
        <v>1</v>
      </c>
    </row>
    <row r="377" spans="1:3" x14ac:dyDescent="0.35">
      <c r="A377" t="s">
        <v>104</v>
      </c>
      <c r="B377" t="s">
        <v>99</v>
      </c>
      <c r="C377" s="28">
        <v>1</v>
      </c>
    </row>
    <row r="378" spans="1:3" x14ac:dyDescent="0.35">
      <c r="A378" t="s">
        <v>139</v>
      </c>
      <c r="B378" t="s">
        <v>129</v>
      </c>
      <c r="C378" s="28">
        <v>1</v>
      </c>
    </row>
    <row r="379" spans="1:3" x14ac:dyDescent="0.35">
      <c r="A379" t="s">
        <v>126</v>
      </c>
      <c r="B379" t="s">
        <v>99</v>
      </c>
      <c r="C379" s="28">
        <v>2</v>
      </c>
    </row>
    <row r="380" spans="1:3" x14ac:dyDescent="0.35">
      <c r="A380" t="s">
        <v>105</v>
      </c>
      <c r="B380" t="s">
        <v>99</v>
      </c>
      <c r="C380" s="28">
        <v>1</v>
      </c>
    </row>
    <row r="381" spans="1:3" x14ac:dyDescent="0.35">
      <c r="A381" t="s">
        <v>106</v>
      </c>
      <c r="B381" t="s">
        <v>99</v>
      </c>
      <c r="C381" s="28">
        <v>1</v>
      </c>
    </row>
    <row r="382" spans="1:3" x14ac:dyDescent="0.35">
      <c r="A382" t="s">
        <v>990</v>
      </c>
      <c r="B382" t="s">
        <v>593</v>
      </c>
      <c r="C382" s="28">
        <v>1</v>
      </c>
    </row>
    <row r="383" spans="1:3" x14ac:dyDescent="0.35">
      <c r="A383" t="s">
        <v>140</v>
      </c>
      <c r="B383" t="s">
        <v>129</v>
      </c>
      <c r="C383" s="28">
        <v>1</v>
      </c>
    </row>
    <row r="384" spans="1:3" x14ac:dyDescent="0.35">
      <c r="A384" t="s">
        <v>107</v>
      </c>
      <c r="B384" t="s">
        <v>99</v>
      </c>
      <c r="C384" s="28">
        <v>1</v>
      </c>
    </row>
    <row r="385" spans="1:3" x14ac:dyDescent="0.35">
      <c r="A385" t="s">
        <v>108</v>
      </c>
      <c r="B385" t="s">
        <v>99</v>
      </c>
      <c r="C385" s="28">
        <v>1</v>
      </c>
    </row>
    <row r="386" spans="1:3" x14ac:dyDescent="0.35">
      <c r="A386" t="s">
        <v>113</v>
      </c>
      <c r="B386" t="s">
        <v>99</v>
      </c>
      <c r="C386" s="28">
        <v>1</v>
      </c>
    </row>
    <row r="387" spans="1:3" x14ac:dyDescent="0.35">
      <c r="A387" t="s">
        <v>141</v>
      </c>
      <c r="B387" t="s">
        <v>129</v>
      </c>
      <c r="C387" s="28">
        <v>1</v>
      </c>
    </row>
    <row r="388" spans="1:3" x14ac:dyDescent="0.35">
      <c r="A388" t="s">
        <v>114</v>
      </c>
      <c r="B388" t="s">
        <v>99</v>
      </c>
      <c r="C388" s="28">
        <v>1</v>
      </c>
    </row>
    <row r="389" spans="1:3" x14ac:dyDescent="0.35">
      <c r="A389" t="s">
        <v>146</v>
      </c>
      <c r="B389" t="s">
        <v>129</v>
      </c>
      <c r="C389" s="28">
        <v>2</v>
      </c>
    </row>
    <row r="390" spans="1:3" x14ac:dyDescent="0.35">
      <c r="A390" t="s">
        <v>116</v>
      </c>
      <c r="B390" t="s">
        <v>99</v>
      </c>
      <c r="C390" s="28">
        <v>1</v>
      </c>
    </row>
    <row r="391" spans="1:3" x14ac:dyDescent="0.35">
      <c r="A391" t="s">
        <v>69</v>
      </c>
      <c r="B391" t="s">
        <v>70</v>
      </c>
      <c r="C391" s="28">
        <v>1</v>
      </c>
    </row>
    <row r="392" spans="1:3" x14ac:dyDescent="0.35">
      <c r="A392" t="s">
        <v>25</v>
      </c>
      <c r="B392" t="s">
        <v>34</v>
      </c>
      <c r="C392" s="28">
        <v>1</v>
      </c>
    </row>
    <row r="393" spans="1:3" x14ac:dyDescent="0.35">
      <c r="A393" t="s">
        <v>72</v>
      </c>
      <c r="B393" t="s">
        <v>70</v>
      </c>
      <c r="C393" s="28">
        <v>1</v>
      </c>
    </row>
    <row r="394" spans="1:3" x14ac:dyDescent="0.35">
      <c r="A394" t="s">
        <v>73</v>
      </c>
      <c r="B394" t="s">
        <v>70</v>
      </c>
      <c r="C394" s="28">
        <v>1</v>
      </c>
    </row>
    <row r="395" spans="1:3" x14ac:dyDescent="0.35">
      <c r="A395" t="s">
        <v>62</v>
      </c>
      <c r="B395" t="s">
        <v>34</v>
      </c>
      <c r="C395" s="28">
        <v>2</v>
      </c>
    </row>
    <row r="396" spans="1:3" x14ac:dyDescent="0.35">
      <c r="A396" t="s">
        <v>991</v>
      </c>
      <c r="B396" t="s">
        <v>593</v>
      </c>
      <c r="C396" s="28">
        <v>1</v>
      </c>
    </row>
    <row r="397" spans="1:3" x14ac:dyDescent="0.35">
      <c r="A397" t="s">
        <v>35</v>
      </c>
      <c r="B397" t="s">
        <v>34</v>
      </c>
      <c r="C397" s="28">
        <v>1</v>
      </c>
    </row>
    <row r="398" spans="1:3" x14ac:dyDescent="0.35">
      <c r="A398" t="s">
        <v>65</v>
      </c>
      <c r="B398" t="s">
        <v>34</v>
      </c>
      <c r="C398" s="28">
        <v>2</v>
      </c>
    </row>
    <row r="399" spans="1:3" x14ac:dyDescent="0.35">
      <c r="A399" t="s">
        <v>40</v>
      </c>
      <c r="B399" t="s">
        <v>34</v>
      </c>
      <c r="C399" s="28">
        <v>3</v>
      </c>
    </row>
    <row r="400" spans="1:3" x14ac:dyDescent="0.35">
      <c r="A400" t="s">
        <v>77</v>
      </c>
      <c r="B400" t="s">
        <v>70</v>
      </c>
      <c r="C400" s="28">
        <v>1</v>
      </c>
    </row>
    <row r="401" spans="1:3" x14ac:dyDescent="0.35">
      <c r="A401" t="s">
        <v>59</v>
      </c>
      <c r="B401" t="s">
        <v>34</v>
      </c>
      <c r="C401" s="28">
        <v>1</v>
      </c>
    </row>
    <row r="402" spans="1:3" x14ac:dyDescent="0.35">
      <c r="A402" t="s">
        <v>88</v>
      </c>
      <c r="B402" t="s">
        <v>70</v>
      </c>
      <c r="C402" s="28">
        <v>2</v>
      </c>
    </row>
    <row r="403" spans="1:3" x14ac:dyDescent="0.35">
      <c r="A403" t="s">
        <v>67</v>
      </c>
      <c r="B403" t="s">
        <v>34</v>
      </c>
      <c r="C403" s="28">
        <v>2</v>
      </c>
    </row>
    <row r="404" spans="1:3" x14ac:dyDescent="0.35">
      <c r="A404" t="s">
        <v>43</v>
      </c>
      <c r="B404" t="s">
        <v>34</v>
      </c>
      <c r="C404" s="28">
        <v>1</v>
      </c>
    </row>
    <row r="405" spans="1:3" x14ac:dyDescent="0.35">
      <c r="A405" t="s">
        <v>44</v>
      </c>
      <c r="B405" t="s">
        <v>34</v>
      </c>
      <c r="C405" s="28">
        <v>1</v>
      </c>
    </row>
    <row r="406" spans="1:3" x14ac:dyDescent="0.35">
      <c r="A406" t="s">
        <v>82</v>
      </c>
      <c r="B406" t="s">
        <v>70</v>
      </c>
      <c r="C406" s="28">
        <v>1</v>
      </c>
    </row>
    <row r="407" spans="1:3" x14ac:dyDescent="0.35">
      <c r="A407" t="s">
        <v>993</v>
      </c>
      <c r="B407" t="s">
        <v>593</v>
      </c>
      <c r="C407" s="28">
        <v>1</v>
      </c>
    </row>
    <row r="408" spans="1:3" x14ac:dyDescent="0.35">
      <c r="A408" t="s">
        <v>90</v>
      </c>
      <c r="B408" t="s">
        <v>70</v>
      </c>
      <c r="C408" s="28">
        <v>2</v>
      </c>
    </row>
    <row r="409" spans="1:3" x14ac:dyDescent="0.35">
      <c r="A409" t="s">
        <v>92</v>
      </c>
      <c r="B409" t="s">
        <v>70</v>
      </c>
      <c r="C409" s="28">
        <v>5</v>
      </c>
    </row>
    <row r="410" spans="1:3" x14ac:dyDescent="0.35">
      <c r="A410" t="s">
        <v>594</v>
      </c>
      <c r="B410" t="s">
        <v>593</v>
      </c>
      <c r="C410" s="28">
        <v>3</v>
      </c>
    </row>
    <row r="411" spans="1:3" x14ac:dyDescent="0.35">
      <c r="A411" t="s">
        <v>994</v>
      </c>
      <c r="B411" t="s">
        <v>593</v>
      </c>
      <c r="C411" s="28">
        <v>1</v>
      </c>
    </row>
    <row r="412" spans="1:3" x14ac:dyDescent="0.35">
      <c r="A412" t="s">
        <v>83</v>
      </c>
      <c r="B412" t="s">
        <v>70</v>
      </c>
      <c r="C412" s="28">
        <v>1</v>
      </c>
    </row>
    <row r="413" spans="1:3" x14ac:dyDescent="0.35">
      <c r="A413" t="s">
        <v>84</v>
      </c>
      <c r="B413" t="s">
        <v>70</v>
      </c>
      <c r="C413" s="28">
        <v>1</v>
      </c>
    </row>
    <row r="414" spans="1:3" x14ac:dyDescent="0.35">
      <c r="A414" t="s">
        <v>95</v>
      </c>
      <c r="B414" t="s">
        <v>70</v>
      </c>
      <c r="C414" s="28">
        <v>3</v>
      </c>
    </row>
    <row r="415" spans="1:3" x14ac:dyDescent="0.35">
      <c r="A415" t="s">
        <v>55</v>
      </c>
      <c r="B415" t="s">
        <v>34</v>
      </c>
      <c r="C415" s="28">
        <v>1</v>
      </c>
    </row>
    <row r="416" spans="1:3" x14ac:dyDescent="0.35">
      <c r="A416" t="s">
        <v>56</v>
      </c>
      <c r="B416" t="s">
        <v>34</v>
      </c>
      <c r="C416" s="28">
        <v>1</v>
      </c>
    </row>
    <row r="417" spans="1:3" x14ac:dyDescent="0.35">
      <c r="A417" t="s">
        <v>57</v>
      </c>
      <c r="B417" t="s">
        <v>34</v>
      </c>
      <c r="C417" s="28">
        <v>1</v>
      </c>
    </row>
    <row r="418" spans="1:3" x14ac:dyDescent="0.35">
      <c r="A418" t="s">
        <v>995</v>
      </c>
      <c r="B418" t="s">
        <v>593</v>
      </c>
      <c r="C418" s="28">
        <v>1</v>
      </c>
    </row>
    <row r="419" spans="1:3" x14ac:dyDescent="0.35">
      <c r="A419" t="s">
        <v>86</v>
      </c>
      <c r="B419" t="s">
        <v>70</v>
      </c>
      <c r="C419" s="28">
        <v>1</v>
      </c>
    </row>
    <row r="420" spans="1:3" x14ac:dyDescent="0.35">
      <c r="A420" t="s">
        <v>58</v>
      </c>
      <c r="B420" t="s">
        <v>34</v>
      </c>
      <c r="C420" s="28">
        <v>1</v>
      </c>
    </row>
    <row r="421" spans="1:3" x14ac:dyDescent="0.35">
      <c r="A421" t="s">
        <v>989</v>
      </c>
      <c r="B421" t="s">
        <v>593</v>
      </c>
      <c r="C421" s="28">
        <v>1</v>
      </c>
    </row>
    <row r="422" spans="1:3" x14ac:dyDescent="0.35">
      <c r="A422" t="s">
        <v>996</v>
      </c>
      <c r="B422" t="s">
        <v>593</v>
      </c>
      <c r="C422" s="28">
        <v>1</v>
      </c>
    </row>
    <row r="423" spans="1:3" x14ac:dyDescent="0.35">
      <c r="A423" t="s">
        <v>166</v>
      </c>
      <c r="B423" t="s">
        <v>167</v>
      </c>
      <c r="C423" s="28">
        <v>1</v>
      </c>
    </row>
    <row r="424" spans="1:3" x14ac:dyDescent="0.35">
      <c r="A424" t="s">
        <v>150</v>
      </c>
      <c r="B424" t="s">
        <v>151</v>
      </c>
      <c r="C424" s="28">
        <v>1</v>
      </c>
    </row>
    <row r="425" spans="1:3" x14ac:dyDescent="0.35">
      <c r="A425" t="s">
        <v>127</v>
      </c>
      <c r="B425" t="s">
        <v>129</v>
      </c>
      <c r="C425" s="28">
        <v>1</v>
      </c>
    </row>
    <row r="426" spans="1:3" x14ac:dyDescent="0.35">
      <c r="A426" t="s">
        <v>168</v>
      </c>
      <c r="B426" t="s">
        <v>167</v>
      </c>
      <c r="C426" s="28">
        <v>1</v>
      </c>
    </row>
    <row r="427" spans="1:3" x14ac:dyDescent="0.35">
      <c r="A427" t="s">
        <v>170</v>
      </c>
      <c r="B427" t="s">
        <v>167</v>
      </c>
      <c r="C427" s="28">
        <v>1</v>
      </c>
    </row>
    <row r="428" spans="1:3" x14ac:dyDescent="0.35">
      <c r="A428" t="s">
        <v>130</v>
      </c>
      <c r="B428" t="s">
        <v>129</v>
      </c>
      <c r="C428" s="28">
        <v>1</v>
      </c>
    </row>
    <row r="429" spans="1:3" x14ac:dyDescent="0.35">
      <c r="A429" t="s">
        <v>171</v>
      </c>
      <c r="B429" t="s">
        <v>167</v>
      </c>
      <c r="C429" s="28">
        <v>1</v>
      </c>
    </row>
    <row r="430" spans="1:3" x14ac:dyDescent="0.35">
      <c r="A430" t="s">
        <v>189</v>
      </c>
      <c r="B430" t="s">
        <v>167</v>
      </c>
      <c r="C430" s="28">
        <v>2</v>
      </c>
    </row>
    <row r="431" spans="1:3" x14ac:dyDescent="0.35">
      <c r="A431" t="s">
        <v>152</v>
      </c>
      <c r="B431" t="s">
        <v>151</v>
      </c>
      <c r="C431" s="28">
        <v>1</v>
      </c>
    </row>
    <row r="432" spans="1:3" x14ac:dyDescent="0.35">
      <c r="A432" t="s">
        <v>153</v>
      </c>
      <c r="B432" t="s">
        <v>151</v>
      </c>
      <c r="C432" s="28">
        <v>1</v>
      </c>
    </row>
    <row r="433" spans="1:3" x14ac:dyDescent="0.35">
      <c r="A433" t="s">
        <v>131</v>
      </c>
      <c r="B433" t="s">
        <v>129</v>
      </c>
      <c r="C433" s="28">
        <v>1</v>
      </c>
    </row>
    <row r="434" spans="1:3" x14ac:dyDescent="0.35">
      <c r="A434" t="s">
        <v>176</v>
      </c>
      <c r="B434" t="s">
        <v>167</v>
      </c>
      <c r="C434" s="28">
        <v>1</v>
      </c>
    </row>
    <row r="435" spans="1:3" x14ac:dyDescent="0.35">
      <c r="A435" t="s">
        <v>154</v>
      </c>
      <c r="B435" t="s">
        <v>151</v>
      </c>
      <c r="C435" s="28">
        <v>1</v>
      </c>
    </row>
    <row r="436" spans="1:3" x14ac:dyDescent="0.35">
      <c r="A436" t="s">
        <v>155</v>
      </c>
      <c r="B436" t="s">
        <v>151</v>
      </c>
      <c r="C436" s="28">
        <v>1</v>
      </c>
    </row>
    <row r="437" spans="1:3" x14ac:dyDescent="0.35">
      <c r="A437" t="s">
        <v>159</v>
      </c>
      <c r="B437" t="s">
        <v>129</v>
      </c>
      <c r="C437" s="28">
        <v>1</v>
      </c>
    </row>
    <row r="438" spans="1:3" x14ac:dyDescent="0.35">
      <c r="A438" t="s">
        <v>159</v>
      </c>
      <c r="B438" t="s">
        <v>151</v>
      </c>
      <c r="C438" s="28">
        <v>2</v>
      </c>
    </row>
    <row r="439" spans="1:3" x14ac:dyDescent="0.35">
      <c r="A439" t="s">
        <v>147</v>
      </c>
      <c r="B439" t="s">
        <v>129</v>
      </c>
      <c r="C439" s="28">
        <v>3</v>
      </c>
    </row>
    <row r="440" spans="1:3" x14ac:dyDescent="0.35">
      <c r="A440" t="s">
        <v>191</v>
      </c>
      <c r="B440" t="s">
        <v>167</v>
      </c>
      <c r="C440" s="28">
        <v>3</v>
      </c>
    </row>
    <row r="441" spans="1:3" x14ac:dyDescent="0.35">
      <c r="A441" t="s">
        <v>180</v>
      </c>
      <c r="B441" t="s">
        <v>167</v>
      </c>
      <c r="C441" s="28">
        <v>1</v>
      </c>
    </row>
    <row r="442" spans="1:3" x14ac:dyDescent="0.35">
      <c r="A442" t="s">
        <v>194</v>
      </c>
      <c r="B442" t="s">
        <v>167</v>
      </c>
      <c r="C442" s="28">
        <v>2</v>
      </c>
    </row>
    <row r="443" spans="1:3" x14ac:dyDescent="0.35">
      <c r="A443" t="s">
        <v>181</v>
      </c>
      <c r="B443" t="s">
        <v>167</v>
      </c>
      <c r="C443" s="28">
        <v>1</v>
      </c>
    </row>
    <row r="444" spans="1:3" x14ac:dyDescent="0.35">
      <c r="A444" t="s">
        <v>156</v>
      </c>
      <c r="B444" t="s">
        <v>151</v>
      </c>
      <c r="C444" s="28">
        <v>1</v>
      </c>
    </row>
    <row r="445" spans="1:3" x14ac:dyDescent="0.35">
      <c r="A445" t="s">
        <v>182</v>
      </c>
      <c r="B445" t="s">
        <v>167</v>
      </c>
      <c r="C445" s="28">
        <v>1</v>
      </c>
    </row>
    <row r="446" spans="1:3" x14ac:dyDescent="0.35">
      <c r="A446" t="s">
        <v>196</v>
      </c>
      <c r="B446" t="s">
        <v>167</v>
      </c>
      <c r="C446" s="28">
        <v>2</v>
      </c>
    </row>
    <row r="447" spans="1:3" x14ac:dyDescent="0.35">
      <c r="A447" t="s">
        <v>196</v>
      </c>
      <c r="B447" t="s">
        <v>198</v>
      </c>
      <c r="C447" s="28">
        <v>1</v>
      </c>
    </row>
    <row r="448" spans="1:3" x14ac:dyDescent="0.35">
      <c r="A448" t="s">
        <v>132</v>
      </c>
      <c r="B448" t="s">
        <v>129</v>
      </c>
      <c r="C448" s="28">
        <v>1</v>
      </c>
    </row>
    <row r="449" spans="1:3" x14ac:dyDescent="0.35">
      <c r="A449" t="s">
        <v>133</v>
      </c>
      <c r="B449" t="s">
        <v>129</v>
      </c>
      <c r="C449" s="28">
        <v>1</v>
      </c>
    </row>
    <row r="450" spans="1:3" x14ac:dyDescent="0.35">
      <c r="A450" t="s">
        <v>184</v>
      </c>
      <c r="B450" t="s">
        <v>167</v>
      </c>
      <c r="C450" s="28">
        <v>1</v>
      </c>
    </row>
    <row r="451" spans="1:3" x14ac:dyDescent="0.35">
      <c r="A451" t="s">
        <v>135</v>
      </c>
      <c r="B451" t="s">
        <v>129</v>
      </c>
      <c r="C451" s="28">
        <v>1</v>
      </c>
    </row>
    <row r="452" spans="1:3" x14ac:dyDescent="0.35">
      <c r="A452" t="s">
        <v>157</v>
      </c>
      <c r="B452" t="s">
        <v>151</v>
      </c>
      <c r="C452" s="28">
        <v>1</v>
      </c>
    </row>
    <row r="453" spans="1:3" x14ac:dyDescent="0.35">
      <c r="A453" t="s">
        <v>186</v>
      </c>
      <c r="B453" t="s">
        <v>167</v>
      </c>
      <c r="C453" s="28">
        <v>1</v>
      </c>
    </row>
    <row r="454" spans="1:3" x14ac:dyDescent="0.35">
      <c r="A454" t="s">
        <v>158</v>
      </c>
      <c r="B454" t="s">
        <v>151</v>
      </c>
      <c r="C454" s="28">
        <v>1</v>
      </c>
    </row>
    <row r="455" spans="1:3" x14ac:dyDescent="0.35">
      <c r="A455" t="s">
        <v>162</v>
      </c>
      <c r="B455" t="s">
        <v>151</v>
      </c>
      <c r="C455" s="28">
        <v>4</v>
      </c>
    </row>
    <row r="456" spans="1:3" x14ac:dyDescent="0.35">
      <c r="A456" t="s">
        <v>162</v>
      </c>
      <c r="B456" t="s">
        <v>167</v>
      </c>
      <c r="C456" s="28">
        <v>1</v>
      </c>
    </row>
    <row r="457" spans="1:3" x14ac:dyDescent="0.35">
      <c r="A457" t="s">
        <v>187</v>
      </c>
      <c r="B457" t="s">
        <v>167</v>
      </c>
      <c r="C457" s="28">
        <v>1</v>
      </c>
    </row>
    <row r="458" spans="1:3" x14ac:dyDescent="0.35">
      <c r="A458" t="s">
        <v>188</v>
      </c>
      <c r="B458" t="s">
        <v>167</v>
      </c>
      <c r="C458" s="28">
        <v>1</v>
      </c>
    </row>
    <row r="459" spans="1:3" x14ac:dyDescent="0.35">
      <c r="A459" t="s">
        <v>307</v>
      </c>
      <c r="B459" t="s">
        <v>301</v>
      </c>
      <c r="C459" s="28">
        <v>3</v>
      </c>
    </row>
    <row r="460" spans="1:3" x14ac:dyDescent="0.35">
      <c r="A460" t="s">
        <v>326</v>
      </c>
      <c r="B460" t="s">
        <v>325</v>
      </c>
      <c r="C460" s="28">
        <v>1</v>
      </c>
    </row>
    <row r="461" spans="1:3" x14ac:dyDescent="0.35">
      <c r="A461" t="s">
        <v>397</v>
      </c>
      <c r="B461" t="s">
        <v>384</v>
      </c>
      <c r="C461" s="28">
        <v>2</v>
      </c>
    </row>
    <row r="462" spans="1:3" x14ac:dyDescent="0.35">
      <c r="A462" t="s">
        <v>337</v>
      </c>
      <c r="B462" t="s">
        <v>325</v>
      </c>
      <c r="C462" s="28">
        <v>1</v>
      </c>
    </row>
    <row r="463" spans="1:3" x14ac:dyDescent="0.35">
      <c r="A463" t="s">
        <v>327</v>
      </c>
      <c r="B463" t="s">
        <v>325</v>
      </c>
      <c r="C463" s="28">
        <v>1</v>
      </c>
    </row>
    <row r="464" spans="1:3" x14ac:dyDescent="0.35">
      <c r="A464" t="s">
        <v>349</v>
      </c>
      <c r="B464" t="s">
        <v>325</v>
      </c>
      <c r="C464" s="28">
        <v>2</v>
      </c>
    </row>
    <row r="465" spans="1:3" x14ac:dyDescent="0.35">
      <c r="A465" t="s">
        <v>302</v>
      </c>
      <c r="B465" t="s">
        <v>301</v>
      </c>
      <c r="C465" s="28">
        <v>1</v>
      </c>
    </row>
    <row r="466" spans="1:3" x14ac:dyDescent="0.35">
      <c r="A466" t="s">
        <v>324</v>
      </c>
      <c r="B466" t="s">
        <v>325</v>
      </c>
      <c r="C466" s="28">
        <v>1</v>
      </c>
    </row>
    <row r="467" spans="1:3" x14ac:dyDescent="0.35">
      <c r="A467" t="s">
        <v>295</v>
      </c>
      <c r="B467" t="s">
        <v>301</v>
      </c>
      <c r="C467" s="28">
        <v>1</v>
      </c>
    </row>
    <row r="468" spans="1:3" x14ac:dyDescent="0.35">
      <c r="A468" t="s">
        <v>316</v>
      </c>
      <c r="B468" t="s">
        <v>301</v>
      </c>
      <c r="C468" s="28">
        <v>2</v>
      </c>
    </row>
    <row r="469" spans="1:3" x14ac:dyDescent="0.35">
      <c r="A469" t="s">
        <v>328</v>
      </c>
      <c r="B469" t="s">
        <v>325</v>
      </c>
      <c r="C469" s="28">
        <v>1</v>
      </c>
    </row>
    <row r="470" spans="1:3" x14ac:dyDescent="0.35">
      <c r="A470" t="s">
        <v>329</v>
      </c>
      <c r="B470" t="s">
        <v>325</v>
      </c>
      <c r="C470" s="28">
        <v>1</v>
      </c>
    </row>
    <row r="471" spans="1:3" x14ac:dyDescent="0.35">
      <c r="A471" t="s">
        <v>318</v>
      </c>
      <c r="B471" t="s">
        <v>301</v>
      </c>
      <c r="C471" s="28">
        <v>2</v>
      </c>
    </row>
    <row r="472" spans="1:3" x14ac:dyDescent="0.35">
      <c r="A472" t="s">
        <v>274</v>
      </c>
      <c r="B472" t="s">
        <v>272</v>
      </c>
      <c r="C472" s="28">
        <v>1</v>
      </c>
    </row>
    <row r="473" spans="1:3" x14ac:dyDescent="0.35">
      <c r="A473" t="s">
        <v>346</v>
      </c>
      <c r="B473" t="s">
        <v>325</v>
      </c>
      <c r="C473" s="28">
        <v>1</v>
      </c>
    </row>
    <row r="474" spans="1:3" x14ac:dyDescent="0.35">
      <c r="A474" t="s">
        <v>383</v>
      </c>
      <c r="B474" t="s">
        <v>384</v>
      </c>
      <c r="C474" s="28">
        <v>1</v>
      </c>
    </row>
    <row r="475" spans="1:3" x14ac:dyDescent="0.35">
      <c r="A475" t="s">
        <v>350</v>
      </c>
      <c r="B475" t="s">
        <v>325</v>
      </c>
      <c r="C475" s="28">
        <v>2</v>
      </c>
    </row>
    <row r="476" spans="1:3" x14ac:dyDescent="0.35">
      <c r="A476" t="s">
        <v>350</v>
      </c>
      <c r="B476" t="s">
        <v>384</v>
      </c>
      <c r="C476" s="28">
        <v>1</v>
      </c>
    </row>
    <row r="477" spans="1:3" x14ac:dyDescent="0.35">
      <c r="A477" t="s">
        <v>330</v>
      </c>
      <c r="B477" t="s">
        <v>325</v>
      </c>
      <c r="C477" s="28">
        <v>1</v>
      </c>
    </row>
    <row r="478" spans="1:3" x14ac:dyDescent="0.35">
      <c r="A478" t="s">
        <v>339</v>
      </c>
      <c r="B478" t="s">
        <v>325</v>
      </c>
      <c r="C478" s="28">
        <v>1</v>
      </c>
    </row>
    <row r="479" spans="1:3" x14ac:dyDescent="0.35">
      <c r="A479" t="s">
        <v>340</v>
      </c>
      <c r="B479" t="s">
        <v>325</v>
      </c>
      <c r="C479" s="28">
        <v>1</v>
      </c>
    </row>
    <row r="480" spans="1:3" x14ac:dyDescent="0.35">
      <c r="A480" t="s">
        <v>353</v>
      </c>
      <c r="B480" t="s">
        <v>325</v>
      </c>
      <c r="C480" s="28">
        <v>2</v>
      </c>
    </row>
    <row r="481" spans="1:3" x14ac:dyDescent="0.35">
      <c r="A481" t="s">
        <v>341</v>
      </c>
      <c r="B481" t="s">
        <v>325</v>
      </c>
      <c r="C481" s="28">
        <v>1</v>
      </c>
    </row>
    <row r="482" spans="1:3" x14ac:dyDescent="0.35">
      <c r="A482" t="s">
        <v>386</v>
      </c>
      <c r="B482" t="s">
        <v>384</v>
      </c>
      <c r="C482" s="28">
        <v>1</v>
      </c>
    </row>
    <row r="483" spans="1:3" x14ac:dyDescent="0.35">
      <c r="A483" t="s">
        <v>342</v>
      </c>
      <c r="B483" t="s">
        <v>325</v>
      </c>
      <c r="C483" s="28">
        <v>1</v>
      </c>
    </row>
    <row r="484" spans="1:3" x14ac:dyDescent="0.35">
      <c r="A484" t="s">
        <v>331</v>
      </c>
      <c r="B484" t="s">
        <v>325</v>
      </c>
      <c r="C484" s="28">
        <v>1</v>
      </c>
    </row>
    <row r="485" spans="1:3" x14ac:dyDescent="0.35">
      <c r="A485" t="s">
        <v>249</v>
      </c>
      <c r="B485" t="s">
        <v>111</v>
      </c>
      <c r="C485" s="28">
        <v>1</v>
      </c>
    </row>
    <row r="486" spans="1:3" x14ac:dyDescent="0.35">
      <c r="A486" t="s">
        <v>249</v>
      </c>
      <c r="B486" t="s">
        <v>272</v>
      </c>
      <c r="C486" s="28">
        <v>2</v>
      </c>
    </row>
    <row r="487" spans="1:3" x14ac:dyDescent="0.35">
      <c r="A487" t="s">
        <v>387</v>
      </c>
      <c r="B487" t="s">
        <v>384</v>
      </c>
      <c r="C487" s="28">
        <v>1</v>
      </c>
    </row>
    <row r="488" spans="1:3" x14ac:dyDescent="0.35">
      <c r="A488" t="s">
        <v>320</v>
      </c>
      <c r="B488" t="s">
        <v>272</v>
      </c>
      <c r="C488" s="28">
        <v>1</v>
      </c>
    </row>
    <row r="489" spans="1:3" x14ac:dyDescent="0.35">
      <c r="A489" t="s">
        <v>320</v>
      </c>
      <c r="B489" t="s">
        <v>301</v>
      </c>
      <c r="C489" s="28">
        <v>2</v>
      </c>
    </row>
    <row r="490" spans="1:3" x14ac:dyDescent="0.35">
      <c r="A490" t="s">
        <v>400</v>
      </c>
      <c r="B490" t="s">
        <v>384</v>
      </c>
      <c r="C490" s="28">
        <v>2</v>
      </c>
    </row>
    <row r="491" spans="1:3" x14ac:dyDescent="0.35">
      <c r="A491" t="s">
        <v>402</v>
      </c>
      <c r="B491" t="s">
        <v>384</v>
      </c>
      <c r="C491" s="28">
        <v>2</v>
      </c>
    </row>
    <row r="492" spans="1:3" x14ac:dyDescent="0.35">
      <c r="A492" t="s">
        <v>276</v>
      </c>
      <c r="B492" t="s">
        <v>272</v>
      </c>
      <c r="C492" s="28">
        <v>1</v>
      </c>
    </row>
    <row r="493" spans="1:3" x14ac:dyDescent="0.35">
      <c r="A493" t="s">
        <v>308</v>
      </c>
      <c r="B493" t="s">
        <v>301</v>
      </c>
      <c r="C493" s="28">
        <v>1</v>
      </c>
    </row>
    <row r="494" spans="1:3" x14ac:dyDescent="0.35">
      <c r="A494" t="s">
        <v>388</v>
      </c>
      <c r="B494" t="s">
        <v>384</v>
      </c>
      <c r="C494" s="28">
        <v>1</v>
      </c>
    </row>
    <row r="495" spans="1:3" x14ac:dyDescent="0.35">
      <c r="A495" t="s">
        <v>309</v>
      </c>
      <c r="B495" t="s">
        <v>301</v>
      </c>
      <c r="C495" s="28">
        <v>1</v>
      </c>
    </row>
    <row r="496" spans="1:3" x14ac:dyDescent="0.35">
      <c r="A496" t="s">
        <v>310</v>
      </c>
      <c r="B496" t="s">
        <v>301</v>
      </c>
      <c r="C496" s="28">
        <v>1</v>
      </c>
    </row>
    <row r="497" spans="1:3" x14ac:dyDescent="0.35">
      <c r="A497" t="s">
        <v>291</v>
      </c>
      <c r="B497" t="s">
        <v>272</v>
      </c>
      <c r="C497" s="28">
        <v>2</v>
      </c>
    </row>
    <row r="498" spans="1:3" x14ac:dyDescent="0.35">
      <c r="A498" t="s">
        <v>332</v>
      </c>
      <c r="B498" t="s">
        <v>325</v>
      </c>
      <c r="C498" s="28">
        <v>1</v>
      </c>
    </row>
    <row r="499" spans="1:3" x14ac:dyDescent="0.35">
      <c r="A499" t="s">
        <v>281</v>
      </c>
      <c r="B499" t="s">
        <v>272</v>
      </c>
      <c r="C499" s="28">
        <v>1</v>
      </c>
    </row>
    <row r="500" spans="1:3" x14ac:dyDescent="0.35">
      <c r="A500" t="s">
        <v>347</v>
      </c>
      <c r="B500" t="s">
        <v>325</v>
      </c>
      <c r="C500" s="28">
        <v>1</v>
      </c>
    </row>
    <row r="501" spans="1:3" x14ac:dyDescent="0.35">
      <c r="A501" t="s">
        <v>389</v>
      </c>
      <c r="B501" t="s">
        <v>384</v>
      </c>
      <c r="C501" s="28">
        <v>1</v>
      </c>
    </row>
    <row r="502" spans="1:3" x14ac:dyDescent="0.35">
      <c r="A502" t="s">
        <v>335</v>
      </c>
      <c r="B502" t="s">
        <v>325</v>
      </c>
      <c r="C502" s="28">
        <v>1</v>
      </c>
    </row>
    <row r="503" spans="1:3" x14ac:dyDescent="0.35">
      <c r="A503" t="s">
        <v>343</v>
      </c>
      <c r="B503" t="s">
        <v>325</v>
      </c>
      <c r="C503" s="28">
        <v>1</v>
      </c>
    </row>
    <row r="504" spans="1:3" x14ac:dyDescent="0.35">
      <c r="A504" t="s">
        <v>312</v>
      </c>
      <c r="B504" t="s">
        <v>301</v>
      </c>
      <c r="C504" s="28">
        <v>1</v>
      </c>
    </row>
    <row r="505" spans="1:3" x14ac:dyDescent="0.35">
      <c r="A505" t="s">
        <v>390</v>
      </c>
      <c r="B505" t="s">
        <v>384</v>
      </c>
      <c r="C505" s="28">
        <v>1</v>
      </c>
    </row>
    <row r="506" spans="1:3" x14ac:dyDescent="0.35">
      <c r="A506" t="s">
        <v>303</v>
      </c>
      <c r="B506" t="s">
        <v>301</v>
      </c>
      <c r="C506" s="28">
        <v>1</v>
      </c>
    </row>
    <row r="507" spans="1:3" x14ac:dyDescent="0.35">
      <c r="A507" t="s">
        <v>322</v>
      </c>
      <c r="B507" t="s">
        <v>301</v>
      </c>
      <c r="C507" s="28">
        <v>3</v>
      </c>
    </row>
    <row r="508" spans="1:3" x14ac:dyDescent="0.35">
      <c r="A508" t="s">
        <v>313</v>
      </c>
      <c r="B508" t="s">
        <v>301</v>
      </c>
      <c r="C508" s="28">
        <v>1</v>
      </c>
    </row>
    <row r="509" spans="1:3" x14ac:dyDescent="0.35">
      <c r="A509" t="s">
        <v>354</v>
      </c>
      <c r="B509" t="s">
        <v>325</v>
      </c>
      <c r="C509" s="28">
        <v>3</v>
      </c>
    </row>
    <row r="510" spans="1:3" x14ac:dyDescent="0.35">
      <c r="A510" t="s">
        <v>283</v>
      </c>
      <c r="B510" t="s">
        <v>272</v>
      </c>
      <c r="C510" s="28">
        <v>1</v>
      </c>
    </row>
    <row r="511" spans="1:3" x14ac:dyDescent="0.35">
      <c r="A511" t="s">
        <v>284</v>
      </c>
      <c r="B511" t="s">
        <v>272</v>
      </c>
      <c r="C511" s="28">
        <v>1</v>
      </c>
    </row>
    <row r="512" spans="1:3" x14ac:dyDescent="0.35">
      <c r="A512" t="s">
        <v>299</v>
      </c>
      <c r="B512" t="s">
        <v>301</v>
      </c>
      <c r="C512" s="28">
        <v>1</v>
      </c>
    </row>
    <row r="513" spans="1:3" x14ac:dyDescent="0.35">
      <c r="A513" t="s">
        <v>333</v>
      </c>
      <c r="B513" t="s">
        <v>325</v>
      </c>
      <c r="C513" s="28">
        <v>1</v>
      </c>
    </row>
    <row r="514" spans="1:3" x14ac:dyDescent="0.35">
      <c r="A514" t="s">
        <v>344</v>
      </c>
      <c r="B514" t="s">
        <v>325</v>
      </c>
      <c r="C514" s="28">
        <v>1</v>
      </c>
    </row>
    <row r="515" spans="1:3" x14ac:dyDescent="0.35">
      <c r="A515" t="s">
        <v>345</v>
      </c>
      <c r="B515" t="s">
        <v>325</v>
      </c>
      <c r="C515" s="28">
        <v>1</v>
      </c>
    </row>
    <row r="516" spans="1:3" x14ac:dyDescent="0.35">
      <c r="A516" t="s">
        <v>391</v>
      </c>
      <c r="B516" t="s">
        <v>384</v>
      </c>
      <c r="C516" s="28">
        <v>1</v>
      </c>
    </row>
    <row r="517" spans="1:3" x14ac:dyDescent="0.35">
      <c r="A517" t="s">
        <v>334</v>
      </c>
      <c r="B517" t="s">
        <v>325</v>
      </c>
      <c r="C517" s="28">
        <v>1</v>
      </c>
    </row>
    <row r="518" spans="1:3" x14ac:dyDescent="0.35">
      <c r="A518" t="s">
        <v>385</v>
      </c>
      <c r="B518" t="s">
        <v>384</v>
      </c>
      <c r="C518" s="28">
        <v>1</v>
      </c>
    </row>
    <row r="519" spans="1:3" x14ac:dyDescent="0.35">
      <c r="A519" t="s">
        <v>285</v>
      </c>
      <c r="B519" t="s">
        <v>272</v>
      </c>
      <c r="C519" s="28">
        <v>1</v>
      </c>
    </row>
    <row r="520" spans="1:3" x14ac:dyDescent="0.35">
      <c r="A520" t="s">
        <v>392</v>
      </c>
      <c r="B520" t="s">
        <v>384</v>
      </c>
      <c r="C520" s="28">
        <v>1</v>
      </c>
    </row>
    <row r="521" spans="1:3" x14ac:dyDescent="0.35">
      <c r="A521" t="s">
        <v>268</v>
      </c>
      <c r="B521" t="s">
        <v>272</v>
      </c>
      <c r="C521" s="28">
        <v>1</v>
      </c>
    </row>
    <row r="522" spans="1:3" x14ac:dyDescent="0.35">
      <c r="A522" t="s">
        <v>418</v>
      </c>
      <c r="B522" t="s">
        <v>408</v>
      </c>
      <c r="C522" s="28">
        <v>4</v>
      </c>
    </row>
    <row r="523" spans="1:3" x14ac:dyDescent="0.35">
      <c r="A523" t="s">
        <v>267</v>
      </c>
      <c r="B523" t="s">
        <v>80</v>
      </c>
      <c r="C523" s="28">
        <v>1</v>
      </c>
    </row>
    <row r="524" spans="1:3" x14ac:dyDescent="0.35">
      <c r="A524" t="s">
        <v>267</v>
      </c>
      <c r="B524" t="s">
        <v>272</v>
      </c>
      <c r="C524" s="28">
        <v>2</v>
      </c>
    </row>
    <row r="525" spans="1:3" x14ac:dyDescent="0.35">
      <c r="A525" t="s">
        <v>314</v>
      </c>
      <c r="B525" t="s">
        <v>301</v>
      </c>
      <c r="C525" s="28">
        <v>1</v>
      </c>
    </row>
    <row r="526" spans="1:3" x14ac:dyDescent="0.35">
      <c r="A526" t="s">
        <v>395</v>
      </c>
      <c r="B526" t="s">
        <v>384</v>
      </c>
      <c r="C526" s="28">
        <v>1</v>
      </c>
    </row>
    <row r="527" spans="1:3" x14ac:dyDescent="0.35">
      <c r="A527" t="s">
        <v>300</v>
      </c>
      <c r="B527" t="s">
        <v>301</v>
      </c>
      <c r="C527" s="28">
        <v>1</v>
      </c>
    </row>
    <row r="528" spans="1:3" x14ac:dyDescent="0.35">
      <c r="A528" t="s">
        <v>377</v>
      </c>
      <c r="B528" t="s">
        <v>359</v>
      </c>
      <c r="C528" s="28">
        <v>1</v>
      </c>
    </row>
    <row r="529" spans="1:3" x14ac:dyDescent="0.35">
      <c r="A529" t="s">
        <v>357</v>
      </c>
      <c r="B529" t="s">
        <v>359</v>
      </c>
      <c r="C529" s="28">
        <v>1</v>
      </c>
    </row>
    <row r="530" spans="1:3" x14ac:dyDescent="0.35">
      <c r="A530" t="s">
        <v>360</v>
      </c>
      <c r="B530" t="s">
        <v>359</v>
      </c>
      <c r="C530" s="28">
        <v>2</v>
      </c>
    </row>
    <row r="531" spans="1:3" x14ac:dyDescent="0.35">
      <c r="A531" t="s">
        <v>361</v>
      </c>
      <c r="B531" t="s">
        <v>359</v>
      </c>
      <c r="C531" s="28">
        <v>2</v>
      </c>
    </row>
    <row r="532" spans="1:3" x14ac:dyDescent="0.35">
      <c r="A532" t="s">
        <v>362</v>
      </c>
      <c r="B532" t="s">
        <v>359</v>
      </c>
      <c r="C532" s="28">
        <v>1</v>
      </c>
    </row>
    <row r="533" spans="1:3" x14ac:dyDescent="0.35">
      <c r="A533" t="s">
        <v>379</v>
      </c>
      <c r="B533" t="s">
        <v>359</v>
      </c>
      <c r="C533" s="28">
        <v>2</v>
      </c>
    </row>
    <row r="534" spans="1:3" x14ac:dyDescent="0.35">
      <c r="A534" t="s">
        <v>363</v>
      </c>
      <c r="B534" t="s">
        <v>359</v>
      </c>
      <c r="C534" s="28">
        <v>1</v>
      </c>
    </row>
    <row r="535" spans="1:3" x14ac:dyDescent="0.35">
      <c r="A535" t="s">
        <v>364</v>
      </c>
      <c r="B535" t="s">
        <v>359</v>
      </c>
      <c r="C535" s="28">
        <v>1</v>
      </c>
    </row>
    <row r="536" spans="1:3" x14ac:dyDescent="0.35">
      <c r="A536" t="s">
        <v>365</v>
      </c>
      <c r="B536" t="s">
        <v>359</v>
      </c>
      <c r="C536" s="28">
        <v>1</v>
      </c>
    </row>
    <row r="537" spans="1:3" x14ac:dyDescent="0.35">
      <c r="A537" t="s">
        <v>381</v>
      </c>
      <c r="B537" t="s">
        <v>359</v>
      </c>
      <c r="C537" s="28">
        <v>3</v>
      </c>
    </row>
    <row r="538" spans="1:3" x14ac:dyDescent="0.35">
      <c r="A538" t="s">
        <v>378</v>
      </c>
      <c r="B538" t="s">
        <v>359</v>
      </c>
      <c r="C538" s="28">
        <v>1</v>
      </c>
    </row>
    <row r="539" spans="1:3" x14ac:dyDescent="0.35">
      <c r="A539" t="s">
        <v>368</v>
      </c>
      <c r="B539" t="s">
        <v>359</v>
      </c>
      <c r="C539" s="28">
        <v>1</v>
      </c>
    </row>
    <row r="540" spans="1:3" x14ac:dyDescent="0.35">
      <c r="A540" t="s">
        <v>374</v>
      </c>
      <c r="B540" t="s">
        <v>359</v>
      </c>
      <c r="C540" s="28">
        <v>1</v>
      </c>
    </row>
    <row r="541" spans="1:3" x14ac:dyDescent="0.35">
      <c r="A541" t="s">
        <v>375</v>
      </c>
      <c r="B541" t="s">
        <v>359</v>
      </c>
      <c r="C541" s="28">
        <v>1</v>
      </c>
    </row>
    <row r="542" spans="1:3" x14ac:dyDescent="0.35">
      <c r="A542" t="s">
        <v>376</v>
      </c>
      <c r="B542" t="s">
        <v>359</v>
      </c>
      <c r="C542" s="28">
        <v>1</v>
      </c>
    </row>
    <row r="543" spans="1:3" x14ac:dyDescent="0.35">
      <c r="A543" t="s">
        <v>481</v>
      </c>
      <c r="B543" t="s">
        <v>482</v>
      </c>
      <c r="C543" s="28">
        <v>1</v>
      </c>
    </row>
    <row r="544" spans="1:3" x14ac:dyDescent="0.35">
      <c r="A544" t="s">
        <v>483</v>
      </c>
      <c r="B544" t="s">
        <v>482</v>
      </c>
      <c r="C544" s="28">
        <v>1</v>
      </c>
    </row>
    <row r="545" spans="1:3" x14ac:dyDescent="0.35">
      <c r="A545" t="s">
        <v>484</v>
      </c>
      <c r="B545" t="s">
        <v>482</v>
      </c>
      <c r="C545" s="28">
        <v>1</v>
      </c>
    </row>
    <row r="546" spans="1:3" x14ac:dyDescent="0.35">
      <c r="A546" t="s">
        <v>507</v>
      </c>
      <c r="B546" t="s">
        <v>482</v>
      </c>
      <c r="C546" s="28">
        <v>3</v>
      </c>
    </row>
    <row r="547" spans="1:3" x14ac:dyDescent="0.35">
      <c r="A547" t="s">
        <v>454</v>
      </c>
      <c r="B547" t="s">
        <v>452</v>
      </c>
      <c r="C547" s="28">
        <v>1</v>
      </c>
    </row>
    <row r="548" spans="1:3" x14ac:dyDescent="0.35">
      <c r="A548" t="s">
        <v>465</v>
      </c>
      <c r="B548" t="s">
        <v>452</v>
      </c>
      <c r="C548" s="28">
        <v>1</v>
      </c>
    </row>
    <row r="549" spans="1:3" x14ac:dyDescent="0.35">
      <c r="A549" t="s">
        <v>494</v>
      </c>
      <c r="B549" t="s">
        <v>482</v>
      </c>
      <c r="C549" s="28">
        <v>1</v>
      </c>
    </row>
    <row r="550" spans="1:3" x14ac:dyDescent="0.35">
      <c r="A550" t="s">
        <v>466</v>
      </c>
      <c r="B550" t="s">
        <v>452</v>
      </c>
      <c r="C550" s="28">
        <v>1</v>
      </c>
    </row>
    <row r="551" spans="1:3" x14ac:dyDescent="0.35">
      <c r="A551" t="s">
        <v>469</v>
      </c>
      <c r="B551" t="s">
        <v>452</v>
      </c>
      <c r="C551" s="28">
        <v>2</v>
      </c>
    </row>
    <row r="552" spans="1:3" x14ac:dyDescent="0.35">
      <c r="A552" t="s">
        <v>485</v>
      </c>
      <c r="B552" t="s">
        <v>482</v>
      </c>
      <c r="C552" s="28">
        <v>1</v>
      </c>
    </row>
    <row r="553" spans="1:3" x14ac:dyDescent="0.35">
      <c r="A553" t="s">
        <v>486</v>
      </c>
      <c r="B553" t="s">
        <v>482</v>
      </c>
      <c r="C553" s="28">
        <v>1</v>
      </c>
    </row>
    <row r="554" spans="1:3" x14ac:dyDescent="0.35">
      <c r="A554" t="s">
        <v>455</v>
      </c>
      <c r="B554" t="s">
        <v>452</v>
      </c>
      <c r="C554" s="28">
        <v>1</v>
      </c>
    </row>
    <row r="555" spans="1:3" x14ac:dyDescent="0.35">
      <c r="A555" t="s">
        <v>487</v>
      </c>
      <c r="B555" t="s">
        <v>482</v>
      </c>
      <c r="C555" s="28">
        <v>1</v>
      </c>
    </row>
    <row r="556" spans="1:3" x14ac:dyDescent="0.35">
      <c r="A556" t="s">
        <v>496</v>
      </c>
      <c r="B556" t="s">
        <v>482</v>
      </c>
      <c r="C556" s="28">
        <v>1</v>
      </c>
    </row>
    <row r="557" spans="1:3" x14ac:dyDescent="0.35">
      <c r="A557" t="s">
        <v>498</v>
      </c>
      <c r="B557" t="s">
        <v>482</v>
      </c>
      <c r="C557" s="28">
        <v>1</v>
      </c>
    </row>
    <row r="558" spans="1:3" x14ac:dyDescent="0.35">
      <c r="A558" t="s">
        <v>488</v>
      </c>
      <c r="B558" t="s">
        <v>482</v>
      </c>
      <c r="C558" s="28">
        <v>1</v>
      </c>
    </row>
    <row r="559" spans="1:3" x14ac:dyDescent="0.35">
      <c r="A559" t="s">
        <v>511</v>
      </c>
      <c r="B559" t="s">
        <v>482</v>
      </c>
      <c r="C559" s="28">
        <v>3</v>
      </c>
    </row>
    <row r="560" spans="1:3" x14ac:dyDescent="0.35">
      <c r="A560" t="s">
        <v>456</v>
      </c>
      <c r="B560" t="s">
        <v>452</v>
      </c>
      <c r="C560" s="28">
        <v>1</v>
      </c>
    </row>
    <row r="561" spans="1:3" x14ac:dyDescent="0.35">
      <c r="A561" t="s">
        <v>499</v>
      </c>
      <c r="B561" t="s">
        <v>482</v>
      </c>
      <c r="C561" s="28">
        <v>1</v>
      </c>
    </row>
    <row r="562" spans="1:3" x14ac:dyDescent="0.35">
      <c r="A562" t="s">
        <v>502</v>
      </c>
      <c r="B562" t="s">
        <v>482</v>
      </c>
      <c r="C562" s="28">
        <v>1</v>
      </c>
    </row>
    <row r="563" spans="1:3" x14ac:dyDescent="0.35">
      <c r="A563" t="s">
        <v>473</v>
      </c>
      <c r="B563" t="s">
        <v>452</v>
      </c>
      <c r="C563" s="28">
        <v>2</v>
      </c>
    </row>
    <row r="564" spans="1:3" x14ac:dyDescent="0.35">
      <c r="A564" t="s">
        <v>475</v>
      </c>
      <c r="B564" t="s">
        <v>452</v>
      </c>
      <c r="C564" s="28">
        <v>2</v>
      </c>
    </row>
    <row r="565" spans="1:3" x14ac:dyDescent="0.35">
      <c r="A565" t="s">
        <v>477</v>
      </c>
      <c r="B565" t="s">
        <v>452</v>
      </c>
      <c r="C565" s="28">
        <v>2</v>
      </c>
    </row>
    <row r="566" spans="1:3" x14ac:dyDescent="0.35">
      <c r="A566" t="s">
        <v>489</v>
      </c>
      <c r="B566" t="s">
        <v>482</v>
      </c>
      <c r="C566" s="28">
        <v>1</v>
      </c>
    </row>
    <row r="567" spans="1:3" x14ac:dyDescent="0.35">
      <c r="A567" t="s">
        <v>479</v>
      </c>
      <c r="B567" t="s">
        <v>452</v>
      </c>
      <c r="C567" s="28">
        <v>2</v>
      </c>
    </row>
    <row r="568" spans="1:3" x14ac:dyDescent="0.35">
      <c r="A568" t="s">
        <v>490</v>
      </c>
      <c r="B568" t="s">
        <v>482</v>
      </c>
      <c r="C568" s="28">
        <v>1</v>
      </c>
    </row>
    <row r="569" spans="1:3" x14ac:dyDescent="0.35">
      <c r="A569" t="s">
        <v>467</v>
      </c>
      <c r="B569" t="s">
        <v>452</v>
      </c>
      <c r="C569" s="28">
        <v>1</v>
      </c>
    </row>
    <row r="570" spans="1:3" x14ac:dyDescent="0.35">
      <c r="A570" t="s">
        <v>453</v>
      </c>
      <c r="B570" t="s">
        <v>452</v>
      </c>
      <c r="C570" s="28">
        <v>1</v>
      </c>
    </row>
    <row r="571" spans="1:3" x14ac:dyDescent="0.35">
      <c r="A571" t="s">
        <v>460</v>
      </c>
      <c r="B571" t="s">
        <v>452</v>
      </c>
      <c r="C571" s="28">
        <v>1</v>
      </c>
    </row>
    <row r="572" spans="1:3" x14ac:dyDescent="0.35">
      <c r="A572" t="s">
        <v>450</v>
      </c>
      <c r="B572" t="s">
        <v>452</v>
      </c>
      <c r="C572" s="28">
        <v>1</v>
      </c>
    </row>
    <row r="573" spans="1:3" x14ac:dyDescent="0.35">
      <c r="A573" t="s">
        <v>461</v>
      </c>
      <c r="B573" t="s">
        <v>452</v>
      </c>
      <c r="C573" s="28">
        <v>1</v>
      </c>
    </row>
    <row r="574" spans="1:3" x14ac:dyDescent="0.35">
      <c r="A574" t="s">
        <v>462</v>
      </c>
      <c r="B574" t="s">
        <v>452</v>
      </c>
      <c r="C574" s="28">
        <v>1</v>
      </c>
    </row>
    <row r="575" spans="1:3" x14ac:dyDescent="0.35">
      <c r="A575" t="s">
        <v>463</v>
      </c>
      <c r="B575" t="s">
        <v>452</v>
      </c>
      <c r="C575" s="28">
        <v>1</v>
      </c>
    </row>
    <row r="576" spans="1:3" x14ac:dyDescent="0.35">
      <c r="A576" t="s">
        <v>468</v>
      </c>
      <c r="B576" t="s">
        <v>452</v>
      </c>
      <c r="C576" s="28">
        <v>1</v>
      </c>
    </row>
    <row r="577" spans="1:3" x14ac:dyDescent="0.35">
      <c r="A577" t="s">
        <v>514</v>
      </c>
      <c r="B577" t="s">
        <v>482</v>
      </c>
      <c r="C577" s="28">
        <v>2</v>
      </c>
    </row>
    <row r="578" spans="1:3" x14ac:dyDescent="0.35">
      <c r="A578" t="s">
        <v>491</v>
      </c>
      <c r="B578" t="s">
        <v>482</v>
      </c>
      <c r="C578" s="28">
        <v>1</v>
      </c>
    </row>
    <row r="579" spans="1:3" x14ac:dyDescent="0.35">
      <c r="A579" t="s">
        <v>492</v>
      </c>
      <c r="B579" t="s">
        <v>482</v>
      </c>
      <c r="C579" s="28">
        <v>1</v>
      </c>
    </row>
    <row r="580" spans="1:3" x14ac:dyDescent="0.35">
      <c r="A580" t="s">
        <v>464</v>
      </c>
      <c r="B580" t="s">
        <v>452</v>
      </c>
      <c r="C580" s="28">
        <v>1</v>
      </c>
    </row>
    <row r="581" spans="1:3" x14ac:dyDescent="0.35">
      <c r="A581" t="s">
        <v>493</v>
      </c>
      <c r="B581" t="s">
        <v>482</v>
      </c>
      <c r="C581" s="28">
        <v>1</v>
      </c>
    </row>
    <row r="582" spans="1:3" x14ac:dyDescent="0.35">
      <c r="A582" t="s">
        <v>1007</v>
      </c>
      <c r="C582" s="28">
        <v>807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F1D1-6A37-4E27-9755-17BE58184EBA}">
  <dimension ref="A3:C68"/>
  <sheetViews>
    <sheetView workbookViewId="0">
      <selection activeCell="E37" sqref="E37"/>
    </sheetView>
  </sheetViews>
  <sheetFormatPr defaultRowHeight="13.5" x14ac:dyDescent="0.35"/>
  <cols>
    <col min="1" max="1" width="13.875" bestFit="1" customWidth="1"/>
    <col min="2" max="2" width="10.75" bestFit="1" customWidth="1"/>
    <col min="3" max="3" width="6" bestFit="1" customWidth="1"/>
  </cols>
  <sheetData>
    <row r="3" spans="1:3" x14ac:dyDescent="0.35">
      <c r="A3" s="27" t="s">
        <v>1008</v>
      </c>
    </row>
    <row r="4" spans="1:3" x14ac:dyDescent="0.35">
      <c r="A4" s="27" t="s">
        <v>1010</v>
      </c>
      <c r="B4" s="27" t="s">
        <v>1027</v>
      </c>
      <c r="C4" t="s">
        <v>1011</v>
      </c>
    </row>
    <row r="5" spans="1:3" x14ac:dyDescent="0.35">
      <c r="A5" t="s">
        <v>34</v>
      </c>
      <c r="B5">
        <v>48040</v>
      </c>
      <c r="C5" s="28">
        <v>18</v>
      </c>
    </row>
    <row r="6" spans="1:3" x14ac:dyDescent="0.35">
      <c r="A6" t="s">
        <v>70</v>
      </c>
      <c r="B6">
        <v>48000</v>
      </c>
      <c r="C6" s="28">
        <v>1</v>
      </c>
    </row>
    <row r="7" spans="1:3" x14ac:dyDescent="0.35">
      <c r="A7" t="s">
        <v>70</v>
      </c>
      <c r="B7">
        <v>48040</v>
      </c>
      <c r="C7" s="28">
        <v>19</v>
      </c>
    </row>
    <row r="8" spans="1:3" x14ac:dyDescent="0.35">
      <c r="A8" t="s">
        <v>99</v>
      </c>
      <c r="B8">
        <v>48030</v>
      </c>
      <c r="C8" s="28">
        <v>22</v>
      </c>
    </row>
    <row r="9" spans="1:3" x14ac:dyDescent="0.35">
      <c r="A9" t="s">
        <v>99</v>
      </c>
      <c r="B9">
        <v>48040</v>
      </c>
      <c r="C9" s="28">
        <v>1</v>
      </c>
    </row>
    <row r="10" spans="1:3" x14ac:dyDescent="0.35">
      <c r="A10" t="s">
        <v>129</v>
      </c>
      <c r="B10">
        <v>48030</v>
      </c>
      <c r="C10" s="28">
        <v>10</v>
      </c>
    </row>
    <row r="11" spans="1:3" x14ac:dyDescent="0.35">
      <c r="A11" t="s">
        <v>129</v>
      </c>
      <c r="B11">
        <v>48041</v>
      </c>
      <c r="C11" s="28">
        <v>10</v>
      </c>
    </row>
    <row r="12" spans="1:3" x14ac:dyDescent="0.35">
      <c r="A12" t="s">
        <v>151</v>
      </c>
      <c r="B12">
        <v>48041</v>
      </c>
      <c r="C12" s="28">
        <v>14</v>
      </c>
    </row>
    <row r="13" spans="1:3" x14ac:dyDescent="0.35">
      <c r="A13" t="s">
        <v>167</v>
      </c>
      <c r="B13">
        <v>48041</v>
      </c>
      <c r="C13" s="28">
        <v>22</v>
      </c>
    </row>
    <row r="14" spans="1:3" x14ac:dyDescent="0.35">
      <c r="A14" t="s">
        <v>198</v>
      </c>
      <c r="B14">
        <v>48020</v>
      </c>
      <c r="C14" s="28">
        <v>24</v>
      </c>
    </row>
    <row r="15" spans="1:3" x14ac:dyDescent="0.35">
      <c r="A15" t="s">
        <v>111</v>
      </c>
      <c r="B15">
        <v>48020</v>
      </c>
      <c r="C15" s="28">
        <v>21</v>
      </c>
    </row>
    <row r="16" spans="1:3" x14ac:dyDescent="0.35">
      <c r="A16" t="s">
        <v>80</v>
      </c>
      <c r="B16">
        <v>48020</v>
      </c>
      <c r="C16" s="28">
        <v>17</v>
      </c>
    </row>
    <row r="17" spans="1:3" x14ac:dyDescent="0.35">
      <c r="A17" t="s">
        <v>272</v>
      </c>
      <c r="B17">
        <v>48020</v>
      </c>
      <c r="C17" s="28">
        <v>1</v>
      </c>
    </row>
    <row r="18" spans="1:3" x14ac:dyDescent="0.35">
      <c r="A18" t="s">
        <v>272</v>
      </c>
      <c r="B18">
        <v>48050</v>
      </c>
      <c r="C18" s="28">
        <v>14</v>
      </c>
    </row>
    <row r="19" spans="1:3" x14ac:dyDescent="0.35">
      <c r="A19" t="s">
        <v>301</v>
      </c>
      <c r="B19">
        <v>48050</v>
      </c>
      <c r="C19" s="28">
        <v>23</v>
      </c>
    </row>
    <row r="20" spans="1:3" x14ac:dyDescent="0.35">
      <c r="A20" t="s">
        <v>325</v>
      </c>
      <c r="B20">
        <v>48050</v>
      </c>
      <c r="C20" s="28">
        <v>30</v>
      </c>
    </row>
    <row r="21" spans="1:3" x14ac:dyDescent="0.35">
      <c r="A21" t="s">
        <v>359</v>
      </c>
      <c r="B21">
        <v>48060</v>
      </c>
      <c r="C21" s="28">
        <v>20</v>
      </c>
    </row>
    <row r="22" spans="1:3" x14ac:dyDescent="0.35">
      <c r="A22" t="s">
        <v>384</v>
      </c>
      <c r="B22">
        <v>48050</v>
      </c>
      <c r="C22" s="28">
        <v>18</v>
      </c>
    </row>
    <row r="23" spans="1:3" x14ac:dyDescent="0.35">
      <c r="A23" t="s">
        <v>408</v>
      </c>
      <c r="B23">
        <v>48010</v>
      </c>
      <c r="C23" s="28">
        <v>12</v>
      </c>
    </row>
    <row r="24" spans="1:3" x14ac:dyDescent="0.35">
      <c r="A24" t="s">
        <v>408</v>
      </c>
      <c r="B24">
        <v>48050</v>
      </c>
      <c r="C24" s="28">
        <v>3</v>
      </c>
    </row>
    <row r="25" spans="1:3" x14ac:dyDescent="0.35">
      <c r="A25" t="s">
        <v>370</v>
      </c>
      <c r="B25">
        <v>48010</v>
      </c>
      <c r="C25" s="28">
        <v>25</v>
      </c>
    </row>
    <row r="26" spans="1:3" x14ac:dyDescent="0.35">
      <c r="A26" t="s">
        <v>452</v>
      </c>
      <c r="B26">
        <v>48010</v>
      </c>
      <c r="C26" s="28">
        <v>1</v>
      </c>
    </row>
    <row r="27" spans="1:3" x14ac:dyDescent="0.35">
      <c r="A27" t="s">
        <v>452</v>
      </c>
      <c r="B27">
        <v>48070</v>
      </c>
      <c r="C27" s="28">
        <v>24</v>
      </c>
    </row>
    <row r="28" spans="1:3" x14ac:dyDescent="0.35">
      <c r="A28" t="s">
        <v>482</v>
      </c>
      <c r="B28">
        <v>48070</v>
      </c>
      <c r="C28" s="28">
        <v>24</v>
      </c>
    </row>
    <row r="29" spans="1:3" x14ac:dyDescent="0.35">
      <c r="A29" t="s">
        <v>482</v>
      </c>
      <c r="B29" t="s">
        <v>1026</v>
      </c>
      <c r="C29" s="28">
        <v>2</v>
      </c>
    </row>
    <row r="30" spans="1:3" x14ac:dyDescent="0.35">
      <c r="A30" t="s">
        <v>287</v>
      </c>
      <c r="B30">
        <v>48010</v>
      </c>
      <c r="C30" s="28">
        <v>19</v>
      </c>
    </row>
    <row r="31" spans="1:3" x14ac:dyDescent="0.35">
      <c r="A31" t="s">
        <v>279</v>
      </c>
      <c r="B31">
        <v>48010</v>
      </c>
      <c r="C31" s="28">
        <v>28</v>
      </c>
    </row>
    <row r="32" spans="1:3" x14ac:dyDescent="0.35">
      <c r="A32" t="s">
        <v>279</v>
      </c>
      <c r="B32">
        <v>48080</v>
      </c>
      <c r="C32" s="28">
        <v>1</v>
      </c>
    </row>
    <row r="33" spans="1:3" x14ac:dyDescent="0.35">
      <c r="A33" t="s">
        <v>564</v>
      </c>
      <c r="B33">
        <v>48080</v>
      </c>
      <c r="C33" s="28">
        <v>14</v>
      </c>
    </row>
    <row r="34" spans="1:3" x14ac:dyDescent="0.35">
      <c r="A34" t="s">
        <v>458</v>
      </c>
      <c r="B34">
        <v>48010</v>
      </c>
      <c r="C34" s="28">
        <v>1</v>
      </c>
    </row>
    <row r="35" spans="1:3" x14ac:dyDescent="0.35">
      <c r="A35" t="s">
        <v>458</v>
      </c>
      <c r="B35">
        <v>48090</v>
      </c>
      <c r="C35" s="28">
        <v>25</v>
      </c>
    </row>
    <row r="36" spans="1:3" x14ac:dyDescent="0.35">
      <c r="A36" t="s">
        <v>437</v>
      </c>
      <c r="B36">
        <v>48010</v>
      </c>
      <c r="C36" s="28">
        <v>1</v>
      </c>
    </row>
    <row r="37" spans="1:3" x14ac:dyDescent="0.35">
      <c r="A37" t="s">
        <v>437</v>
      </c>
      <c r="B37">
        <v>48090</v>
      </c>
      <c r="C37" s="28">
        <v>16</v>
      </c>
    </row>
    <row r="38" spans="1:3" x14ac:dyDescent="0.35">
      <c r="A38" t="s">
        <v>174</v>
      </c>
      <c r="B38">
        <v>48000</v>
      </c>
      <c r="C38" s="28">
        <v>1</v>
      </c>
    </row>
    <row r="39" spans="1:3" x14ac:dyDescent="0.35">
      <c r="A39" t="s">
        <v>174</v>
      </c>
      <c r="B39">
        <v>48080</v>
      </c>
      <c r="C39" s="28">
        <v>24</v>
      </c>
    </row>
    <row r="40" spans="1:3" x14ac:dyDescent="0.35">
      <c r="A40" t="s">
        <v>242</v>
      </c>
      <c r="B40">
        <v>48000</v>
      </c>
      <c r="C40" s="28">
        <v>1</v>
      </c>
    </row>
    <row r="41" spans="1:3" x14ac:dyDescent="0.35">
      <c r="A41" t="s">
        <v>242</v>
      </c>
      <c r="B41">
        <v>48080</v>
      </c>
      <c r="C41" s="28">
        <v>20</v>
      </c>
    </row>
    <row r="42" spans="1:3" x14ac:dyDescent="0.35">
      <c r="A42" t="s">
        <v>242</v>
      </c>
      <c r="B42">
        <v>48090</v>
      </c>
      <c r="C42" s="28">
        <v>2</v>
      </c>
    </row>
    <row r="43" spans="1:3" x14ac:dyDescent="0.35">
      <c r="A43" t="s">
        <v>672</v>
      </c>
      <c r="B43">
        <v>48000</v>
      </c>
      <c r="C43" s="28">
        <v>26</v>
      </c>
    </row>
    <row r="44" spans="1:3" x14ac:dyDescent="0.35">
      <c r="A44" t="s">
        <v>75</v>
      </c>
      <c r="B44">
        <v>48000</v>
      </c>
      <c r="C44" s="28">
        <v>23</v>
      </c>
    </row>
    <row r="45" spans="1:3" x14ac:dyDescent="0.35">
      <c r="A45" t="s">
        <v>722</v>
      </c>
      <c r="B45">
        <v>48000</v>
      </c>
      <c r="C45" s="28">
        <v>19</v>
      </c>
    </row>
    <row r="46" spans="1:3" x14ac:dyDescent="0.35">
      <c r="A46" t="s">
        <v>48</v>
      </c>
      <c r="B46">
        <v>48000</v>
      </c>
      <c r="C46" s="28">
        <v>22</v>
      </c>
    </row>
    <row r="47" spans="1:3" x14ac:dyDescent="0.35">
      <c r="A47" t="s">
        <v>765</v>
      </c>
      <c r="B47">
        <v>47601</v>
      </c>
      <c r="C47" s="28">
        <v>10</v>
      </c>
    </row>
    <row r="48" spans="1:3" x14ac:dyDescent="0.35">
      <c r="A48" t="s">
        <v>779</v>
      </c>
      <c r="B48">
        <v>47601</v>
      </c>
      <c r="C48" s="28">
        <v>12</v>
      </c>
    </row>
    <row r="49" spans="1:3" x14ac:dyDescent="0.35">
      <c r="A49" t="s">
        <v>795</v>
      </c>
      <c r="B49">
        <v>47601</v>
      </c>
      <c r="C49" s="28">
        <v>11</v>
      </c>
    </row>
    <row r="50" spans="1:3" x14ac:dyDescent="0.35">
      <c r="A50" t="s">
        <v>808</v>
      </c>
      <c r="B50">
        <v>47601</v>
      </c>
      <c r="C50" s="28">
        <v>9</v>
      </c>
    </row>
    <row r="51" spans="1:3" x14ac:dyDescent="0.35">
      <c r="A51" t="s">
        <v>818</v>
      </c>
      <c r="B51">
        <v>47601</v>
      </c>
      <c r="C51" s="28">
        <v>10</v>
      </c>
    </row>
    <row r="52" spans="1:3" x14ac:dyDescent="0.35">
      <c r="A52" t="s">
        <v>829</v>
      </c>
      <c r="B52">
        <v>47601</v>
      </c>
      <c r="C52" s="28">
        <v>9</v>
      </c>
    </row>
    <row r="53" spans="1:3" x14ac:dyDescent="0.35">
      <c r="A53" t="s">
        <v>839</v>
      </c>
      <c r="B53">
        <v>47601</v>
      </c>
      <c r="C53" s="28">
        <v>13</v>
      </c>
    </row>
    <row r="54" spans="1:3" x14ac:dyDescent="0.35">
      <c r="A54" t="s">
        <v>856</v>
      </c>
      <c r="B54">
        <v>47601</v>
      </c>
      <c r="C54" s="28">
        <v>9</v>
      </c>
    </row>
    <row r="55" spans="1:3" x14ac:dyDescent="0.35">
      <c r="A55" t="s">
        <v>867</v>
      </c>
      <c r="B55">
        <v>47601</v>
      </c>
      <c r="C55" s="28">
        <v>11</v>
      </c>
    </row>
    <row r="56" spans="1:3" x14ac:dyDescent="0.35">
      <c r="A56" t="s">
        <v>880</v>
      </c>
      <c r="B56">
        <v>47601</v>
      </c>
      <c r="C56" s="28">
        <v>10</v>
      </c>
    </row>
    <row r="57" spans="1:3" x14ac:dyDescent="0.35">
      <c r="A57" t="s">
        <v>894</v>
      </c>
      <c r="B57">
        <v>47601</v>
      </c>
      <c r="C57" s="28">
        <v>10</v>
      </c>
    </row>
    <row r="58" spans="1:3" x14ac:dyDescent="0.35">
      <c r="A58" t="s">
        <v>905</v>
      </c>
      <c r="B58">
        <v>47601</v>
      </c>
      <c r="C58" s="28">
        <v>10</v>
      </c>
    </row>
    <row r="59" spans="1:3" x14ac:dyDescent="0.35">
      <c r="A59" t="s">
        <v>915</v>
      </c>
      <c r="B59">
        <v>47601</v>
      </c>
      <c r="C59" s="28">
        <v>11</v>
      </c>
    </row>
    <row r="60" spans="1:3" x14ac:dyDescent="0.35">
      <c r="A60" t="s">
        <v>929</v>
      </c>
      <c r="B60">
        <v>47601</v>
      </c>
      <c r="C60" s="28">
        <v>10</v>
      </c>
    </row>
    <row r="61" spans="1:3" x14ac:dyDescent="0.35">
      <c r="A61" t="s">
        <v>941</v>
      </c>
      <c r="B61">
        <v>47601</v>
      </c>
      <c r="C61" s="28">
        <v>12</v>
      </c>
    </row>
    <row r="62" spans="1:3" x14ac:dyDescent="0.35">
      <c r="A62" t="s">
        <v>941</v>
      </c>
      <c r="B62" t="s">
        <v>1026</v>
      </c>
      <c r="C62" s="28">
        <v>1</v>
      </c>
    </row>
    <row r="63" spans="1:3" x14ac:dyDescent="0.35">
      <c r="A63" t="s">
        <v>960</v>
      </c>
      <c r="B63">
        <v>47601</v>
      </c>
      <c r="C63" s="28">
        <v>13</v>
      </c>
    </row>
    <row r="64" spans="1:3" x14ac:dyDescent="0.35">
      <c r="A64" t="s">
        <v>960</v>
      </c>
      <c r="B64" t="s">
        <v>1026</v>
      </c>
      <c r="C64" s="28">
        <v>1</v>
      </c>
    </row>
    <row r="65" spans="1:3" x14ac:dyDescent="0.35">
      <c r="A65" t="s">
        <v>1006</v>
      </c>
      <c r="B65">
        <v>47601</v>
      </c>
      <c r="C65" s="28">
        <v>6</v>
      </c>
    </row>
    <row r="66" spans="1:3" x14ac:dyDescent="0.35">
      <c r="A66" t="s">
        <v>593</v>
      </c>
      <c r="B66">
        <v>48030</v>
      </c>
      <c r="C66" s="28">
        <v>1</v>
      </c>
    </row>
    <row r="67" spans="1:3" x14ac:dyDescent="0.35">
      <c r="A67" t="s">
        <v>593</v>
      </c>
      <c r="B67">
        <v>48040</v>
      </c>
      <c r="C67" s="28">
        <v>9</v>
      </c>
    </row>
    <row r="68" spans="1:3" x14ac:dyDescent="0.35">
      <c r="A68" t="s">
        <v>1007</v>
      </c>
      <c r="C68" s="28">
        <v>807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FE3A-30BA-4027-9595-F203B0D79B7F}">
  <sheetPr filterMode="1">
    <tabColor rgb="FF00B050"/>
  </sheetPr>
  <dimension ref="A1:D64"/>
  <sheetViews>
    <sheetView zoomScaleNormal="100" workbookViewId="0">
      <selection activeCell="D74" sqref="D74"/>
    </sheetView>
  </sheetViews>
  <sheetFormatPr defaultRowHeight="13.5" x14ac:dyDescent="0.35"/>
  <cols>
    <col min="1" max="1" width="11.125" bestFit="1" customWidth="1"/>
    <col min="2" max="2" width="15.75" customWidth="1"/>
    <col min="3" max="3" width="14.625" customWidth="1"/>
    <col min="4" max="4" width="36.875" customWidth="1"/>
  </cols>
  <sheetData>
    <row r="1" spans="1:4" ht="57.75" customHeight="1" x14ac:dyDescent="0.35">
      <c r="A1" s="67" t="s">
        <v>1010</v>
      </c>
      <c r="B1" s="67" t="s">
        <v>1027</v>
      </c>
      <c r="C1" s="67" t="s">
        <v>1029</v>
      </c>
      <c r="D1" s="68" t="s">
        <v>1030</v>
      </c>
    </row>
    <row r="2" spans="1:4" hidden="1" x14ac:dyDescent="0.35">
      <c r="A2" t="s">
        <v>34</v>
      </c>
      <c r="B2" s="29">
        <v>48040</v>
      </c>
      <c r="C2" s="29">
        <f>COUNTIF(A:A,A2)</f>
        <v>1</v>
      </c>
    </row>
    <row r="3" spans="1:4" x14ac:dyDescent="0.35">
      <c r="A3" s="65" t="s">
        <v>70</v>
      </c>
      <c r="B3" s="69">
        <v>48000</v>
      </c>
      <c r="C3" s="69">
        <f t="shared" ref="C3:C64" si="0">COUNTIF(A:A,A3)</f>
        <v>2</v>
      </c>
      <c r="D3" s="65" t="s">
        <v>1054</v>
      </c>
    </row>
    <row r="4" spans="1:4" hidden="1" x14ac:dyDescent="0.35">
      <c r="A4" t="s">
        <v>70</v>
      </c>
      <c r="B4" s="29">
        <v>48040</v>
      </c>
      <c r="C4" s="29">
        <f t="shared" si="0"/>
        <v>2</v>
      </c>
    </row>
    <row r="5" spans="1:4" hidden="1" x14ac:dyDescent="0.35">
      <c r="A5" t="s">
        <v>99</v>
      </c>
      <c r="B5" s="29">
        <v>48030</v>
      </c>
      <c r="C5" s="29">
        <f t="shared" si="0"/>
        <v>2</v>
      </c>
    </row>
    <row r="6" spans="1:4" x14ac:dyDescent="0.35">
      <c r="A6" s="65" t="s">
        <v>99</v>
      </c>
      <c r="B6" s="69">
        <v>48040</v>
      </c>
      <c r="C6" s="69">
        <f t="shared" si="0"/>
        <v>2</v>
      </c>
      <c r="D6" s="65" t="s">
        <v>1058</v>
      </c>
    </row>
    <row r="7" spans="1:4" hidden="1" x14ac:dyDescent="0.35">
      <c r="A7" s="65" t="s">
        <v>129</v>
      </c>
      <c r="B7" s="69">
        <v>48030</v>
      </c>
      <c r="C7" s="69">
        <f t="shared" si="0"/>
        <v>2</v>
      </c>
      <c r="D7" s="65" t="s">
        <v>1031</v>
      </c>
    </row>
    <row r="8" spans="1:4" hidden="1" x14ac:dyDescent="0.35">
      <c r="A8" s="65" t="s">
        <v>129</v>
      </c>
      <c r="B8" s="69">
        <v>48041</v>
      </c>
      <c r="C8" s="69">
        <f t="shared" si="0"/>
        <v>2</v>
      </c>
      <c r="D8" s="65" t="s">
        <v>1031</v>
      </c>
    </row>
    <row r="9" spans="1:4" hidden="1" x14ac:dyDescent="0.35">
      <c r="A9" t="s">
        <v>151</v>
      </c>
      <c r="B9" s="29">
        <v>48041</v>
      </c>
      <c r="C9" s="29">
        <f t="shared" si="0"/>
        <v>1</v>
      </c>
    </row>
    <row r="10" spans="1:4" hidden="1" x14ac:dyDescent="0.35">
      <c r="A10" t="s">
        <v>167</v>
      </c>
      <c r="B10" s="29">
        <v>48041</v>
      </c>
      <c r="C10" s="29">
        <f t="shared" si="0"/>
        <v>1</v>
      </c>
    </row>
    <row r="11" spans="1:4" hidden="1" x14ac:dyDescent="0.35">
      <c r="A11" t="s">
        <v>198</v>
      </c>
      <c r="B11" s="29">
        <v>48020</v>
      </c>
      <c r="C11" s="29">
        <f t="shared" si="0"/>
        <v>1</v>
      </c>
    </row>
    <row r="12" spans="1:4" hidden="1" x14ac:dyDescent="0.35">
      <c r="A12" t="s">
        <v>111</v>
      </c>
      <c r="B12" s="29">
        <v>48020</v>
      </c>
      <c r="C12" s="29">
        <f t="shared" si="0"/>
        <v>1</v>
      </c>
    </row>
    <row r="13" spans="1:4" hidden="1" x14ac:dyDescent="0.35">
      <c r="A13" t="s">
        <v>80</v>
      </c>
      <c r="B13" s="29">
        <v>48020</v>
      </c>
      <c r="C13" s="29">
        <f t="shared" si="0"/>
        <v>1</v>
      </c>
    </row>
    <row r="14" spans="1:4" x14ac:dyDescent="0.35">
      <c r="A14" s="65" t="s">
        <v>272</v>
      </c>
      <c r="B14" s="69">
        <v>48020</v>
      </c>
      <c r="C14" s="69">
        <f t="shared" si="0"/>
        <v>2</v>
      </c>
      <c r="D14" s="65" t="s">
        <v>1033</v>
      </c>
    </row>
    <row r="15" spans="1:4" hidden="1" x14ac:dyDescent="0.35">
      <c r="A15" t="s">
        <v>272</v>
      </c>
      <c r="B15" s="29">
        <v>48050</v>
      </c>
      <c r="C15" s="29">
        <f t="shared" si="0"/>
        <v>2</v>
      </c>
    </row>
    <row r="16" spans="1:4" hidden="1" x14ac:dyDescent="0.35">
      <c r="A16" t="s">
        <v>301</v>
      </c>
      <c r="B16" s="29">
        <v>48050</v>
      </c>
      <c r="C16" s="29">
        <f t="shared" si="0"/>
        <v>1</v>
      </c>
    </row>
    <row r="17" spans="1:4" hidden="1" x14ac:dyDescent="0.35">
      <c r="A17" t="s">
        <v>325</v>
      </c>
      <c r="B17" s="29">
        <v>48050</v>
      </c>
      <c r="C17" s="29">
        <f t="shared" si="0"/>
        <v>1</v>
      </c>
    </row>
    <row r="18" spans="1:4" hidden="1" x14ac:dyDescent="0.35">
      <c r="A18" t="s">
        <v>359</v>
      </c>
      <c r="B18" s="29">
        <v>48060</v>
      </c>
      <c r="C18" s="29">
        <f t="shared" si="0"/>
        <v>1</v>
      </c>
    </row>
    <row r="19" spans="1:4" hidden="1" x14ac:dyDescent="0.35">
      <c r="A19" t="s">
        <v>384</v>
      </c>
      <c r="B19" s="29">
        <v>48050</v>
      </c>
      <c r="C19" s="29">
        <f t="shared" si="0"/>
        <v>1</v>
      </c>
    </row>
    <row r="20" spans="1:4" hidden="1" x14ac:dyDescent="0.35">
      <c r="A20" s="65" t="s">
        <v>408</v>
      </c>
      <c r="B20" s="69">
        <v>48010</v>
      </c>
      <c r="C20" s="69">
        <f t="shared" si="0"/>
        <v>2</v>
      </c>
      <c r="D20" s="65" t="s">
        <v>1035</v>
      </c>
    </row>
    <row r="21" spans="1:4" hidden="1" x14ac:dyDescent="0.35">
      <c r="A21" t="s">
        <v>408</v>
      </c>
      <c r="B21" s="29">
        <v>48050</v>
      </c>
      <c r="C21" s="29">
        <f t="shared" si="0"/>
        <v>2</v>
      </c>
    </row>
    <row r="22" spans="1:4" hidden="1" x14ac:dyDescent="0.35">
      <c r="A22" t="s">
        <v>370</v>
      </c>
      <c r="B22" s="29">
        <v>48010</v>
      </c>
      <c r="C22" s="29">
        <f t="shared" si="0"/>
        <v>1</v>
      </c>
    </row>
    <row r="23" spans="1:4" x14ac:dyDescent="0.35">
      <c r="A23" s="65" t="s">
        <v>452</v>
      </c>
      <c r="B23" s="69">
        <v>48010</v>
      </c>
      <c r="C23" s="69">
        <f t="shared" si="0"/>
        <v>2</v>
      </c>
      <c r="D23" s="65" t="s">
        <v>1060</v>
      </c>
    </row>
    <row r="24" spans="1:4" hidden="1" x14ac:dyDescent="0.35">
      <c r="A24" t="s">
        <v>452</v>
      </c>
      <c r="B24" s="29">
        <v>48070</v>
      </c>
      <c r="C24" s="29">
        <f t="shared" si="0"/>
        <v>2</v>
      </c>
    </row>
    <row r="25" spans="1:4" hidden="1" x14ac:dyDescent="0.35">
      <c r="A25" t="s">
        <v>482</v>
      </c>
      <c r="B25" s="29">
        <v>48070</v>
      </c>
      <c r="C25" s="29">
        <f t="shared" si="0"/>
        <v>2</v>
      </c>
    </row>
    <row r="26" spans="1:4" hidden="1" x14ac:dyDescent="0.35">
      <c r="A26" s="65" t="s">
        <v>482</v>
      </c>
      <c r="B26" s="69" t="s">
        <v>1026</v>
      </c>
      <c r="C26" s="69">
        <f t="shared" si="0"/>
        <v>2</v>
      </c>
      <c r="D26" s="65" t="s">
        <v>1039</v>
      </c>
    </row>
    <row r="27" spans="1:4" hidden="1" x14ac:dyDescent="0.35">
      <c r="A27" t="s">
        <v>287</v>
      </c>
      <c r="B27" s="29">
        <v>48010</v>
      </c>
      <c r="C27" s="29">
        <f t="shared" si="0"/>
        <v>1</v>
      </c>
    </row>
    <row r="28" spans="1:4" hidden="1" x14ac:dyDescent="0.35">
      <c r="A28" t="s">
        <v>279</v>
      </c>
      <c r="B28" s="29">
        <v>48010</v>
      </c>
      <c r="C28" s="29">
        <f t="shared" si="0"/>
        <v>2</v>
      </c>
    </row>
    <row r="29" spans="1:4" x14ac:dyDescent="0.35">
      <c r="A29" s="65" t="s">
        <v>279</v>
      </c>
      <c r="B29" s="69">
        <v>48080</v>
      </c>
      <c r="C29" s="69">
        <f t="shared" si="0"/>
        <v>2</v>
      </c>
      <c r="D29" s="65" t="s">
        <v>1055</v>
      </c>
    </row>
    <row r="30" spans="1:4" hidden="1" x14ac:dyDescent="0.35">
      <c r="A30" t="s">
        <v>564</v>
      </c>
      <c r="B30" s="29">
        <v>48080</v>
      </c>
      <c r="C30" s="29">
        <f t="shared" si="0"/>
        <v>1</v>
      </c>
    </row>
    <row r="31" spans="1:4" x14ac:dyDescent="0.35">
      <c r="A31" s="65" t="s">
        <v>458</v>
      </c>
      <c r="B31" s="69">
        <v>48010</v>
      </c>
      <c r="C31" s="69">
        <f t="shared" si="0"/>
        <v>2</v>
      </c>
      <c r="D31" s="65" t="s">
        <v>1044</v>
      </c>
    </row>
    <row r="32" spans="1:4" hidden="1" x14ac:dyDescent="0.35">
      <c r="A32" t="s">
        <v>458</v>
      </c>
      <c r="B32" s="29">
        <v>48090</v>
      </c>
      <c r="C32" s="29">
        <f t="shared" si="0"/>
        <v>2</v>
      </c>
    </row>
    <row r="33" spans="1:4" ht="13.5" hidden="1" customHeight="1" x14ac:dyDescent="0.35">
      <c r="A33" s="65" t="s">
        <v>437</v>
      </c>
      <c r="B33" s="69">
        <v>48010</v>
      </c>
      <c r="C33" s="69">
        <f t="shared" si="0"/>
        <v>2</v>
      </c>
      <c r="D33" s="65" t="s">
        <v>1046</v>
      </c>
    </row>
    <row r="34" spans="1:4" hidden="1" x14ac:dyDescent="0.35">
      <c r="A34" t="s">
        <v>437</v>
      </c>
      <c r="B34" s="29">
        <v>48090</v>
      </c>
      <c r="C34" s="29">
        <f t="shared" si="0"/>
        <v>2</v>
      </c>
    </row>
    <row r="35" spans="1:4" hidden="1" x14ac:dyDescent="0.35">
      <c r="A35" s="65" t="s">
        <v>174</v>
      </c>
      <c r="B35" s="69">
        <v>48000</v>
      </c>
      <c r="C35" s="69">
        <f t="shared" si="0"/>
        <v>2</v>
      </c>
      <c r="D35" s="65" t="s">
        <v>1048</v>
      </c>
    </row>
    <row r="36" spans="1:4" hidden="1" x14ac:dyDescent="0.35">
      <c r="A36" t="s">
        <v>174</v>
      </c>
      <c r="B36" s="29">
        <v>48080</v>
      </c>
      <c r="C36" s="29">
        <f t="shared" si="0"/>
        <v>2</v>
      </c>
    </row>
    <row r="37" spans="1:4" hidden="1" x14ac:dyDescent="0.35">
      <c r="A37" s="65" t="s">
        <v>242</v>
      </c>
      <c r="B37" s="69">
        <v>48000</v>
      </c>
      <c r="C37" s="69">
        <f t="shared" si="0"/>
        <v>3</v>
      </c>
      <c r="D37" s="65" t="s">
        <v>1052</v>
      </c>
    </row>
    <row r="38" spans="1:4" hidden="1" x14ac:dyDescent="0.35">
      <c r="A38" t="s">
        <v>242</v>
      </c>
      <c r="B38" s="29">
        <v>48080</v>
      </c>
      <c r="C38" s="29">
        <f t="shared" si="0"/>
        <v>3</v>
      </c>
    </row>
    <row r="39" spans="1:4" hidden="1" x14ac:dyDescent="0.35">
      <c r="A39" s="65" t="s">
        <v>242</v>
      </c>
      <c r="B39" s="69">
        <v>48090</v>
      </c>
      <c r="C39" s="69">
        <f t="shared" si="0"/>
        <v>3</v>
      </c>
      <c r="D39" s="65" t="s">
        <v>1050</v>
      </c>
    </row>
    <row r="40" spans="1:4" hidden="1" x14ac:dyDescent="0.35">
      <c r="A40" t="s">
        <v>672</v>
      </c>
      <c r="B40" s="29">
        <v>48000</v>
      </c>
      <c r="C40" s="29">
        <f t="shared" si="0"/>
        <v>1</v>
      </c>
    </row>
    <row r="41" spans="1:4" hidden="1" x14ac:dyDescent="0.35">
      <c r="A41" t="s">
        <v>75</v>
      </c>
      <c r="B41" s="29">
        <v>48000</v>
      </c>
      <c r="C41" s="29">
        <f t="shared" si="0"/>
        <v>1</v>
      </c>
    </row>
    <row r="42" spans="1:4" hidden="1" x14ac:dyDescent="0.35">
      <c r="A42" t="s">
        <v>722</v>
      </c>
      <c r="B42" s="29">
        <v>48000</v>
      </c>
      <c r="C42" s="29">
        <f t="shared" si="0"/>
        <v>1</v>
      </c>
    </row>
    <row r="43" spans="1:4" hidden="1" x14ac:dyDescent="0.35">
      <c r="A43" t="s">
        <v>48</v>
      </c>
      <c r="B43" s="29">
        <v>48000</v>
      </c>
      <c r="C43" s="29">
        <f t="shared" si="0"/>
        <v>1</v>
      </c>
    </row>
    <row r="44" spans="1:4" hidden="1" x14ac:dyDescent="0.35">
      <c r="A44" t="s">
        <v>765</v>
      </c>
      <c r="B44" s="29">
        <v>47601</v>
      </c>
      <c r="C44" s="29">
        <f t="shared" si="0"/>
        <v>1</v>
      </c>
    </row>
    <row r="45" spans="1:4" hidden="1" x14ac:dyDescent="0.35">
      <c r="A45" t="s">
        <v>779</v>
      </c>
      <c r="B45" s="29">
        <v>47601</v>
      </c>
      <c r="C45" s="29">
        <f t="shared" si="0"/>
        <v>1</v>
      </c>
    </row>
    <row r="46" spans="1:4" hidden="1" x14ac:dyDescent="0.35">
      <c r="A46" t="s">
        <v>795</v>
      </c>
      <c r="B46" s="29">
        <v>47601</v>
      </c>
      <c r="C46" s="29">
        <f t="shared" si="0"/>
        <v>1</v>
      </c>
    </row>
    <row r="47" spans="1:4" hidden="1" x14ac:dyDescent="0.35">
      <c r="A47" t="s">
        <v>808</v>
      </c>
      <c r="B47" s="29">
        <v>47601</v>
      </c>
      <c r="C47" s="29">
        <f t="shared" si="0"/>
        <v>1</v>
      </c>
    </row>
    <row r="48" spans="1:4" hidden="1" x14ac:dyDescent="0.35">
      <c r="A48" t="s">
        <v>818</v>
      </c>
      <c r="B48" s="29">
        <v>47601</v>
      </c>
      <c r="C48" s="29">
        <f t="shared" si="0"/>
        <v>1</v>
      </c>
    </row>
    <row r="49" spans="1:4" hidden="1" x14ac:dyDescent="0.35">
      <c r="A49" t="s">
        <v>829</v>
      </c>
      <c r="B49" s="29">
        <v>47601</v>
      </c>
      <c r="C49" s="29">
        <f t="shared" si="0"/>
        <v>1</v>
      </c>
    </row>
    <row r="50" spans="1:4" hidden="1" x14ac:dyDescent="0.35">
      <c r="A50" t="s">
        <v>839</v>
      </c>
      <c r="B50" s="29">
        <v>47601</v>
      </c>
      <c r="C50" s="29">
        <f t="shared" si="0"/>
        <v>1</v>
      </c>
    </row>
    <row r="51" spans="1:4" hidden="1" x14ac:dyDescent="0.35">
      <c r="A51" t="s">
        <v>856</v>
      </c>
      <c r="B51" s="29">
        <v>47601</v>
      </c>
      <c r="C51" s="29">
        <f t="shared" si="0"/>
        <v>1</v>
      </c>
    </row>
    <row r="52" spans="1:4" hidden="1" x14ac:dyDescent="0.35">
      <c r="A52" t="s">
        <v>867</v>
      </c>
      <c r="B52" s="29">
        <v>47601</v>
      </c>
      <c r="C52" s="29">
        <f t="shared" si="0"/>
        <v>1</v>
      </c>
    </row>
    <row r="53" spans="1:4" hidden="1" x14ac:dyDescent="0.35">
      <c r="A53" t="s">
        <v>880</v>
      </c>
      <c r="B53" s="29">
        <v>47601</v>
      </c>
      <c r="C53" s="29">
        <f t="shared" si="0"/>
        <v>1</v>
      </c>
    </row>
    <row r="54" spans="1:4" hidden="1" x14ac:dyDescent="0.35">
      <c r="A54" t="s">
        <v>894</v>
      </c>
      <c r="B54" s="29">
        <v>47601</v>
      </c>
      <c r="C54" s="29">
        <f t="shared" si="0"/>
        <v>1</v>
      </c>
    </row>
    <row r="55" spans="1:4" hidden="1" x14ac:dyDescent="0.35">
      <c r="A55" t="s">
        <v>905</v>
      </c>
      <c r="B55" s="29">
        <v>47601</v>
      </c>
      <c r="C55" s="29">
        <f t="shared" si="0"/>
        <v>1</v>
      </c>
    </row>
    <row r="56" spans="1:4" hidden="1" x14ac:dyDescent="0.35">
      <c r="A56" t="s">
        <v>915</v>
      </c>
      <c r="B56" s="29">
        <v>47601</v>
      </c>
      <c r="C56" s="29">
        <f t="shared" si="0"/>
        <v>1</v>
      </c>
    </row>
    <row r="57" spans="1:4" hidden="1" x14ac:dyDescent="0.35">
      <c r="A57" t="s">
        <v>929</v>
      </c>
      <c r="B57" s="29">
        <v>47601</v>
      </c>
      <c r="C57" s="29">
        <f t="shared" si="0"/>
        <v>1</v>
      </c>
    </row>
    <row r="58" spans="1:4" hidden="1" x14ac:dyDescent="0.35">
      <c r="A58" t="s">
        <v>941</v>
      </c>
      <c r="B58" s="29">
        <v>47601</v>
      </c>
      <c r="C58" s="29">
        <f t="shared" si="0"/>
        <v>2</v>
      </c>
    </row>
    <row r="59" spans="1:4" hidden="1" x14ac:dyDescent="0.35">
      <c r="A59" s="65" t="s">
        <v>941</v>
      </c>
      <c r="B59" s="69" t="s">
        <v>1026</v>
      </c>
      <c r="C59" s="69">
        <f t="shared" si="0"/>
        <v>2</v>
      </c>
      <c r="D59" s="65" t="s">
        <v>1039</v>
      </c>
    </row>
    <row r="60" spans="1:4" hidden="1" x14ac:dyDescent="0.35">
      <c r="A60" t="s">
        <v>960</v>
      </c>
      <c r="B60" s="29">
        <v>47601</v>
      </c>
      <c r="C60" s="29">
        <f t="shared" si="0"/>
        <v>2</v>
      </c>
    </row>
    <row r="61" spans="1:4" hidden="1" x14ac:dyDescent="0.35">
      <c r="A61" s="65" t="s">
        <v>960</v>
      </c>
      <c r="B61" s="69" t="s">
        <v>1026</v>
      </c>
      <c r="C61" s="69">
        <f t="shared" si="0"/>
        <v>2</v>
      </c>
      <c r="D61" s="65" t="s">
        <v>1039</v>
      </c>
    </row>
    <row r="62" spans="1:4" hidden="1" x14ac:dyDescent="0.35">
      <c r="A62" t="s">
        <v>1006</v>
      </c>
      <c r="B62" s="29">
        <v>47601</v>
      </c>
      <c r="C62" s="29">
        <f t="shared" si="0"/>
        <v>1</v>
      </c>
    </row>
    <row r="63" spans="1:4" hidden="1" x14ac:dyDescent="0.35">
      <c r="A63" t="s">
        <v>593</v>
      </c>
      <c r="B63" s="29">
        <v>48030</v>
      </c>
      <c r="C63" s="29">
        <f t="shared" si="0"/>
        <v>2</v>
      </c>
    </row>
    <row r="64" spans="1:4" hidden="1" x14ac:dyDescent="0.35">
      <c r="A64" s="65" t="s">
        <v>593</v>
      </c>
      <c r="B64" s="69">
        <v>48040</v>
      </c>
      <c r="C64" s="69">
        <f t="shared" si="0"/>
        <v>2</v>
      </c>
      <c r="D64" s="65" t="s">
        <v>1057</v>
      </c>
    </row>
  </sheetData>
  <autoFilter ref="A1:D64" xr:uid="{E9E7FE3A-30BA-4027-9595-F203B0D79B7F}">
    <filterColumn colId="3">
      <filters>
        <filter val="3 CRAN sites :S1_CL20 -&gt;S1_CL21"/>
        <filter val="TGCG12:48020 -&gt;48050"/>
        <filter val="TGCT39: S1_CL22 -&gt;S1_CL19"/>
        <filter val="TGCTX2 CRAN:48010 -&gt;48070"/>
        <filter val="TGGD40:S1_CL03 -&gt;S1_CL02"/>
        <filter val="TGGD50:48000 -&gt;48040"/>
      </filters>
    </filterColumn>
  </autoFilter>
  <phoneticPr fontId="4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6919-D72E-4B97-9258-D7DEF9B407A1}">
  <dimension ref="A1:F16"/>
  <sheetViews>
    <sheetView zoomScaleNormal="100" workbookViewId="0">
      <selection activeCell="E2" sqref="E2"/>
    </sheetView>
  </sheetViews>
  <sheetFormatPr defaultRowHeight="13.5" x14ac:dyDescent="0.35"/>
  <cols>
    <col min="1" max="1" width="9.125" bestFit="1" customWidth="1"/>
    <col min="3" max="3" width="13.125" bestFit="1" customWidth="1"/>
    <col min="4" max="4" width="33.25" hidden="1" customWidth="1"/>
    <col min="5" max="5" width="33.25" bestFit="1" customWidth="1"/>
  </cols>
  <sheetData>
    <row r="1" spans="1:6" ht="48.75" customHeight="1" x14ac:dyDescent="0.35">
      <c r="A1" s="71" t="s">
        <v>1010</v>
      </c>
      <c r="B1" s="71" t="s">
        <v>1027</v>
      </c>
      <c r="C1" s="71" t="s">
        <v>1028</v>
      </c>
      <c r="D1" s="71" t="s">
        <v>1067</v>
      </c>
      <c r="E1" s="71" t="s">
        <v>1068</v>
      </c>
      <c r="F1" s="71" t="s">
        <v>1080</v>
      </c>
    </row>
    <row r="2" spans="1:6" x14ac:dyDescent="0.35">
      <c r="A2" s="1" t="s">
        <v>70</v>
      </c>
      <c r="B2">
        <v>48000</v>
      </c>
      <c r="C2">
        <v>2</v>
      </c>
      <c r="D2" t="s">
        <v>1065</v>
      </c>
      <c r="E2" t="s">
        <v>1061</v>
      </c>
    </row>
    <row r="3" spans="1:6" x14ac:dyDescent="0.35">
      <c r="A3" t="s">
        <v>99</v>
      </c>
      <c r="B3">
        <v>48040</v>
      </c>
      <c r="C3">
        <v>2</v>
      </c>
      <c r="D3" t="s">
        <v>1066</v>
      </c>
      <c r="E3" t="s">
        <v>1062</v>
      </c>
    </row>
    <row r="4" spans="1:6" x14ac:dyDescent="0.35">
      <c r="A4" t="s">
        <v>272</v>
      </c>
      <c r="B4">
        <v>48020</v>
      </c>
      <c r="C4">
        <v>2</v>
      </c>
      <c r="D4" t="s">
        <v>1032</v>
      </c>
      <c r="E4" t="s">
        <v>1063</v>
      </c>
    </row>
    <row r="5" spans="1:6" x14ac:dyDescent="0.35">
      <c r="A5" t="s">
        <v>408</v>
      </c>
      <c r="B5">
        <v>48010</v>
      </c>
      <c r="C5">
        <v>2</v>
      </c>
      <c r="D5" t="s">
        <v>1034</v>
      </c>
      <c r="E5" t="s">
        <v>1064</v>
      </c>
    </row>
    <row r="6" spans="1:6" x14ac:dyDescent="0.35">
      <c r="A6" t="s">
        <v>452</v>
      </c>
      <c r="B6">
        <v>48010</v>
      </c>
      <c r="C6">
        <v>2</v>
      </c>
      <c r="D6" t="s">
        <v>1059</v>
      </c>
      <c r="E6" t="s">
        <v>1069</v>
      </c>
    </row>
    <row r="7" spans="1:6" x14ac:dyDescent="0.35">
      <c r="A7" t="s">
        <v>482</v>
      </c>
      <c r="B7" t="s">
        <v>1026</v>
      </c>
      <c r="C7">
        <v>2</v>
      </c>
      <c r="D7" t="s">
        <v>1038</v>
      </c>
      <c r="E7" t="s">
        <v>1075</v>
      </c>
    </row>
    <row r="8" spans="1:6" x14ac:dyDescent="0.35">
      <c r="A8" t="s">
        <v>279</v>
      </c>
      <c r="B8">
        <v>48080</v>
      </c>
      <c r="C8">
        <v>2</v>
      </c>
      <c r="D8" t="s">
        <v>1042</v>
      </c>
      <c r="E8" t="s">
        <v>1076</v>
      </c>
    </row>
    <row r="9" spans="1:6" x14ac:dyDescent="0.35">
      <c r="A9" t="s">
        <v>458</v>
      </c>
      <c r="B9">
        <v>48010</v>
      </c>
      <c r="C9">
        <v>2</v>
      </c>
      <c r="D9" t="s">
        <v>1043</v>
      </c>
      <c r="E9" t="s">
        <v>1070</v>
      </c>
    </row>
    <row r="10" spans="1:6" x14ac:dyDescent="0.35">
      <c r="A10" t="s">
        <v>437</v>
      </c>
      <c r="B10">
        <v>48010</v>
      </c>
      <c r="C10">
        <v>2</v>
      </c>
      <c r="D10" t="s">
        <v>1045</v>
      </c>
      <c r="E10" t="s">
        <v>1071</v>
      </c>
    </row>
    <row r="11" spans="1:6" x14ac:dyDescent="0.35">
      <c r="A11" t="s">
        <v>174</v>
      </c>
      <c r="B11">
        <v>48000</v>
      </c>
      <c r="C11">
        <v>2</v>
      </c>
      <c r="D11" t="s">
        <v>1047</v>
      </c>
      <c r="E11" t="s">
        <v>1072</v>
      </c>
    </row>
    <row r="12" spans="1:6" x14ac:dyDescent="0.35">
      <c r="A12" t="s">
        <v>242</v>
      </c>
      <c r="B12">
        <v>48000</v>
      </c>
      <c r="C12">
        <v>3</v>
      </c>
      <c r="D12" t="s">
        <v>1051</v>
      </c>
      <c r="E12" t="s">
        <v>1073</v>
      </c>
    </row>
    <row r="13" spans="1:6" x14ac:dyDescent="0.35">
      <c r="A13" t="s">
        <v>242</v>
      </c>
      <c r="B13">
        <v>48090</v>
      </c>
      <c r="C13">
        <v>3</v>
      </c>
      <c r="D13" t="s">
        <v>1049</v>
      </c>
      <c r="E13" t="s">
        <v>1074</v>
      </c>
    </row>
    <row r="14" spans="1:6" x14ac:dyDescent="0.35">
      <c r="A14" t="s">
        <v>941</v>
      </c>
      <c r="B14" t="s">
        <v>1026</v>
      </c>
      <c r="C14">
        <v>2</v>
      </c>
      <c r="D14" t="s">
        <v>1038</v>
      </c>
      <c r="E14" t="s">
        <v>1077</v>
      </c>
    </row>
    <row r="15" spans="1:6" x14ac:dyDescent="0.35">
      <c r="A15" t="s">
        <v>960</v>
      </c>
      <c r="B15" t="s">
        <v>1026</v>
      </c>
      <c r="C15">
        <v>2</v>
      </c>
      <c r="D15" t="s">
        <v>1038</v>
      </c>
      <c r="E15" t="s">
        <v>1078</v>
      </c>
    </row>
    <row r="16" spans="1:6" x14ac:dyDescent="0.35">
      <c r="A16" t="s">
        <v>593</v>
      </c>
      <c r="B16">
        <v>48040</v>
      </c>
      <c r="C16">
        <v>2</v>
      </c>
      <c r="D16" t="s">
        <v>1056</v>
      </c>
      <c r="E16" t="s">
        <v>1053</v>
      </c>
    </row>
  </sheetData>
  <phoneticPr fontId="4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174D-7F27-459F-ADB4-C1BE3B7B210B}">
  <dimension ref="A3:B22"/>
  <sheetViews>
    <sheetView workbookViewId="0">
      <selection activeCell="H26" sqref="H26"/>
    </sheetView>
  </sheetViews>
  <sheetFormatPr defaultRowHeight="13.5" x14ac:dyDescent="0.35"/>
  <cols>
    <col min="1" max="1" width="8.5" bestFit="1" customWidth="1"/>
    <col min="2" max="2" width="12.125" bestFit="1" customWidth="1"/>
  </cols>
  <sheetData>
    <row r="3" spans="1:2" x14ac:dyDescent="0.35">
      <c r="A3" s="27" t="s">
        <v>1112</v>
      </c>
      <c r="B3" t="s">
        <v>1115</v>
      </c>
    </row>
    <row r="4" spans="1:2" x14ac:dyDescent="0.35">
      <c r="A4" s="83" t="s">
        <v>1093</v>
      </c>
      <c r="B4" s="28">
        <v>10</v>
      </c>
    </row>
    <row r="5" spans="1:2" x14ac:dyDescent="0.35">
      <c r="A5" s="83" t="s">
        <v>1096</v>
      </c>
      <c r="B5" s="28">
        <v>18</v>
      </c>
    </row>
    <row r="6" spans="1:2" x14ac:dyDescent="0.35">
      <c r="A6" s="83" t="s">
        <v>1095</v>
      </c>
      <c r="B6" s="28">
        <v>20</v>
      </c>
    </row>
    <row r="7" spans="1:2" x14ac:dyDescent="0.35">
      <c r="A7" s="83" t="s">
        <v>1097</v>
      </c>
      <c r="B7" s="28">
        <v>42</v>
      </c>
    </row>
    <row r="8" spans="1:2" x14ac:dyDescent="0.35">
      <c r="A8" s="83" t="s">
        <v>1098</v>
      </c>
      <c r="B8" s="28">
        <v>38</v>
      </c>
    </row>
    <row r="9" spans="1:2" x14ac:dyDescent="0.35">
      <c r="A9" s="83" t="s">
        <v>1099</v>
      </c>
      <c r="B9" s="28">
        <v>58</v>
      </c>
    </row>
    <row r="10" spans="1:2" x14ac:dyDescent="0.35">
      <c r="A10" s="83" t="s">
        <v>1100</v>
      </c>
      <c r="B10" s="28">
        <v>40</v>
      </c>
    </row>
    <row r="11" spans="1:2" x14ac:dyDescent="0.35">
      <c r="A11" s="83" t="s">
        <v>1101</v>
      </c>
      <c r="B11" s="28">
        <v>54</v>
      </c>
    </row>
    <row r="12" spans="1:2" x14ac:dyDescent="0.35">
      <c r="A12" s="83" t="s">
        <v>1102</v>
      </c>
      <c r="B12" s="28">
        <v>57</v>
      </c>
    </row>
    <row r="13" spans="1:2" x14ac:dyDescent="0.35">
      <c r="A13" s="83" t="s">
        <v>1103</v>
      </c>
      <c r="B13" s="28">
        <v>65</v>
      </c>
    </row>
    <row r="14" spans="1:2" x14ac:dyDescent="0.35">
      <c r="A14" s="83" t="s">
        <v>1105</v>
      </c>
      <c r="B14" s="28">
        <v>70</v>
      </c>
    </row>
    <row r="15" spans="1:2" x14ac:dyDescent="0.35">
      <c r="A15" s="83" t="s">
        <v>1106</v>
      </c>
      <c r="B15" s="28">
        <v>67</v>
      </c>
    </row>
    <row r="16" spans="1:2" x14ac:dyDescent="0.35">
      <c r="A16" s="83" t="s">
        <v>1111</v>
      </c>
      <c r="B16" s="28">
        <v>68</v>
      </c>
    </row>
    <row r="17" spans="1:2" x14ac:dyDescent="0.35">
      <c r="A17" s="83" t="s">
        <v>1109</v>
      </c>
      <c r="B17" s="28">
        <v>64</v>
      </c>
    </row>
    <row r="18" spans="1:2" x14ac:dyDescent="0.35">
      <c r="A18" s="83" t="s">
        <v>1107</v>
      </c>
      <c r="B18" s="28">
        <v>72</v>
      </c>
    </row>
    <row r="19" spans="1:2" x14ac:dyDescent="0.35">
      <c r="A19" s="83" t="s">
        <v>1110</v>
      </c>
      <c r="B19" s="28">
        <v>21</v>
      </c>
    </row>
    <row r="20" spans="1:2" x14ac:dyDescent="0.35">
      <c r="A20" s="83" t="s">
        <v>1108</v>
      </c>
      <c r="B20" s="28">
        <v>43</v>
      </c>
    </row>
    <row r="21" spans="1:2" x14ac:dyDescent="0.35">
      <c r="A21" s="83" t="s">
        <v>1113</v>
      </c>
      <c r="B21" s="28"/>
    </row>
    <row r="22" spans="1:2" x14ac:dyDescent="0.35">
      <c r="A22" s="83" t="s">
        <v>1114</v>
      </c>
      <c r="B22" s="28">
        <v>807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C1D3-5AB9-4B89-9EAB-D6AF65069695}">
  <sheetPr>
    <tabColor rgb="FFFF0000"/>
  </sheetPr>
  <dimension ref="A1:AB823"/>
  <sheetViews>
    <sheetView tabSelected="1" topLeftCell="D1" zoomScaleNormal="100" workbookViewId="0">
      <pane ySplit="1" topLeftCell="A700" activePane="bottomLeft" state="frozen"/>
      <selection pane="bottomLeft" activeCell="U708" sqref="U708"/>
    </sheetView>
  </sheetViews>
  <sheetFormatPr defaultColWidth="9" defaultRowHeight="13.5" x14ac:dyDescent="0.3"/>
  <cols>
    <col min="1" max="1" width="9.125" style="15" customWidth="1"/>
    <col min="2" max="2" width="19.125" style="15" customWidth="1"/>
    <col min="3" max="3" width="11.75" style="15" customWidth="1"/>
    <col min="4" max="4" width="13.125" style="15" customWidth="1"/>
    <col min="5" max="5" width="13.125" style="13" customWidth="1"/>
    <col min="6" max="6" width="10.875" style="13" customWidth="1"/>
    <col min="7" max="11" width="11.875" style="15" hidden="1" customWidth="1"/>
    <col min="12" max="13" width="11.875" style="15" customWidth="1"/>
    <col min="14" max="15" width="11.875" style="15" hidden="1" customWidth="1"/>
    <col min="16" max="16" width="11.875" style="16" hidden="1" customWidth="1"/>
    <col min="17" max="17" width="11.875" style="13" customWidth="1"/>
    <col min="18" max="18" width="11.875" style="15" hidden="1" customWidth="1"/>
    <col min="19" max="19" width="11.75" style="13" customWidth="1"/>
    <col min="20" max="20" width="19.875" style="18" customWidth="1"/>
    <col min="21" max="21" width="74" style="13" customWidth="1"/>
    <col min="22" max="22" width="14" style="19" customWidth="1"/>
    <col min="23" max="23" width="17.875" style="20" customWidth="1"/>
    <col min="24" max="24" width="11.75" style="19" customWidth="1"/>
    <col min="25" max="25" width="17.25" style="19" customWidth="1"/>
    <col min="26" max="16384" width="9" style="21"/>
  </cols>
  <sheetData>
    <row r="1" spans="1:28" ht="84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5" t="s">
        <v>1004</v>
      </c>
      <c r="M1" s="5" t="s">
        <v>1005</v>
      </c>
      <c r="N1" s="5" t="s">
        <v>11</v>
      </c>
      <c r="O1" s="5" t="s">
        <v>12</v>
      </c>
      <c r="P1" s="5" t="s">
        <v>13</v>
      </c>
      <c r="Q1" s="6" t="s">
        <v>14</v>
      </c>
      <c r="R1" s="7" t="s">
        <v>15</v>
      </c>
      <c r="S1" s="8" t="s">
        <v>16</v>
      </c>
      <c r="T1" s="9" t="s">
        <v>1000</v>
      </c>
      <c r="U1" s="26" t="s">
        <v>1087</v>
      </c>
      <c r="V1" s="10" t="s">
        <v>17</v>
      </c>
      <c r="W1" s="11" t="s">
        <v>18</v>
      </c>
      <c r="X1" s="10" t="s">
        <v>19</v>
      </c>
      <c r="Y1" s="12" t="s">
        <v>1003</v>
      </c>
      <c r="Z1" s="81" t="s">
        <v>1090</v>
      </c>
      <c r="AA1" s="81" t="b">
        <v>1</v>
      </c>
      <c r="AB1" s="81" t="s">
        <v>1117</v>
      </c>
    </row>
    <row r="2" spans="1:28" ht="13.9" customHeight="1" x14ac:dyDescent="0.3">
      <c r="A2" s="30" t="s">
        <v>20</v>
      </c>
      <c r="B2" s="30" t="s">
        <v>21</v>
      </c>
      <c r="C2" s="30" t="s">
        <v>22</v>
      </c>
      <c r="D2" s="30" t="s">
        <v>23</v>
      </c>
      <c r="E2" s="30" t="s">
        <v>24</v>
      </c>
      <c r="F2" s="31" t="s">
        <v>25</v>
      </c>
      <c r="G2" s="30" t="s">
        <v>26</v>
      </c>
      <c r="H2" s="30" t="s">
        <v>27</v>
      </c>
      <c r="I2" s="30">
        <v>3</v>
      </c>
      <c r="J2" s="30"/>
      <c r="K2" s="30"/>
      <c r="L2" s="32">
        <v>106.72176</v>
      </c>
      <c r="M2" s="32">
        <v>10.360099999999999</v>
      </c>
      <c r="N2" s="32" t="s">
        <v>28</v>
      </c>
      <c r="O2" s="33" t="s">
        <v>29</v>
      </c>
      <c r="P2" s="30" t="s">
        <v>30</v>
      </c>
      <c r="Q2" s="30" t="s">
        <v>31</v>
      </c>
      <c r="R2" s="34" t="s">
        <v>32</v>
      </c>
      <c r="S2" s="35">
        <v>48040</v>
      </c>
      <c r="T2" s="36" t="s">
        <v>34</v>
      </c>
      <c r="U2" s="30" t="s">
        <v>34</v>
      </c>
      <c r="V2" s="37" t="e">
        <v>#N/A</v>
      </c>
      <c r="W2" s="31" t="s">
        <v>33</v>
      </c>
      <c r="X2" s="37"/>
      <c r="Y2" s="37">
        <f>COUNTIF(F:F,F2)</f>
        <v>1</v>
      </c>
      <c r="Z2" s="21" t="s">
        <v>1104</v>
      </c>
      <c r="AA2" s="21" t="s">
        <v>34</v>
      </c>
      <c r="AB2" s="21" t="s">
        <v>1118</v>
      </c>
    </row>
    <row r="3" spans="1:28" ht="13.9" customHeight="1" x14ac:dyDescent="0.3">
      <c r="A3" s="30" t="s">
        <v>20</v>
      </c>
      <c r="B3" s="30" t="s">
        <v>21</v>
      </c>
      <c r="C3" s="30" t="s">
        <v>22</v>
      </c>
      <c r="D3" s="30" t="s">
        <v>23</v>
      </c>
      <c r="E3" s="30" t="s">
        <v>62</v>
      </c>
      <c r="F3" s="31" t="s">
        <v>62</v>
      </c>
      <c r="G3" s="30" t="s">
        <v>26</v>
      </c>
      <c r="H3" s="30" t="s">
        <v>27</v>
      </c>
      <c r="I3" s="30">
        <v>3</v>
      </c>
      <c r="J3" s="30"/>
      <c r="K3" s="30"/>
      <c r="L3" s="32">
        <v>106.7573</v>
      </c>
      <c r="M3" s="32">
        <v>10.3515</v>
      </c>
      <c r="N3" s="32" t="s">
        <v>28</v>
      </c>
      <c r="O3" s="33" t="s">
        <v>29</v>
      </c>
      <c r="P3" s="30" t="s">
        <v>60</v>
      </c>
      <c r="Q3" s="30" t="s">
        <v>31</v>
      </c>
      <c r="R3" s="34" t="s">
        <v>32</v>
      </c>
      <c r="S3" s="35">
        <v>48040</v>
      </c>
      <c r="T3" s="36" t="s">
        <v>34</v>
      </c>
      <c r="U3" s="30" t="s">
        <v>34</v>
      </c>
      <c r="V3" s="37" t="e">
        <v>#N/A</v>
      </c>
      <c r="W3" s="31" t="s">
        <v>33</v>
      </c>
      <c r="X3" s="37" t="s">
        <v>42</v>
      </c>
      <c r="Y3" s="37">
        <f>COUNTIF(F:F,F3)</f>
        <v>2</v>
      </c>
      <c r="Z3" s="21" t="s">
        <v>1104</v>
      </c>
      <c r="AA3" s="21" t="s">
        <v>34</v>
      </c>
      <c r="AB3" s="21" t="s">
        <v>1118</v>
      </c>
    </row>
    <row r="4" spans="1:28" ht="14.65" customHeight="1" x14ac:dyDescent="0.3">
      <c r="A4" s="36" t="s">
        <v>20</v>
      </c>
      <c r="B4" s="36" t="s">
        <v>21</v>
      </c>
      <c r="C4" s="36" t="s">
        <v>22</v>
      </c>
      <c r="D4" s="36" t="s">
        <v>23</v>
      </c>
      <c r="E4" s="36" t="s">
        <v>61</v>
      </c>
      <c r="F4" s="31" t="s">
        <v>62</v>
      </c>
      <c r="G4" s="36" t="s">
        <v>26</v>
      </c>
      <c r="H4" s="36" t="s">
        <v>27</v>
      </c>
      <c r="I4" s="36">
        <v>3</v>
      </c>
      <c r="J4" s="36"/>
      <c r="K4" s="36"/>
      <c r="L4" s="38">
        <v>106.78039</v>
      </c>
      <c r="M4" s="38">
        <v>10.358712000000001</v>
      </c>
      <c r="N4" s="38" t="s">
        <v>28</v>
      </c>
      <c r="O4" s="39" t="s">
        <v>29</v>
      </c>
      <c r="P4" s="36" t="s">
        <v>30</v>
      </c>
      <c r="Q4" s="30" t="s">
        <v>31</v>
      </c>
      <c r="R4" s="40" t="s">
        <v>32</v>
      </c>
      <c r="S4" s="35">
        <v>48040</v>
      </c>
      <c r="T4" s="36" t="s">
        <v>34</v>
      </c>
      <c r="U4" s="30" t="s">
        <v>34</v>
      </c>
      <c r="V4" s="37" t="e">
        <v>#N/A</v>
      </c>
      <c r="W4" s="31" t="s">
        <v>63</v>
      </c>
      <c r="X4" s="37" t="s">
        <v>52</v>
      </c>
      <c r="Y4" s="37">
        <f>COUNTIF(F:F,F4)</f>
        <v>2</v>
      </c>
      <c r="Z4" s="21" t="s">
        <v>1104</v>
      </c>
      <c r="AA4" s="21" t="s">
        <v>34</v>
      </c>
      <c r="AB4" s="21" t="s">
        <v>1118</v>
      </c>
    </row>
    <row r="5" spans="1:28" ht="13.9" customHeight="1" x14ac:dyDescent="0.3">
      <c r="A5" s="30" t="s">
        <v>20</v>
      </c>
      <c r="B5" s="30" t="s">
        <v>21</v>
      </c>
      <c r="C5" s="30" t="s">
        <v>22</v>
      </c>
      <c r="D5" s="30" t="s">
        <v>23</v>
      </c>
      <c r="E5" s="30" t="s">
        <v>35</v>
      </c>
      <c r="F5" s="31" t="s">
        <v>35</v>
      </c>
      <c r="G5" s="30" t="s">
        <v>26</v>
      </c>
      <c r="H5" s="30" t="s">
        <v>36</v>
      </c>
      <c r="I5" s="30">
        <v>3</v>
      </c>
      <c r="J5" s="30" t="s">
        <v>37</v>
      </c>
      <c r="K5" s="30" t="s">
        <v>38</v>
      </c>
      <c r="L5" s="32">
        <v>106.71598</v>
      </c>
      <c r="M5" s="32">
        <v>10.401059999999999</v>
      </c>
      <c r="N5" s="32" t="s">
        <v>28</v>
      </c>
      <c r="O5" s="33" t="s">
        <v>29</v>
      </c>
      <c r="P5" s="30" t="s">
        <v>39</v>
      </c>
      <c r="Q5" s="30" t="s">
        <v>31</v>
      </c>
      <c r="R5" s="34" t="s">
        <v>32</v>
      </c>
      <c r="S5" s="35">
        <v>48040</v>
      </c>
      <c r="T5" s="36" t="s">
        <v>34</v>
      </c>
      <c r="U5" s="30" t="s">
        <v>34</v>
      </c>
      <c r="V5" s="37" t="e">
        <v>#N/A</v>
      </c>
      <c r="W5" s="31" t="s">
        <v>33</v>
      </c>
      <c r="X5" s="37"/>
      <c r="Y5" s="37">
        <f>COUNTIF(F:F,F5)</f>
        <v>1</v>
      </c>
      <c r="Z5" s="21" t="s">
        <v>1104</v>
      </c>
      <c r="AA5" s="21" t="s">
        <v>34</v>
      </c>
      <c r="AB5" s="21" t="s">
        <v>1118</v>
      </c>
    </row>
    <row r="6" spans="1:28" ht="13.9" customHeight="1" x14ac:dyDescent="0.3">
      <c r="A6" s="30" t="s">
        <v>20</v>
      </c>
      <c r="B6" s="30" t="s">
        <v>21</v>
      </c>
      <c r="C6" s="30" t="s">
        <v>22</v>
      </c>
      <c r="D6" s="30" t="s">
        <v>23</v>
      </c>
      <c r="E6" s="30" t="s">
        <v>64</v>
      </c>
      <c r="F6" s="31" t="s">
        <v>65</v>
      </c>
      <c r="G6" s="30" t="s">
        <v>26</v>
      </c>
      <c r="H6" s="30" t="s">
        <v>27</v>
      </c>
      <c r="I6" s="30">
        <v>3</v>
      </c>
      <c r="J6" s="30"/>
      <c r="K6" s="30"/>
      <c r="L6" s="32">
        <v>106.75774</v>
      </c>
      <c r="M6" s="32">
        <v>10.408099999999999</v>
      </c>
      <c r="N6" s="32" t="s">
        <v>28</v>
      </c>
      <c r="O6" s="33" t="s">
        <v>29</v>
      </c>
      <c r="P6" s="30" t="s">
        <v>30</v>
      </c>
      <c r="Q6" s="30" t="s">
        <v>31</v>
      </c>
      <c r="R6" s="34" t="s">
        <v>32</v>
      </c>
      <c r="S6" s="35">
        <v>48040</v>
      </c>
      <c r="T6" s="36" t="s">
        <v>34</v>
      </c>
      <c r="U6" s="30" t="s">
        <v>34</v>
      </c>
      <c r="V6" s="37" t="e">
        <v>#N/A</v>
      </c>
      <c r="W6" s="31" t="s">
        <v>33</v>
      </c>
      <c r="X6" s="37" t="s">
        <v>42</v>
      </c>
      <c r="Y6" s="37">
        <f>COUNTIF(F:F,F6)</f>
        <v>2</v>
      </c>
      <c r="Z6" s="21" t="s">
        <v>1104</v>
      </c>
      <c r="AA6" s="21" t="s">
        <v>34</v>
      </c>
      <c r="AB6" s="21" t="s">
        <v>1118</v>
      </c>
    </row>
    <row r="7" spans="1:28" ht="13.9" customHeight="1" x14ac:dyDescent="0.3">
      <c r="A7" s="36" t="s">
        <v>20</v>
      </c>
      <c r="B7" s="36" t="s">
        <v>21</v>
      </c>
      <c r="C7" s="36" t="s">
        <v>22</v>
      </c>
      <c r="D7" s="36" t="s">
        <v>23</v>
      </c>
      <c r="E7" s="36" t="s">
        <v>66</v>
      </c>
      <c r="F7" s="31" t="s">
        <v>65</v>
      </c>
      <c r="G7" s="36" t="s">
        <v>26</v>
      </c>
      <c r="H7" s="36" t="s">
        <v>27</v>
      </c>
      <c r="I7" s="36">
        <v>3</v>
      </c>
      <c r="J7" s="36"/>
      <c r="K7" s="36"/>
      <c r="L7" s="38">
        <v>106.7648513</v>
      </c>
      <c r="M7" s="38">
        <v>10.410625</v>
      </c>
      <c r="N7" s="38" t="s">
        <v>28</v>
      </c>
      <c r="O7" s="39" t="s">
        <v>29</v>
      </c>
      <c r="P7" s="36" t="s">
        <v>30</v>
      </c>
      <c r="Q7" s="30" t="s">
        <v>31</v>
      </c>
      <c r="R7" s="40" t="s">
        <v>32</v>
      </c>
      <c r="S7" s="35">
        <v>48040</v>
      </c>
      <c r="T7" s="36" t="s">
        <v>34</v>
      </c>
      <c r="U7" s="30" t="s">
        <v>34</v>
      </c>
      <c r="V7" s="37" t="e">
        <v>#N/A</v>
      </c>
      <c r="W7" s="31" t="s">
        <v>63</v>
      </c>
      <c r="X7" s="37" t="s">
        <v>52</v>
      </c>
      <c r="Y7" s="37">
        <f>COUNTIF(F:F,F7)</f>
        <v>2</v>
      </c>
      <c r="Z7" s="21" t="s">
        <v>1104</v>
      </c>
      <c r="AA7" s="21" t="s">
        <v>34</v>
      </c>
      <c r="AB7" s="21" t="s">
        <v>1118</v>
      </c>
    </row>
    <row r="8" spans="1:28" ht="13.9" customHeight="1" x14ac:dyDescent="0.3">
      <c r="A8" s="30" t="s">
        <v>20</v>
      </c>
      <c r="B8" s="30" t="s">
        <v>21</v>
      </c>
      <c r="C8" s="30" t="s">
        <v>22</v>
      </c>
      <c r="D8" s="30" t="s">
        <v>23</v>
      </c>
      <c r="E8" s="30" t="s">
        <v>40</v>
      </c>
      <c r="F8" s="31" t="s">
        <v>40</v>
      </c>
      <c r="G8" s="30" t="s">
        <v>26</v>
      </c>
      <c r="H8" s="30" t="s">
        <v>27</v>
      </c>
      <c r="I8" s="30">
        <v>3</v>
      </c>
      <c r="J8" s="30" t="s">
        <v>37</v>
      </c>
      <c r="K8" s="30" t="s">
        <v>38</v>
      </c>
      <c r="L8" s="32">
        <v>106.7427193</v>
      </c>
      <c r="M8" s="32">
        <v>10.3935861</v>
      </c>
      <c r="N8" s="32" t="s">
        <v>28</v>
      </c>
      <c r="O8" s="33" t="s">
        <v>29</v>
      </c>
      <c r="P8" s="30" t="s">
        <v>41</v>
      </c>
      <c r="Q8" s="30" t="s">
        <v>31</v>
      </c>
      <c r="R8" s="34" t="s">
        <v>32</v>
      </c>
      <c r="S8" s="35">
        <v>48040</v>
      </c>
      <c r="T8" s="36" t="s">
        <v>34</v>
      </c>
      <c r="U8" s="30" t="s">
        <v>34</v>
      </c>
      <c r="V8" s="37" t="e">
        <v>#N/A</v>
      </c>
      <c r="W8" s="31" t="s">
        <v>33</v>
      </c>
      <c r="X8" s="37" t="s">
        <v>42</v>
      </c>
      <c r="Y8" s="37">
        <f>COUNTIF(F:F,F8)</f>
        <v>3</v>
      </c>
      <c r="Z8" s="21" t="s">
        <v>1104</v>
      </c>
      <c r="AA8" s="21" t="s">
        <v>34</v>
      </c>
      <c r="AB8" s="21" t="s">
        <v>1118</v>
      </c>
    </row>
    <row r="9" spans="1:28" ht="13.9" customHeight="1" x14ac:dyDescent="0.3">
      <c r="A9" s="30" t="s">
        <v>20</v>
      </c>
      <c r="B9" s="30" t="s">
        <v>21</v>
      </c>
      <c r="C9" s="30" t="s">
        <v>22</v>
      </c>
      <c r="D9" s="30" t="s">
        <v>23</v>
      </c>
      <c r="E9" s="30" t="s">
        <v>591</v>
      </c>
      <c r="F9" s="31" t="s">
        <v>40</v>
      </c>
      <c r="G9" s="30" t="s">
        <v>26</v>
      </c>
      <c r="H9" s="30" t="s">
        <v>27</v>
      </c>
      <c r="I9" s="30">
        <v>3</v>
      </c>
      <c r="J9" s="30"/>
      <c r="K9" s="30"/>
      <c r="L9" s="32">
        <v>106.7610023</v>
      </c>
      <c r="M9" s="32">
        <v>10.381358799999999</v>
      </c>
      <c r="N9" s="32" t="s">
        <v>28</v>
      </c>
      <c r="O9" s="33" t="s">
        <v>29</v>
      </c>
      <c r="P9" s="30" t="s">
        <v>30</v>
      </c>
      <c r="Q9" s="30" t="s">
        <v>31</v>
      </c>
      <c r="R9" s="34" t="s">
        <v>32</v>
      </c>
      <c r="S9" s="35">
        <v>48040</v>
      </c>
      <c r="T9" s="36" t="s">
        <v>34</v>
      </c>
      <c r="U9" s="30" t="s">
        <v>34</v>
      </c>
      <c r="V9" s="37" t="s">
        <v>49</v>
      </c>
      <c r="W9" s="31" t="s">
        <v>50</v>
      </c>
      <c r="X9" s="37" t="s">
        <v>52</v>
      </c>
      <c r="Y9" s="37">
        <f>COUNTIF(F:F,F9)</f>
        <v>3</v>
      </c>
      <c r="Z9" s="21" t="s">
        <v>1104</v>
      </c>
      <c r="AA9" s="21" t="s">
        <v>34</v>
      </c>
      <c r="AB9" s="21" t="s">
        <v>1118</v>
      </c>
    </row>
    <row r="10" spans="1:28" ht="13.9" customHeight="1" x14ac:dyDescent="0.3">
      <c r="A10" s="30" t="s">
        <v>20</v>
      </c>
      <c r="B10" s="30" t="s">
        <v>21</v>
      </c>
      <c r="C10" s="30" t="s">
        <v>22</v>
      </c>
      <c r="D10" s="30" t="s">
        <v>23</v>
      </c>
      <c r="E10" s="30" t="s">
        <v>611</v>
      </c>
      <c r="F10" s="31" t="s">
        <v>40</v>
      </c>
      <c r="G10" s="30" t="s">
        <v>26</v>
      </c>
      <c r="H10" s="30" t="s">
        <v>27</v>
      </c>
      <c r="I10" s="30">
        <v>3</v>
      </c>
      <c r="J10" s="30"/>
      <c r="K10" s="30"/>
      <c r="L10" s="32">
        <v>106.74520630000001</v>
      </c>
      <c r="M10" s="32">
        <v>10.3961215</v>
      </c>
      <c r="N10" s="32" t="s">
        <v>28</v>
      </c>
      <c r="O10" s="33" t="s">
        <v>29</v>
      </c>
      <c r="P10" s="30" t="s">
        <v>30</v>
      </c>
      <c r="Q10" s="30" t="s">
        <v>31</v>
      </c>
      <c r="R10" s="34" t="s">
        <v>32</v>
      </c>
      <c r="S10" s="35">
        <v>48040</v>
      </c>
      <c r="T10" s="36" t="s">
        <v>34</v>
      </c>
      <c r="U10" s="30" t="s">
        <v>34</v>
      </c>
      <c r="V10" s="37" t="s">
        <v>49</v>
      </c>
      <c r="W10" s="31" t="s">
        <v>50</v>
      </c>
      <c r="X10" s="37" t="s">
        <v>52</v>
      </c>
      <c r="Y10" s="37">
        <f>COUNTIF(F:F,F10)</f>
        <v>3</v>
      </c>
      <c r="Z10" s="21" t="s">
        <v>1104</v>
      </c>
      <c r="AA10" s="21" t="s">
        <v>34</v>
      </c>
      <c r="AB10" s="21" t="s">
        <v>1118</v>
      </c>
    </row>
    <row r="11" spans="1:28" ht="13.9" customHeight="1" x14ac:dyDescent="0.3">
      <c r="A11" s="30" t="s">
        <v>20</v>
      </c>
      <c r="B11" s="30" t="s">
        <v>21</v>
      </c>
      <c r="C11" s="30" t="s">
        <v>22</v>
      </c>
      <c r="D11" s="30" t="s">
        <v>23</v>
      </c>
      <c r="E11" s="30" t="s">
        <v>59</v>
      </c>
      <c r="F11" s="31" t="s">
        <v>59</v>
      </c>
      <c r="G11" s="30" t="s">
        <v>26</v>
      </c>
      <c r="H11" s="30" t="s">
        <v>27</v>
      </c>
      <c r="I11" s="30">
        <v>3</v>
      </c>
      <c r="J11" s="30"/>
      <c r="K11" s="30"/>
      <c r="L11" s="32">
        <v>106.73780050000001</v>
      </c>
      <c r="M11" s="32">
        <v>10.358418800000001</v>
      </c>
      <c r="N11" s="32" t="s">
        <v>28</v>
      </c>
      <c r="O11" s="33" t="s">
        <v>29</v>
      </c>
      <c r="P11" s="30" t="s">
        <v>60</v>
      </c>
      <c r="Q11" s="30" t="s">
        <v>31</v>
      </c>
      <c r="R11" s="34" t="s">
        <v>32</v>
      </c>
      <c r="S11" s="35">
        <v>48040</v>
      </c>
      <c r="T11" s="36" t="s">
        <v>34</v>
      </c>
      <c r="U11" s="30" t="s">
        <v>34</v>
      </c>
      <c r="V11" s="37" t="e">
        <v>#N/A</v>
      </c>
      <c r="W11" s="31" t="s">
        <v>33</v>
      </c>
      <c r="X11" s="37"/>
      <c r="Y11" s="37">
        <f>COUNTIF(F:F,F11)</f>
        <v>1</v>
      </c>
      <c r="Z11" s="21" t="s">
        <v>1104</v>
      </c>
      <c r="AA11" s="21" t="s">
        <v>34</v>
      </c>
      <c r="AB11" s="21" t="s">
        <v>1118</v>
      </c>
    </row>
    <row r="12" spans="1:28" ht="13.9" customHeight="1" x14ac:dyDescent="0.3">
      <c r="A12" s="30" t="s">
        <v>20</v>
      </c>
      <c r="B12" s="30" t="s">
        <v>21</v>
      </c>
      <c r="C12" s="30" t="s">
        <v>22</v>
      </c>
      <c r="D12" s="30" t="s">
        <v>23</v>
      </c>
      <c r="E12" s="30" t="s">
        <v>67</v>
      </c>
      <c r="F12" s="31" t="s">
        <v>67</v>
      </c>
      <c r="G12" s="30" t="s">
        <v>26</v>
      </c>
      <c r="H12" s="30" t="s">
        <v>36</v>
      </c>
      <c r="I12" s="30">
        <v>3</v>
      </c>
      <c r="J12" s="30" t="s">
        <v>37</v>
      </c>
      <c r="K12" s="30" t="s">
        <v>38</v>
      </c>
      <c r="L12" s="32">
        <v>106.7705996</v>
      </c>
      <c r="M12" s="32">
        <v>10.4123123</v>
      </c>
      <c r="N12" s="32" t="s">
        <v>28</v>
      </c>
      <c r="O12" s="33" t="s">
        <v>29</v>
      </c>
      <c r="P12" s="30" t="s">
        <v>39</v>
      </c>
      <c r="Q12" s="30" t="s">
        <v>31</v>
      </c>
      <c r="R12" s="34" t="s">
        <v>32</v>
      </c>
      <c r="S12" s="35">
        <v>48040</v>
      </c>
      <c r="T12" s="36" t="s">
        <v>34</v>
      </c>
      <c r="U12" s="30" t="s">
        <v>34</v>
      </c>
      <c r="V12" s="37" t="e">
        <v>#N/A</v>
      </c>
      <c r="W12" s="31" t="s">
        <v>33</v>
      </c>
      <c r="X12" s="37" t="s">
        <v>42</v>
      </c>
      <c r="Y12" s="37">
        <f>COUNTIF(F:F,F12)</f>
        <v>2</v>
      </c>
      <c r="Z12" s="21" t="s">
        <v>1104</v>
      </c>
      <c r="AA12" s="21" t="s">
        <v>34</v>
      </c>
      <c r="AB12" s="21" t="s">
        <v>1118</v>
      </c>
    </row>
    <row r="13" spans="1:28" ht="13.9" customHeight="1" x14ac:dyDescent="0.3">
      <c r="A13" s="36" t="s">
        <v>20</v>
      </c>
      <c r="B13" s="36" t="s">
        <v>21</v>
      </c>
      <c r="C13" s="36" t="s">
        <v>22</v>
      </c>
      <c r="D13" s="36" t="s">
        <v>23</v>
      </c>
      <c r="E13" s="36" t="s">
        <v>68</v>
      </c>
      <c r="F13" s="31" t="s">
        <v>67</v>
      </c>
      <c r="G13" s="36" t="s">
        <v>26</v>
      </c>
      <c r="H13" s="36" t="s">
        <v>27</v>
      </c>
      <c r="I13" s="36">
        <v>3</v>
      </c>
      <c r="J13" s="36"/>
      <c r="K13" s="36"/>
      <c r="L13" s="38">
        <v>106.75818</v>
      </c>
      <c r="M13" s="38">
        <v>10.42258</v>
      </c>
      <c r="N13" s="38" t="s">
        <v>28</v>
      </c>
      <c r="O13" s="39">
        <v>0</v>
      </c>
      <c r="P13" s="36" t="s">
        <v>30</v>
      </c>
      <c r="Q13" s="30" t="s">
        <v>31</v>
      </c>
      <c r="R13" s="40" t="s">
        <v>47</v>
      </c>
      <c r="S13" s="35">
        <v>48040</v>
      </c>
      <c r="T13" s="36" t="s">
        <v>34</v>
      </c>
      <c r="U13" s="30" t="s">
        <v>34</v>
      </c>
      <c r="V13" s="37" t="e">
        <v>#N/A</v>
      </c>
      <c r="W13" s="31" t="s">
        <v>63</v>
      </c>
      <c r="X13" s="37" t="s">
        <v>52</v>
      </c>
      <c r="Y13" s="37">
        <f>COUNTIF(F:F,F13)</f>
        <v>2</v>
      </c>
      <c r="Z13" s="21" t="s">
        <v>1104</v>
      </c>
      <c r="AA13" s="21" t="s">
        <v>34</v>
      </c>
      <c r="AB13" s="21" t="s">
        <v>1118</v>
      </c>
    </row>
    <row r="14" spans="1:28" ht="13.9" customHeight="1" x14ac:dyDescent="0.3">
      <c r="A14" s="30" t="s">
        <v>20</v>
      </c>
      <c r="B14" s="30" t="s">
        <v>21</v>
      </c>
      <c r="C14" s="30" t="s">
        <v>22</v>
      </c>
      <c r="D14" s="30" t="s">
        <v>23</v>
      </c>
      <c r="E14" s="30" t="s">
        <v>43</v>
      </c>
      <c r="F14" s="31" t="s">
        <v>43</v>
      </c>
      <c r="G14" s="30" t="s">
        <v>26</v>
      </c>
      <c r="H14" s="30" t="s">
        <v>27</v>
      </c>
      <c r="I14" s="30">
        <v>3</v>
      </c>
      <c r="J14" s="30"/>
      <c r="K14" s="30"/>
      <c r="L14" s="32">
        <v>106.7061953</v>
      </c>
      <c r="M14" s="32">
        <v>10.386372</v>
      </c>
      <c r="N14" s="32" t="s">
        <v>28</v>
      </c>
      <c r="O14" s="33" t="s">
        <v>29</v>
      </c>
      <c r="P14" s="30" t="s">
        <v>30</v>
      </c>
      <c r="Q14" s="30" t="s">
        <v>31</v>
      </c>
      <c r="R14" s="34" t="s">
        <v>32</v>
      </c>
      <c r="S14" s="35">
        <v>48040</v>
      </c>
      <c r="T14" s="36" t="s">
        <v>34</v>
      </c>
      <c r="U14" s="30" t="s">
        <v>34</v>
      </c>
      <c r="V14" s="37" t="e">
        <v>#N/A</v>
      </c>
      <c r="W14" s="31" t="s">
        <v>33</v>
      </c>
      <c r="X14" s="37"/>
      <c r="Y14" s="37">
        <f>COUNTIF(F:F,F14)</f>
        <v>1</v>
      </c>
      <c r="Z14" s="21" t="s">
        <v>1104</v>
      </c>
      <c r="AA14" s="21" t="s">
        <v>34</v>
      </c>
      <c r="AB14" s="21" t="s">
        <v>1118</v>
      </c>
    </row>
    <row r="15" spans="1:28" ht="13.9" customHeight="1" x14ac:dyDescent="0.3">
      <c r="A15" s="30" t="s">
        <v>20</v>
      </c>
      <c r="B15" s="30" t="s">
        <v>21</v>
      </c>
      <c r="C15" s="30" t="s">
        <v>22</v>
      </c>
      <c r="D15" s="30" t="s">
        <v>23</v>
      </c>
      <c r="E15" s="30" t="s">
        <v>44</v>
      </c>
      <c r="F15" s="31" t="s">
        <v>44</v>
      </c>
      <c r="G15" s="30" t="s">
        <v>26</v>
      </c>
      <c r="H15" s="30" t="s">
        <v>27</v>
      </c>
      <c r="I15" s="30">
        <v>3</v>
      </c>
      <c r="J15" s="30"/>
      <c r="K15" s="30"/>
      <c r="L15" s="32">
        <v>106.739469</v>
      </c>
      <c r="M15" s="32">
        <v>10.370230899999999</v>
      </c>
      <c r="N15" s="32" t="s">
        <v>28</v>
      </c>
      <c r="O15" s="33" t="s">
        <v>29</v>
      </c>
      <c r="P15" s="30" t="s">
        <v>30</v>
      </c>
      <c r="Q15" s="30" t="s">
        <v>31</v>
      </c>
      <c r="R15" s="34" t="s">
        <v>32</v>
      </c>
      <c r="S15" s="35">
        <v>48040</v>
      </c>
      <c r="T15" s="36" t="s">
        <v>34</v>
      </c>
      <c r="U15" s="30" t="s">
        <v>34</v>
      </c>
      <c r="V15" s="37" t="e">
        <v>#N/A</v>
      </c>
      <c r="W15" s="31" t="s">
        <v>33</v>
      </c>
      <c r="X15" s="37"/>
      <c r="Y15" s="37">
        <f>COUNTIF(F:F,F15)</f>
        <v>1</v>
      </c>
      <c r="Z15" s="21" t="s">
        <v>1104</v>
      </c>
      <c r="AA15" s="21" t="s">
        <v>34</v>
      </c>
      <c r="AB15" s="21" t="s">
        <v>1118</v>
      </c>
    </row>
    <row r="16" spans="1:28" ht="13.9" customHeight="1" x14ac:dyDescent="0.3">
      <c r="A16" s="30" t="s">
        <v>20</v>
      </c>
      <c r="B16" s="30" t="s">
        <v>21</v>
      </c>
      <c r="C16" s="30" t="s">
        <v>22</v>
      </c>
      <c r="D16" s="30" t="s">
        <v>23</v>
      </c>
      <c r="E16" s="30" t="s">
        <v>55</v>
      </c>
      <c r="F16" s="31" t="s">
        <v>55</v>
      </c>
      <c r="G16" s="30" t="s">
        <v>26</v>
      </c>
      <c r="H16" s="30" t="s">
        <v>27</v>
      </c>
      <c r="I16" s="30">
        <v>3</v>
      </c>
      <c r="J16" s="30"/>
      <c r="K16" s="30"/>
      <c r="L16" s="32">
        <v>106.728323</v>
      </c>
      <c r="M16" s="32">
        <v>10.394338299999999</v>
      </c>
      <c r="N16" s="32" t="s">
        <v>28</v>
      </c>
      <c r="O16" s="33" t="s">
        <v>29</v>
      </c>
      <c r="P16" s="30" t="s">
        <v>30</v>
      </c>
      <c r="Q16" s="30" t="s">
        <v>31</v>
      </c>
      <c r="R16" s="34" t="s">
        <v>32</v>
      </c>
      <c r="S16" s="35">
        <v>48040</v>
      </c>
      <c r="T16" s="36" t="s">
        <v>34</v>
      </c>
      <c r="U16" s="30" t="s">
        <v>34</v>
      </c>
      <c r="V16" s="37" t="e">
        <v>#N/A</v>
      </c>
      <c r="W16" s="31" t="s">
        <v>33</v>
      </c>
      <c r="X16" s="37"/>
      <c r="Y16" s="37">
        <f>COUNTIF(F:F,F16)</f>
        <v>1</v>
      </c>
      <c r="Z16" s="21" t="s">
        <v>1104</v>
      </c>
      <c r="AA16" s="21" t="s">
        <v>34</v>
      </c>
      <c r="AB16" s="21" t="s">
        <v>1118</v>
      </c>
    </row>
    <row r="17" spans="1:28" ht="13.9" customHeight="1" x14ac:dyDescent="0.3">
      <c r="A17" s="30" t="s">
        <v>20</v>
      </c>
      <c r="B17" s="30" t="s">
        <v>21</v>
      </c>
      <c r="C17" s="30" t="s">
        <v>22</v>
      </c>
      <c r="D17" s="30" t="s">
        <v>23</v>
      </c>
      <c r="E17" s="30" t="s">
        <v>56</v>
      </c>
      <c r="F17" s="31" t="s">
        <v>56</v>
      </c>
      <c r="G17" s="30" t="s">
        <v>26</v>
      </c>
      <c r="H17" s="30" t="s">
        <v>27</v>
      </c>
      <c r="I17" s="30">
        <v>3</v>
      </c>
      <c r="J17" s="30"/>
      <c r="K17" s="30"/>
      <c r="L17" s="32">
        <v>106.72077</v>
      </c>
      <c r="M17" s="32">
        <v>10.37716</v>
      </c>
      <c r="N17" s="32" t="s">
        <v>28</v>
      </c>
      <c r="O17" s="33" t="s">
        <v>29</v>
      </c>
      <c r="P17" s="30" t="s">
        <v>30</v>
      </c>
      <c r="Q17" s="30" t="s">
        <v>31</v>
      </c>
      <c r="R17" s="34" t="s">
        <v>32</v>
      </c>
      <c r="S17" s="35">
        <v>48040</v>
      </c>
      <c r="T17" s="36" t="s">
        <v>34</v>
      </c>
      <c r="U17" s="30" t="s">
        <v>34</v>
      </c>
      <c r="V17" s="37" t="e">
        <v>#N/A</v>
      </c>
      <c r="W17" s="31" t="s">
        <v>33</v>
      </c>
      <c r="X17" s="37"/>
      <c r="Y17" s="37">
        <f>COUNTIF(F:F,F17)</f>
        <v>1</v>
      </c>
      <c r="Z17" s="21" t="s">
        <v>1104</v>
      </c>
      <c r="AA17" s="21" t="s">
        <v>34</v>
      </c>
      <c r="AB17" s="21" t="s">
        <v>1118</v>
      </c>
    </row>
    <row r="18" spans="1:28" ht="13.9" customHeight="1" x14ac:dyDescent="0.3">
      <c r="A18" s="30" t="s">
        <v>20</v>
      </c>
      <c r="B18" s="30" t="s">
        <v>21</v>
      </c>
      <c r="C18" s="30" t="s">
        <v>22</v>
      </c>
      <c r="D18" s="30" t="s">
        <v>23</v>
      </c>
      <c r="E18" s="30" t="s">
        <v>57</v>
      </c>
      <c r="F18" s="31" t="s">
        <v>57</v>
      </c>
      <c r="G18" s="30" t="s">
        <v>26</v>
      </c>
      <c r="H18" s="30" t="s">
        <v>27</v>
      </c>
      <c r="I18" s="30">
        <v>3</v>
      </c>
      <c r="J18" s="30"/>
      <c r="K18" s="30"/>
      <c r="L18" s="32">
        <v>106.76036000000001</v>
      </c>
      <c r="M18" s="32">
        <v>10.366400000000001</v>
      </c>
      <c r="N18" s="32" t="s">
        <v>28</v>
      </c>
      <c r="O18" s="33" t="s">
        <v>29</v>
      </c>
      <c r="P18" s="30" t="s">
        <v>30</v>
      </c>
      <c r="Q18" s="30" t="s">
        <v>31</v>
      </c>
      <c r="R18" s="34" t="s">
        <v>32</v>
      </c>
      <c r="S18" s="35">
        <v>48040</v>
      </c>
      <c r="T18" s="36" t="s">
        <v>34</v>
      </c>
      <c r="U18" s="30" t="s">
        <v>34</v>
      </c>
      <c r="V18" s="37" t="e">
        <v>#N/A</v>
      </c>
      <c r="W18" s="31" t="s">
        <v>33</v>
      </c>
      <c r="X18" s="37"/>
      <c r="Y18" s="37">
        <f>COUNTIF(F:F,F18)</f>
        <v>1</v>
      </c>
      <c r="Z18" s="21" t="s">
        <v>1104</v>
      </c>
      <c r="AA18" s="21" t="s">
        <v>34</v>
      </c>
      <c r="AB18" s="21" t="s">
        <v>1118</v>
      </c>
    </row>
    <row r="19" spans="1:28" ht="13.9" customHeight="1" x14ac:dyDescent="0.3">
      <c r="A19" s="30" t="s">
        <v>20</v>
      </c>
      <c r="B19" s="30" t="s">
        <v>21</v>
      </c>
      <c r="C19" s="30" t="s">
        <v>22</v>
      </c>
      <c r="D19" s="30" t="s">
        <v>23</v>
      </c>
      <c r="E19" s="30" t="s">
        <v>58</v>
      </c>
      <c r="F19" s="31" t="s">
        <v>58</v>
      </c>
      <c r="G19" s="30" t="s">
        <v>26</v>
      </c>
      <c r="H19" s="30" t="s">
        <v>27</v>
      </c>
      <c r="I19" s="30">
        <v>3</v>
      </c>
      <c r="J19" s="30"/>
      <c r="K19" s="30"/>
      <c r="L19" s="32">
        <v>106.74666000000001</v>
      </c>
      <c r="M19" s="32">
        <v>10.382621</v>
      </c>
      <c r="N19" s="32" t="s">
        <v>28</v>
      </c>
      <c r="O19" s="33" t="s">
        <v>29</v>
      </c>
      <c r="P19" s="30" t="s">
        <v>30</v>
      </c>
      <c r="Q19" s="30" t="s">
        <v>31</v>
      </c>
      <c r="R19" s="34" t="s">
        <v>32</v>
      </c>
      <c r="S19" s="35">
        <v>48040</v>
      </c>
      <c r="T19" s="36" t="s">
        <v>34</v>
      </c>
      <c r="U19" s="30" t="s">
        <v>34</v>
      </c>
      <c r="V19" s="37" t="e">
        <v>#N/A</v>
      </c>
      <c r="W19" s="31" t="s">
        <v>33</v>
      </c>
      <c r="X19" s="37"/>
      <c r="Y19" s="37">
        <f>COUNTIF(F:F,F19)</f>
        <v>1</v>
      </c>
      <c r="Z19" s="21" t="s">
        <v>1104</v>
      </c>
      <c r="AA19" s="21" t="s">
        <v>34</v>
      </c>
      <c r="AB19" s="21" t="s">
        <v>1118</v>
      </c>
    </row>
    <row r="20" spans="1:28" ht="13.9" customHeight="1" x14ac:dyDescent="0.3">
      <c r="A20" s="30" t="s">
        <v>20</v>
      </c>
      <c r="B20" s="30" t="s">
        <v>21</v>
      </c>
      <c r="C20" s="30" t="s">
        <v>22</v>
      </c>
      <c r="D20" s="30" t="s">
        <v>23</v>
      </c>
      <c r="E20" s="30" t="s">
        <v>69</v>
      </c>
      <c r="F20" s="31" t="s">
        <v>69</v>
      </c>
      <c r="G20" s="30" t="s">
        <v>26</v>
      </c>
      <c r="H20" s="30" t="s">
        <v>36</v>
      </c>
      <c r="I20" s="30">
        <v>3</v>
      </c>
      <c r="J20" s="30" t="s">
        <v>37</v>
      </c>
      <c r="K20" s="30" t="s">
        <v>38</v>
      </c>
      <c r="L20" s="32">
        <v>106.7127539</v>
      </c>
      <c r="M20" s="32">
        <v>10.319948999999999</v>
      </c>
      <c r="N20" s="32" t="s">
        <v>28</v>
      </c>
      <c r="O20" s="33" t="s">
        <v>29</v>
      </c>
      <c r="P20" s="30" t="s">
        <v>39</v>
      </c>
      <c r="Q20" s="30" t="s">
        <v>31</v>
      </c>
      <c r="R20" s="34" t="s">
        <v>32</v>
      </c>
      <c r="S20" s="35">
        <v>48040</v>
      </c>
      <c r="T20" s="36" t="s">
        <v>70</v>
      </c>
      <c r="U20" s="30" t="s">
        <v>70</v>
      </c>
      <c r="V20" s="37" t="e">
        <v>#N/A</v>
      </c>
      <c r="W20" s="31" t="s">
        <v>33</v>
      </c>
      <c r="X20" s="37"/>
      <c r="Y20" s="37">
        <f>COUNTIF(F:F,F20)</f>
        <v>1</v>
      </c>
      <c r="Z20" s="21" t="s">
        <v>1095</v>
      </c>
      <c r="AA20" s="21" t="s">
        <v>70</v>
      </c>
      <c r="AB20" s="21" t="s">
        <v>1118</v>
      </c>
    </row>
    <row r="21" spans="1:28" ht="13.9" customHeight="1" x14ac:dyDescent="0.3">
      <c r="A21" s="30" t="s">
        <v>20</v>
      </c>
      <c r="B21" s="30" t="s">
        <v>21</v>
      </c>
      <c r="C21" s="30" t="s">
        <v>22</v>
      </c>
      <c r="D21" s="30" t="s">
        <v>23</v>
      </c>
      <c r="E21" s="30" t="s">
        <v>72</v>
      </c>
      <c r="F21" s="31" t="s">
        <v>72</v>
      </c>
      <c r="G21" s="30" t="s">
        <v>26</v>
      </c>
      <c r="H21" s="30" t="s">
        <v>27</v>
      </c>
      <c r="I21" s="30">
        <v>3</v>
      </c>
      <c r="J21" s="30"/>
      <c r="K21" s="30"/>
      <c r="L21" s="32">
        <v>106.73349</v>
      </c>
      <c r="M21" s="32">
        <v>10.27725</v>
      </c>
      <c r="N21" s="32" t="s">
        <v>28</v>
      </c>
      <c r="O21" s="33" t="s">
        <v>29</v>
      </c>
      <c r="P21" s="30" t="s">
        <v>30</v>
      </c>
      <c r="Q21" s="30" t="s">
        <v>31</v>
      </c>
      <c r="R21" s="34" t="s">
        <v>32</v>
      </c>
      <c r="S21" s="35">
        <v>48040</v>
      </c>
      <c r="T21" s="36" t="s">
        <v>70</v>
      </c>
      <c r="U21" s="30" t="s">
        <v>70</v>
      </c>
      <c r="V21" s="37" t="e">
        <v>#N/A</v>
      </c>
      <c r="W21" s="31" t="s">
        <v>33</v>
      </c>
      <c r="X21" s="37"/>
      <c r="Y21" s="37">
        <f>COUNTIF(F:F,F21)</f>
        <v>1</v>
      </c>
      <c r="Z21" s="21" t="s">
        <v>1095</v>
      </c>
      <c r="AA21" s="21" t="s">
        <v>70</v>
      </c>
      <c r="AB21" s="21" t="s">
        <v>1118</v>
      </c>
    </row>
    <row r="22" spans="1:28" ht="13.9" customHeight="1" x14ac:dyDescent="0.3">
      <c r="A22" s="30" t="s">
        <v>20</v>
      </c>
      <c r="B22" s="30" t="s">
        <v>21</v>
      </c>
      <c r="C22" s="30" t="s">
        <v>22</v>
      </c>
      <c r="D22" s="30" t="s">
        <v>23</v>
      </c>
      <c r="E22" s="30" t="s">
        <v>73</v>
      </c>
      <c r="F22" s="31" t="s">
        <v>73</v>
      </c>
      <c r="G22" s="30" t="s">
        <v>26</v>
      </c>
      <c r="H22" s="30" t="s">
        <v>27</v>
      </c>
      <c r="I22" s="30">
        <v>3</v>
      </c>
      <c r="J22" s="30" t="s">
        <v>37</v>
      </c>
      <c r="K22" s="30" t="s">
        <v>38</v>
      </c>
      <c r="L22" s="32">
        <v>106.77599120000001</v>
      </c>
      <c r="M22" s="32">
        <v>10.288743800000001</v>
      </c>
      <c r="N22" s="32" t="s">
        <v>28</v>
      </c>
      <c r="O22" s="33" t="s">
        <v>29</v>
      </c>
      <c r="P22" s="30" t="s">
        <v>41</v>
      </c>
      <c r="Q22" s="30" t="s">
        <v>31</v>
      </c>
      <c r="R22" s="34" t="s">
        <v>32</v>
      </c>
      <c r="S22" s="35">
        <v>48040</v>
      </c>
      <c r="T22" s="36" t="s">
        <v>70</v>
      </c>
      <c r="U22" s="30" t="s">
        <v>70</v>
      </c>
      <c r="V22" s="37" t="e">
        <v>#N/A</v>
      </c>
      <c r="W22" s="31" t="s">
        <v>33</v>
      </c>
      <c r="X22" s="37"/>
      <c r="Y22" s="37">
        <f>COUNTIF(F:F,F22)</f>
        <v>1</v>
      </c>
      <c r="Z22" s="21" t="s">
        <v>1095</v>
      </c>
      <c r="AA22" s="21" t="s">
        <v>70</v>
      </c>
      <c r="AB22" s="21" t="s">
        <v>1118</v>
      </c>
    </row>
    <row r="23" spans="1:28" ht="13.9" customHeight="1" x14ac:dyDescent="0.3">
      <c r="A23" s="30" t="s">
        <v>20</v>
      </c>
      <c r="B23" s="30" t="s">
        <v>21</v>
      </c>
      <c r="C23" s="30" t="s">
        <v>22</v>
      </c>
      <c r="D23" s="30" t="s">
        <v>23</v>
      </c>
      <c r="E23" s="30" t="s">
        <v>77</v>
      </c>
      <c r="F23" s="31" t="s">
        <v>77</v>
      </c>
      <c r="G23" s="30" t="s">
        <v>26</v>
      </c>
      <c r="H23" s="30" t="s">
        <v>27</v>
      </c>
      <c r="I23" s="30">
        <v>3</v>
      </c>
      <c r="J23" s="30"/>
      <c r="K23" s="30"/>
      <c r="L23" s="32">
        <v>106.72858100000001</v>
      </c>
      <c r="M23" s="32">
        <v>10.337308800000001</v>
      </c>
      <c r="N23" s="32" t="s">
        <v>28</v>
      </c>
      <c r="O23" s="33" t="s">
        <v>29</v>
      </c>
      <c r="P23" s="30" t="s">
        <v>30</v>
      </c>
      <c r="Q23" s="30" t="s">
        <v>31</v>
      </c>
      <c r="R23" s="34" t="s">
        <v>32</v>
      </c>
      <c r="S23" s="35">
        <v>48040</v>
      </c>
      <c r="T23" s="36" t="s">
        <v>70</v>
      </c>
      <c r="U23" s="30" t="s">
        <v>70</v>
      </c>
      <c r="V23" s="37" t="e">
        <v>#N/A</v>
      </c>
      <c r="W23" s="31" t="s">
        <v>33</v>
      </c>
      <c r="X23" s="37"/>
      <c r="Y23" s="37">
        <f>COUNTIF(F:F,F23)</f>
        <v>1</v>
      </c>
      <c r="Z23" s="21" t="s">
        <v>1095</v>
      </c>
      <c r="AA23" s="21" t="s">
        <v>70</v>
      </c>
      <c r="AB23" s="21" t="s">
        <v>1118</v>
      </c>
    </row>
    <row r="24" spans="1:28" ht="13.9" customHeight="1" x14ac:dyDescent="0.3">
      <c r="A24" s="36" t="s">
        <v>20</v>
      </c>
      <c r="B24" s="36" t="s">
        <v>21</v>
      </c>
      <c r="C24" s="36" t="s">
        <v>22</v>
      </c>
      <c r="D24" s="36" t="s">
        <v>23</v>
      </c>
      <c r="E24" s="36" t="s">
        <v>87</v>
      </c>
      <c r="F24" s="31" t="s">
        <v>88</v>
      </c>
      <c r="G24" s="36" t="s">
        <v>26</v>
      </c>
      <c r="H24" s="36" t="s">
        <v>27</v>
      </c>
      <c r="I24" s="36">
        <v>3</v>
      </c>
      <c r="J24" s="36"/>
      <c r="K24" s="36"/>
      <c r="L24" s="38">
        <v>106.705789</v>
      </c>
      <c r="M24" s="38">
        <v>10.292809</v>
      </c>
      <c r="N24" s="38" t="s">
        <v>28</v>
      </c>
      <c r="O24" s="39" t="s">
        <v>29</v>
      </c>
      <c r="P24" s="36" t="s">
        <v>30</v>
      </c>
      <c r="Q24" s="30" t="s">
        <v>31</v>
      </c>
      <c r="R24" s="40" t="s">
        <v>32</v>
      </c>
      <c r="S24" s="35">
        <v>48040</v>
      </c>
      <c r="T24" s="36" t="s">
        <v>70</v>
      </c>
      <c r="U24" s="30" t="s">
        <v>70</v>
      </c>
      <c r="V24" s="37" t="e">
        <v>#N/A</v>
      </c>
      <c r="W24" s="31" t="s">
        <v>63</v>
      </c>
      <c r="X24" s="37" t="s">
        <v>52</v>
      </c>
      <c r="Y24" s="37">
        <f>COUNTIF(F:F,F24)</f>
        <v>2</v>
      </c>
      <c r="Z24" s="21" t="s">
        <v>1095</v>
      </c>
      <c r="AA24" s="21" t="s">
        <v>70</v>
      </c>
      <c r="AB24" s="21" t="s">
        <v>1118</v>
      </c>
    </row>
    <row r="25" spans="1:28" ht="13.9" customHeight="1" x14ac:dyDescent="0.3">
      <c r="A25" s="30" t="s">
        <v>20</v>
      </c>
      <c r="B25" s="30" t="s">
        <v>21</v>
      </c>
      <c r="C25" s="30" t="s">
        <v>22</v>
      </c>
      <c r="D25" s="30" t="s">
        <v>23</v>
      </c>
      <c r="E25" s="30" t="s">
        <v>88</v>
      </c>
      <c r="F25" s="31" t="s">
        <v>88</v>
      </c>
      <c r="G25" s="30" t="s">
        <v>26</v>
      </c>
      <c r="H25" s="30" t="s">
        <v>27</v>
      </c>
      <c r="I25" s="30">
        <v>3</v>
      </c>
      <c r="J25" s="30" t="s">
        <v>37</v>
      </c>
      <c r="K25" s="30" t="s">
        <v>38</v>
      </c>
      <c r="L25" s="32">
        <v>106.7176539</v>
      </c>
      <c r="M25" s="32">
        <v>10.302466000000001</v>
      </c>
      <c r="N25" s="32" t="s">
        <v>28</v>
      </c>
      <c r="O25" s="33" t="s">
        <v>29</v>
      </c>
      <c r="P25" s="30" t="s">
        <v>41</v>
      </c>
      <c r="Q25" s="30" t="s">
        <v>31</v>
      </c>
      <c r="R25" s="34" t="s">
        <v>32</v>
      </c>
      <c r="S25" s="35">
        <v>48040</v>
      </c>
      <c r="T25" s="36" t="s">
        <v>70</v>
      </c>
      <c r="U25" s="30" t="s">
        <v>70</v>
      </c>
      <c r="V25" s="37" t="e">
        <v>#N/A</v>
      </c>
      <c r="W25" s="31" t="s">
        <v>33</v>
      </c>
      <c r="X25" s="37" t="s">
        <v>42</v>
      </c>
      <c r="Y25" s="37">
        <f>COUNTIF(F:F,F25)</f>
        <v>2</v>
      </c>
      <c r="Z25" s="21" t="s">
        <v>1095</v>
      </c>
      <c r="AA25" s="21" t="s">
        <v>70</v>
      </c>
      <c r="AB25" s="21" t="s">
        <v>1118</v>
      </c>
    </row>
    <row r="26" spans="1:28" ht="13.9" customHeight="1" x14ac:dyDescent="0.3">
      <c r="A26" s="30" t="s">
        <v>20</v>
      </c>
      <c r="B26" s="30" t="s">
        <v>21</v>
      </c>
      <c r="C26" s="30" t="s">
        <v>22</v>
      </c>
      <c r="D26" s="30" t="s">
        <v>23</v>
      </c>
      <c r="E26" s="30" t="s">
        <v>82</v>
      </c>
      <c r="F26" s="31" t="s">
        <v>82</v>
      </c>
      <c r="G26" s="30" t="s">
        <v>26</v>
      </c>
      <c r="H26" s="30" t="s">
        <v>27</v>
      </c>
      <c r="I26" s="30">
        <v>3</v>
      </c>
      <c r="J26" s="30"/>
      <c r="K26" s="30"/>
      <c r="L26" s="32">
        <v>106.7545521</v>
      </c>
      <c r="M26" s="32">
        <v>10.3386862</v>
      </c>
      <c r="N26" s="32" t="s">
        <v>28</v>
      </c>
      <c r="O26" s="33" t="s">
        <v>29</v>
      </c>
      <c r="P26" s="30" t="s">
        <v>30</v>
      </c>
      <c r="Q26" s="30" t="s">
        <v>31</v>
      </c>
      <c r="R26" s="34" t="s">
        <v>32</v>
      </c>
      <c r="S26" s="35">
        <v>48040</v>
      </c>
      <c r="T26" s="36" t="s">
        <v>70</v>
      </c>
      <c r="U26" s="30" t="s">
        <v>70</v>
      </c>
      <c r="V26" s="37" t="e">
        <v>#N/A</v>
      </c>
      <c r="W26" s="31" t="s">
        <v>33</v>
      </c>
      <c r="X26" s="37"/>
      <c r="Y26" s="37">
        <f>COUNTIF(F:F,F26)</f>
        <v>1</v>
      </c>
      <c r="Z26" s="21" t="s">
        <v>1095</v>
      </c>
      <c r="AA26" s="21" t="s">
        <v>70</v>
      </c>
      <c r="AB26" s="21" t="s">
        <v>1118</v>
      </c>
    </row>
    <row r="27" spans="1:28" ht="13.9" customHeight="1" x14ac:dyDescent="0.3">
      <c r="A27" s="36" t="s">
        <v>20</v>
      </c>
      <c r="B27" s="36" t="s">
        <v>21</v>
      </c>
      <c r="C27" s="36" t="s">
        <v>22</v>
      </c>
      <c r="D27" s="36" t="s">
        <v>23</v>
      </c>
      <c r="E27" s="36" t="s">
        <v>89</v>
      </c>
      <c r="F27" s="31" t="s">
        <v>90</v>
      </c>
      <c r="G27" s="36" t="s">
        <v>26</v>
      </c>
      <c r="H27" s="36" t="s">
        <v>27</v>
      </c>
      <c r="I27" s="36">
        <v>3</v>
      </c>
      <c r="J27" s="36"/>
      <c r="K27" s="36"/>
      <c r="L27" s="38">
        <v>106.69696</v>
      </c>
      <c r="M27" s="38">
        <v>10.33497</v>
      </c>
      <c r="N27" s="38" t="s">
        <v>28</v>
      </c>
      <c r="O27" s="39" t="s">
        <v>29</v>
      </c>
      <c r="P27" s="36" t="s">
        <v>30</v>
      </c>
      <c r="Q27" s="30" t="s">
        <v>31</v>
      </c>
      <c r="R27" s="40" t="s">
        <v>32</v>
      </c>
      <c r="S27" s="35">
        <v>48040</v>
      </c>
      <c r="T27" s="36" t="s">
        <v>70</v>
      </c>
      <c r="U27" s="30" t="s">
        <v>70</v>
      </c>
      <c r="V27" s="37" t="e">
        <v>#N/A</v>
      </c>
      <c r="W27" s="31" t="s">
        <v>63</v>
      </c>
      <c r="X27" s="37" t="s">
        <v>52</v>
      </c>
      <c r="Y27" s="37">
        <f>COUNTIF(F:F,F27)</f>
        <v>2</v>
      </c>
      <c r="Z27" s="21" t="s">
        <v>1095</v>
      </c>
      <c r="AA27" s="21" t="s">
        <v>70</v>
      </c>
      <c r="AB27" s="21" t="s">
        <v>1118</v>
      </c>
    </row>
    <row r="28" spans="1:28" ht="13.9" customHeight="1" x14ac:dyDescent="0.3">
      <c r="A28" s="30" t="s">
        <v>20</v>
      </c>
      <c r="B28" s="30" t="s">
        <v>21</v>
      </c>
      <c r="C28" s="30" t="s">
        <v>22</v>
      </c>
      <c r="D28" s="30" t="s">
        <v>23</v>
      </c>
      <c r="E28" s="30" t="s">
        <v>90</v>
      </c>
      <c r="F28" s="31" t="s">
        <v>90</v>
      </c>
      <c r="G28" s="30" t="s">
        <v>26</v>
      </c>
      <c r="H28" s="30" t="s">
        <v>27</v>
      </c>
      <c r="I28" s="30">
        <v>3</v>
      </c>
      <c r="J28" s="30"/>
      <c r="K28" s="30"/>
      <c r="L28" s="32">
        <v>106.7115713</v>
      </c>
      <c r="M28" s="32">
        <v>10.349454</v>
      </c>
      <c r="N28" s="32" t="s">
        <v>28</v>
      </c>
      <c r="O28" s="33" t="s">
        <v>29</v>
      </c>
      <c r="P28" s="30" t="s">
        <v>30</v>
      </c>
      <c r="Q28" s="30" t="s">
        <v>31</v>
      </c>
      <c r="R28" s="34" t="s">
        <v>32</v>
      </c>
      <c r="S28" s="35">
        <v>48040</v>
      </c>
      <c r="T28" s="36" t="s">
        <v>70</v>
      </c>
      <c r="U28" s="30" t="s">
        <v>70</v>
      </c>
      <c r="V28" s="37" t="e">
        <v>#N/A</v>
      </c>
      <c r="W28" s="31" t="s">
        <v>33</v>
      </c>
      <c r="X28" s="37" t="s">
        <v>42</v>
      </c>
      <c r="Y28" s="37">
        <f>COUNTIF(F:F,F28)</f>
        <v>2</v>
      </c>
      <c r="Z28" s="21" t="s">
        <v>1095</v>
      </c>
      <c r="AA28" s="21" t="s">
        <v>70</v>
      </c>
      <c r="AB28" s="21" t="s">
        <v>1118</v>
      </c>
    </row>
    <row r="29" spans="1:28" ht="13.9" customHeight="1" x14ac:dyDescent="0.3">
      <c r="A29" s="30" t="s">
        <v>20</v>
      </c>
      <c r="B29" s="30" t="s">
        <v>21</v>
      </c>
      <c r="C29" s="30" t="s">
        <v>22</v>
      </c>
      <c r="D29" s="30" t="s">
        <v>23</v>
      </c>
      <c r="E29" s="30" t="s">
        <v>544</v>
      </c>
      <c r="F29" s="31" t="s">
        <v>92</v>
      </c>
      <c r="G29" s="30" t="s">
        <v>26</v>
      </c>
      <c r="H29" s="30" t="s">
        <v>27</v>
      </c>
      <c r="I29" s="30">
        <v>3</v>
      </c>
      <c r="J29" s="30" t="s">
        <v>37</v>
      </c>
      <c r="K29" s="30" t="s">
        <v>38</v>
      </c>
      <c r="L29" s="32">
        <v>106.75063</v>
      </c>
      <c r="M29" s="32">
        <v>10.317259999999999</v>
      </c>
      <c r="N29" s="32" t="s">
        <v>28</v>
      </c>
      <c r="O29" s="33" t="s">
        <v>29</v>
      </c>
      <c r="P29" s="30" t="s">
        <v>41</v>
      </c>
      <c r="Q29" s="30" t="s">
        <v>31</v>
      </c>
      <c r="R29" s="34" t="s">
        <v>32</v>
      </c>
      <c r="S29" s="35">
        <v>48040</v>
      </c>
      <c r="T29" s="36" t="s">
        <v>70</v>
      </c>
      <c r="U29" s="30" t="s">
        <v>70</v>
      </c>
      <c r="V29" s="37" t="s">
        <v>49</v>
      </c>
      <c r="W29" s="31" t="s">
        <v>50</v>
      </c>
      <c r="X29" s="37" t="s">
        <v>52</v>
      </c>
      <c r="Y29" s="37">
        <f>COUNTIF(F:F,F29)</f>
        <v>5</v>
      </c>
      <c r="Z29" s="21" t="s">
        <v>1095</v>
      </c>
      <c r="AA29" s="21" t="s">
        <v>70</v>
      </c>
      <c r="AB29" s="21" t="s">
        <v>1118</v>
      </c>
    </row>
    <row r="30" spans="1:28" ht="13.9" customHeight="1" x14ac:dyDescent="0.3">
      <c r="A30" s="30" t="s">
        <v>20</v>
      </c>
      <c r="B30" s="30" t="s">
        <v>21</v>
      </c>
      <c r="C30" s="30" t="s">
        <v>22</v>
      </c>
      <c r="D30" s="30" t="s">
        <v>23</v>
      </c>
      <c r="E30" s="30" t="s">
        <v>588</v>
      </c>
      <c r="F30" s="31" t="s">
        <v>92</v>
      </c>
      <c r="G30" s="30" t="s">
        <v>26</v>
      </c>
      <c r="H30" s="30" t="s">
        <v>27</v>
      </c>
      <c r="I30" s="30">
        <v>3</v>
      </c>
      <c r="J30" s="30"/>
      <c r="K30" s="30"/>
      <c r="L30" s="32">
        <v>106.7609156</v>
      </c>
      <c r="M30" s="32">
        <v>10.2765285</v>
      </c>
      <c r="N30" s="32" t="s">
        <v>28</v>
      </c>
      <c r="O30" s="33" t="s">
        <v>29</v>
      </c>
      <c r="P30" s="30" t="s">
        <v>30</v>
      </c>
      <c r="Q30" s="30" t="s">
        <v>31</v>
      </c>
      <c r="R30" s="34" t="s">
        <v>32</v>
      </c>
      <c r="S30" s="35">
        <v>48040</v>
      </c>
      <c r="T30" s="36" t="s">
        <v>70</v>
      </c>
      <c r="U30" s="30" t="s">
        <v>70</v>
      </c>
      <c r="V30" s="37" t="s">
        <v>49</v>
      </c>
      <c r="W30" s="31" t="s">
        <v>50</v>
      </c>
      <c r="X30" s="37" t="s">
        <v>52</v>
      </c>
      <c r="Y30" s="37">
        <f>COUNTIF(F:F,F30)</f>
        <v>5</v>
      </c>
      <c r="Z30" s="21" t="s">
        <v>1095</v>
      </c>
      <c r="AA30" s="21" t="s">
        <v>70</v>
      </c>
      <c r="AB30" s="21" t="s">
        <v>1118</v>
      </c>
    </row>
    <row r="31" spans="1:28" ht="13.9" customHeight="1" x14ac:dyDescent="0.3">
      <c r="A31" s="36" t="s">
        <v>20</v>
      </c>
      <c r="B31" s="36" t="s">
        <v>21</v>
      </c>
      <c r="C31" s="36" t="s">
        <v>22</v>
      </c>
      <c r="D31" s="36" t="s">
        <v>23</v>
      </c>
      <c r="E31" s="36" t="s">
        <v>91</v>
      </c>
      <c r="F31" s="31" t="s">
        <v>92</v>
      </c>
      <c r="G31" s="36" t="s">
        <v>26</v>
      </c>
      <c r="H31" s="36" t="s">
        <v>27</v>
      </c>
      <c r="I31" s="36">
        <v>3</v>
      </c>
      <c r="J31" s="36"/>
      <c r="K31" s="36"/>
      <c r="L31" s="38">
        <v>106.74311299999999</v>
      </c>
      <c r="M31" s="38">
        <v>10.297205999999999</v>
      </c>
      <c r="N31" s="38" t="s">
        <v>28</v>
      </c>
      <c r="O31" s="39" t="s">
        <v>29</v>
      </c>
      <c r="P31" s="36" t="s">
        <v>30</v>
      </c>
      <c r="Q31" s="30" t="s">
        <v>31</v>
      </c>
      <c r="R31" s="40" t="s">
        <v>32</v>
      </c>
      <c r="S31" s="35">
        <v>48040</v>
      </c>
      <c r="T31" s="36" t="s">
        <v>70</v>
      </c>
      <c r="U31" s="30" t="s">
        <v>70</v>
      </c>
      <c r="V31" s="37" t="e">
        <v>#N/A</v>
      </c>
      <c r="W31" s="31" t="s">
        <v>63</v>
      </c>
      <c r="X31" s="37" t="s">
        <v>52</v>
      </c>
      <c r="Y31" s="37">
        <f>COUNTIF(F:F,F31)</f>
        <v>5</v>
      </c>
      <c r="Z31" s="21" t="s">
        <v>1095</v>
      </c>
      <c r="AA31" s="21" t="s">
        <v>70</v>
      </c>
      <c r="AB31" s="21" t="s">
        <v>1118</v>
      </c>
    </row>
    <row r="32" spans="1:28" ht="13.9" customHeight="1" x14ac:dyDescent="0.3">
      <c r="A32" s="30" t="s">
        <v>20</v>
      </c>
      <c r="B32" s="30" t="s">
        <v>21</v>
      </c>
      <c r="C32" s="30" t="s">
        <v>22</v>
      </c>
      <c r="D32" s="30" t="s">
        <v>23</v>
      </c>
      <c r="E32" s="30" t="s">
        <v>92</v>
      </c>
      <c r="F32" s="31" t="s">
        <v>92</v>
      </c>
      <c r="G32" s="30" t="s">
        <v>26</v>
      </c>
      <c r="H32" s="30" t="s">
        <v>27</v>
      </c>
      <c r="I32" s="30">
        <v>3</v>
      </c>
      <c r="J32" s="30"/>
      <c r="K32" s="30"/>
      <c r="L32" s="32">
        <v>106.76405</v>
      </c>
      <c r="M32" s="32">
        <v>10.30341</v>
      </c>
      <c r="N32" s="32" t="s">
        <v>28</v>
      </c>
      <c r="O32" s="33" t="s">
        <v>29</v>
      </c>
      <c r="P32" s="30" t="s">
        <v>30</v>
      </c>
      <c r="Q32" s="30" t="s">
        <v>31</v>
      </c>
      <c r="R32" s="34" t="s">
        <v>32</v>
      </c>
      <c r="S32" s="35">
        <v>48040</v>
      </c>
      <c r="T32" s="36" t="s">
        <v>70</v>
      </c>
      <c r="U32" s="30" t="s">
        <v>70</v>
      </c>
      <c r="V32" s="37" t="e">
        <v>#N/A</v>
      </c>
      <c r="W32" s="31" t="s">
        <v>33</v>
      </c>
      <c r="X32" s="37" t="s">
        <v>42</v>
      </c>
      <c r="Y32" s="37">
        <f>COUNTIF(F:F,F32)</f>
        <v>5</v>
      </c>
      <c r="Z32" s="21" t="s">
        <v>1095</v>
      </c>
      <c r="AA32" s="21" t="s">
        <v>70</v>
      </c>
      <c r="AB32" s="21" t="s">
        <v>1118</v>
      </c>
    </row>
    <row r="33" spans="1:28" ht="13.9" customHeight="1" x14ac:dyDescent="0.3">
      <c r="A33" s="36" t="s">
        <v>20</v>
      </c>
      <c r="B33" s="36" t="s">
        <v>21</v>
      </c>
      <c r="C33" s="36" t="s">
        <v>22</v>
      </c>
      <c r="D33" s="36" t="s">
        <v>23</v>
      </c>
      <c r="E33" s="36" t="s">
        <v>93</v>
      </c>
      <c r="F33" s="31" t="s">
        <v>92</v>
      </c>
      <c r="G33" s="36" t="s">
        <v>26</v>
      </c>
      <c r="H33" s="36" t="s">
        <v>27</v>
      </c>
      <c r="I33" s="36">
        <v>3</v>
      </c>
      <c r="J33" s="36"/>
      <c r="K33" s="36"/>
      <c r="L33" s="38">
        <v>106.7793092</v>
      </c>
      <c r="M33" s="38">
        <v>10.3220683</v>
      </c>
      <c r="N33" s="38" t="s">
        <v>28</v>
      </c>
      <c r="O33" s="39" t="s">
        <v>29</v>
      </c>
      <c r="P33" s="36" t="s">
        <v>30</v>
      </c>
      <c r="Q33" s="30" t="s">
        <v>31</v>
      </c>
      <c r="R33" s="40" t="s">
        <v>32</v>
      </c>
      <c r="S33" s="35">
        <v>48040</v>
      </c>
      <c r="T33" s="36" t="s">
        <v>70</v>
      </c>
      <c r="U33" s="30" t="s">
        <v>70</v>
      </c>
      <c r="V33" s="37" t="e">
        <v>#N/A</v>
      </c>
      <c r="W33" s="31" t="s">
        <v>63</v>
      </c>
      <c r="X33" s="37" t="s">
        <v>52</v>
      </c>
      <c r="Y33" s="37">
        <f>COUNTIF(F:F,F33)</f>
        <v>5</v>
      </c>
      <c r="Z33" s="21" t="s">
        <v>1095</v>
      </c>
      <c r="AA33" s="21" t="s">
        <v>70</v>
      </c>
      <c r="AB33" s="21" t="s">
        <v>1118</v>
      </c>
    </row>
    <row r="34" spans="1:28" ht="13.9" customHeight="1" x14ac:dyDescent="0.3">
      <c r="A34" s="30" t="s">
        <v>20</v>
      </c>
      <c r="B34" s="30" t="s">
        <v>21</v>
      </c>
      <c r="C34" s="30" t="s">
        <v>22</v>
      </c>
      <c r="D34" s="30" t="s">
        <v>23</v>
      </c>
      <c r="E34" s="30" t="s">
        <v>83</v>
      </c>
      <c r="F34" s="31" t="s">
        <v>83</v>
      </c>
      <c r="G34" s="30" t="s">
        <v>26</v>
      </c>
      <c r="H34" s="30" t="s">
        <v>27</v>
      </c>
      <c r="I34" s="30">
        <v>3</v>
      </c>
      <c r="J34" s="30"/>
      <c r="K34" s="30"/>
      <c r="L34" s="32">
        <v>106.7307359</v>
      </c>
      <c r="M34" s="32">
        <v>10.3181639</v>
      </c>
      <c r="N34" s="32" t="s">
        <v>28</v>
      </c>
      <c r="O34" s="33" t="s">
        <v>29</v>
      </c>
      <c r="P34" s="30" t="s">
        <v>30</v>
      </c>
      <c r="Q34" s="30" t="s">
        <v>31</v>
      </c>
      <c r="R34" s="34" t="s">
        <v>32</v>
      </c>
      <c r="S34" s="35">
        <v>48040</v>
      </c>
      <c r="T34" s="36" t="s">
        <v>70</v>
      </c>
      <c r="U34" s="30" t="s">
        <v>70</v>
      </c>
      <c r="V34" s="37" t="e">
        <v>#N/A</v>
      </c>
      <c r="W34" s="31" t="s">
        <v>33</v>
      </c>
      <c r="X34" s="37"/>
      <c r="Y34" s="37">
        <f>COUNTIF(F:F,F34)</f>
        <v>1</v>
      </c>
      <c r="Z34" s="21" t="s">
        <v>1095</v>
      </c>
      <c r="AA34" s="21" t="s">
        <v>70</v>
      </c>
      <c r="AB34" s="21" t="s">
        <v>1118</v>
      </c>
    </row>
    <row r="35" spans="1:28" ht="13.9" customHeight="1" x14ac:dyDescent="0.3">
      <c r="A35" s="30" t="s">
        <v>20</v>
      </c>
      <c r="B35" s="30" t="s">
        <v>21</v>
      </c>
      <c r="C35" s="30" t="s">
        <v>22</v>
      </c>
      <c r="D35" s="30" t="s">
        <v>23</v>
      </c>
      <c r="E35" s="30" t="s">
        <v>84</v>
      </c>
      <c r="F35" s="31" t="s">
        <v>84</v>
      </c>
      <c r="G35" s="30" t="s">
        <v>26</v>
      </c>
      <c r="H35" s="30" t="s">
        <v>27</v>
      </c>
      <c r="I35" s="30">
        <v>3</v>
      </c>
      <c r="J35" s="30"/>
      <c r="K35" s="30"/>
      <c r="L35" s="32">
        <v>106.749325</v>
      </c>
      <c r="M35" s="32">
        <v>10.272679</v>
      </c>
      <c r="N35" s="32" t="s">
        <v>28</v>
      </c>
      <c r="O35" s="33" t="s">
        <v>29</v>
      </c>
      <c r="P35" s="30" t="s">
        <v>30</v>
      </c>
      <c r="Q35" s="30" t="s">
        <v>31</v>
      </c>
      <c r="R35" s="34" t="s">
        <v>32</v>
      </c>
      <c r="S35" s="35">
        <v>48040</v>
      </c>
      <c r="T35" s="36" t="s">
        <v>70</v>
      </c>
      <c r="U35" s="30" t="s">
        <v>70</v>
      </c>
      <c r="V35" s="37" t="e">
        <v>#N/A</v>
      </c>
      <c r="W35" s="31" t="s">
        <v>33</v>
      </c>
      <c r="X35" s="37"/>
      <c r="Y35" s="37">
        <f>COUNTIF(F:F,F35)</f>
        <v>1</v>
      </c>
      <c r="Z35" s="21" t="s">
        <v>1095</v>
      </c>
      <c r="AA35" s="21" t="s">
        <v>70</v>
      </c>
      <c r="AB35" s="21" t="s">
        <v>1118</v>
      </c>
    </row>
    <row r="36" spans="1:28" ht="13.9" customHeight="1" x14ac:dyDescent="0.3">
      <c r="A36" s="30" t="s">
        <v>20</v>
      </c>
      <c r="B36" s="30" t="s">
        <v>21</v>
      </c>
      <c r="C36" s="30" t="s">
        <v>22</v>
      </c>
      <c r="D36" s="30" t="s">
        <v>23</v>
      </c>
      <c r="E36" s="30" t="s">
        <v>549</v>
      </c>
      <c r="F36" s="31" t="s">
        <v>95</v>
      </c>
      <c r="G36" s="30" t="s">
        <v>26</v>
      </c>
      <c r="H36" s="30" t="s">
        <v>27</v>
      </c>
      <c r="I36" s="30">
        <v>3</v>
      </c>
      <c r="J36" s="30"/>
      <c r="K36" s="30"/>
      <c r="L36" s="32">
        <v>106.6877253</v>
      </c>
      <c r="M36" s="32">
        <v>10.312784199999999</v>
      </c>
      <c r="N36" s="32" t="s">
        <v>28</v>
      </c>
      <c r="O36" s="33" t="s">
        <v>29</v>
      </c>
      <c r="P36" s="30" t="s">
        <v>30</v>
      </c>
      <c r="Q36" s="30" t="s">
        <v>31</v>
      </c>
      <c r="R36" s="34" t="s">
        <v>32</v>
      </c>
      <c r="S36" s="35">
        <v>48040</v>
      </c>
      <c r="T36" s="36" t="s">
        <v>70</v>
      </c>
      <c r="U36" s="30" t="s">
        <v>70</v>
      </c>
      <c r="V36" s="37" t="s">
        <v>49</v>
      </c>
      <c r="W36" s="31" t="s">
        <v>50</v>
      </c>
      <c r="X36" s="37" t="s">
        <v>52</v>
      </c>
      <c r="Y36" s="37">
        <f>COUNTIF(F:F,F36)</f>
        <v>3</v>
      </c>
      <c r="Z36" s="21" t="s">
        <v>1095</v>
      </c>
      <c r="AA36" s="21" t="s">
        <v>70</v>
      </c>
      <c r="AB36" s="21" t="s">
        <v>1118</v>
      </c>
    </row>
    <row r="37" spans="1:28" s="22" customFormat="1" ht="13.9" customHeight="1" x14ac:dyDescent="0.3">
      <c r="A37" s="36" t="s">
        <v>20</v>
      </c>
      <c r="B37" s="36" t="s">
        <v>21</v>
      </c>
      <c r="C37" s="36" t="s">
        <v>22</v>
      </c>
      <c r="D37" s="36" t="s">
        <v>23</v>
      </c>
      <c r="E37" s="36" t="s">
        <v>94</v>
      </c>
      <c r="F37" s="31" t="s">
        <v>95</v>
      </c>
      <c r="G37" s="36" t="s">
        <v>26</v>
      </c>
      <c r="H37" s="36" t="s">
        <v>27</v>
      </c>
      <c r="I37" s="36">
        <v>3</v>
      </c>
      <c r="J37" s="36"/>
      <c r="K37" s="36"/>
      <c r="L37" s="38">
        <v>106.70901550000001</v>
      </c>
      <c r="M37" s="38">
        <v>10.3144011</v>
      </c>
      <c r="N37" s="38" t="s">
        <v>28</v>
      </c>
      <c r="O37" s="39" t="s">
        <v>29</v>
      </c>
      <c r="P37" s="36" t="s">
        <v>30</v>
      </c>
      <c r="Q37" s="30" t="s">
        <v>31</v>
      </c>
      <c r="R37" s="40" t="s">
        <v>32</v>
      </c>
      <c r="S37" s="35">
        <v>48040</v>
      </c>
      <c r="T37" s="36" t="s">
        <v>70</v>
      </c>
      <c r="U37" s="30" t="s">
        <v>70</v>
      </c>
      <c r="V37" s="37" t="e">
        <v>#N/A</v>
      </c>
      <c r="W37" s="31" t="s">
        <v>63</v>
      </c>
      <c r="X37" s="37" t="s">
        <v>52</v>
      </c>
      <c r="Y37" s="37">
        <f>COUNTIF(F:F,F37)</f>
        <v>3</v>
      </c>
      <c r="Z37" s="21" t="s">
        <v>1095</v>
      </c>
      <c r="AA37" s="21" t="s">
        <v>70</v>
      </c>
      <c r="AB37" s="21" t="s">
        <v>1118</v>
      </c>
    </row>
    <row r="38" spans="1:28" ht="13.9" customHeight="1" x14ac:dyDescent="0.3">
      <c r="A38" s="30" t="s">
        <v>20</v>
      </c>
      <c r="B38" s="30" t="s">
        <v>21</v>
      </c>
      <c r="C38" s="30" t="s">
        <v>22</v>
      </c>
      <c r="D38" s="30" t="s">
        <v>23</v>
      </c>
      <c r="E38" s="30" t="s">
        <v>95</v>
      </c>
      <c r="F38" s="31" t="s">
        <v>95</v>
      </c>
      <c r="G38" s="30" t="s">
        <v>26</v>
      </c>
      <c r="H38" s="30" t="s">
        <v>27</v>
      </c>
      <c r="I38" s="30">
        <v>3</v>
      </c>
      <c r="J38" s="30"/>
      <c r="K38" s="30"/>
      <c r="L38" s="32">
        <v>106.703576</v>
      </c>
      <c r="M38" s="32">
        <v>10.322753000000001</v>
      </c>
      <c r="N38" s="32" t="s">
        <v>28</v>
      </c>
      <c r="O38" s="33" t="s">
        <v>29</v>
      </c>
      <c r="P38" s="30" t="s">
        <v>30</v>
      </c>
      <c r="Q38" s="30" t="s">
        <v>31</v>
      </c>
      <c r="R38" s="34" t="s">
        <v>32</v>
      </c>
      <c r="S38" s="35">
        <v>48040</v>
      </c>
      <c r="T38" s="36" t="s">
        <v>70</v>
      </c>
      <c r="U38" s="30" t="s">
        <v>70</v>
      </c>
      <c r="V38" s="37" t="e">
        <v>#N/A</v>
      </c>
      <c r="W38" s="31" t="s">
        <v>33</v>
      </c>
      <c r="X38" s="37" t="s">
        <v>42</v>
      </c>
      <c r="Y38" s="37">
        <f>COUNTIF(F:F,F38)</f>
        <v>3</v>
      </c>
      <c r="Z38" s="21" t="s">
        <v>1095</v>
      </c>
      <c r="AA38" s="21" t="s">
        <v>70</v>
      </c>
      <c r="AB38" s="21" t="s">
        <v>1118</v>
      </c>
    </row>
    <row r="39" spans="1:28" ht="13.9" customHeight="1" x14ac:dyDescent="0.3">
      <c r="A39" s="30" t="s">
        <v>20</v>
      </c>
      <c r="B39" s="30" t="s">
        <v>21</v>
      </c>
      <c r="C39" s="30" t="s">
        <v>22</v>
      </c>
      <c r="D39" s="30" t="s">
        <v>23</v>
      </c>
      <c r="E39" s="30" t="s">
        <v>85</v>
      </c>
      <c r="F39" s="31" t="s">
        <v>86</v>
      </c>
      <c r="G39" s="30" t="s">
        <v>26</v>
      </c>
      <c r="H39" s="30" t="s">
        <v>27</v>
      </c>
      <c r="I39" s="30">
        <v>3</v>
      </c>
      <c r="J39" s="30"/>
      <c r="K39" s="30"/>
      <c r="L39" s="32">
        <v>106.76622</v>
      </c>
      <c r="M39" s="32">
        <v>10.290158999999999</v>
      </c>
      <c r="N39" s="32" t="s">
        <v>28</v>
      </c>
      <c r="O39" s="33" t="s">
        <v>29</v>
      </c>
      <c r="P39" s="30" t="s">
        <v>30</v>
      </c>
      <c r="Q39" s="30" t="s">
        <v>31</v>
      </c>
      <c r="R39" s="34" t="s">
        <v>32</v>
      </c>
      <c r="S39" s="14">
        <v>48000</v>
      </c>
      <c r="T39" s="36" t="s">
        <v>70</v>
      </c>
      <c r="U39" s="30" t="s">
        <v>70</v>
      </c>
      <c r="V39" s="37" t="e">
        <v>#N/A</v>
      </c>
      <c r="W39" s="31" t="s">
        <v>33</v>
      </c>
      <c r="X39" s="37"/>
      <c r="Y39" s="37">
        <f>COUNTIF(F:F,F39)</f>
        <v>1</v>
      </c>
      <c r="Z39" s="21" t="s">
        <v>1095</v>
      </c>
      <c r="AA39" s="21" t="s">
        <v>70</v>
      </c>
      <c r="AB39" s="21" t="s">
        <v>1118</v>
      </c>
    </row>
    <row r="40" spans="1:28" ht="13.9" customHeight="1" x14ac:dyDescent="0.3">
      <c r="A40" s="30" t="s">
        <v>20</v>
      </c>
      <c r="B40" s="30" t="s">
        <v>21</v>
      </c>
      <c r="C40" s="30" t="s">
        <v>22</v>
      </c>
      <c r="D40" s="30" t="s">
        <v>23</v>
      </c>
      <c r="E40" s="30" t="s">
        <v>96</v>
      </c>
      <c r="F40" s="31" t="s">
        <v>96</v>
      </c>
      <c r="G40" s="30" t="s">
        <v>26</v>
      </c>
      <c r="H40" s="30" t="s">
        <v>36</v>
      </c>
      <c r="I40" s="30">
        <v>4</v>
      </c>
      <c r="J40" s="30" t="s">
        <v>37</v>
      </c>
      <c r="K40" s="30" t="s">
        <v>97</v>
      </c>
      <c r="L40" s="32">
        <v>106.6755484</v>
      </c>
      <c r="M40" s="32">
        <v>10.362019500000001</v>
      </c>
      <c r="N40" s="32" t="s">
        <v>98</v>
      </c>
      <c r="O40" s="33" t="s">
        <v>29</v>
      </c>
      <c r="P40" s="30" t="s">
        <v>39</v>
      </c>
      <c r="Q40" s="30" t="s">
        <v>31</v>
      </c>
      <c r="R40" s="34" t="s">
        <v>32</v>
      </c>
      <c r="S40" s="35">
        <v>48030</v>
      </c>
      <c r="T40" s="36" t="s">
        <v>99</v>
      </c>
      <c r="U40" s="30" t="s">
        <v>99</v>
      </c>
      <c r="V40" s="37" t="e">
        <v>#N/A</v>
      </c>
      <c r="W40" s="31" t="s">
        <v>33</v>
      </c>
      <c r="X40" s="37"/>
      <c r="Y40" s="37">
        <f>COUNTIF(F:F,F40)</f>
        <v>1</v>
      </c>
      <c r="Z40" s="21" t="s">
        <v>1097</v>
      </c>
      <c r="AA40" s="21" t="s">
        <v>99</v>
      </c>
      <c r="AB40" s="21" t="s">
        <v>1118</v>
      </c>
    </row>
    <row r="41" spans="1:28" ht="13.9" customHeight="1" x14ac:dyDescent="0.3">
      <c r="A41" s="36" t="s">
        <v>20</v>
      </c>
      <c r="B41" s="36" t="s">
        <v>21</v>
      </c>
      <c r="C41" s="36" t="s">
        <v>22</v>
      </c>
      <c r="D41" s="36" t="s">
        <v>23</v>
      </c>
      <c r="E41" s="36" t="s">
        <v>117</v>
      </c>
      <c r="F41" s="31" t="s">
        <v>118</v>
      </c>
      <c r="G41" s="36" t="s">
        <v>26</v>
      </c>
      <c r="H41" s="36" t="s">
        <v>36</v>
      </c>
      <c r="I41" s="36">
        <v>3</v>
      </c>
      <c r="J41" s="36" t="s">
        <v>37</v>
      </c>
      <c r="K41" s="36" t="s">
        <v>38</v>
      </c>
      <c r="L41" s="38">
        <v>106.682749</v>
      </c>
      <c r="M41" s="38">
        <v>10.3618881</v>
      </c>
      <c r="N41" s="38" t="s">
        <v>98</v>
      </c>
      <c r="O41" s="39" t="s">
        <v>29</v>
      </c>
      <c r="P41" s="36" t="s">
        <v>39</v>
      </c>
      <c r="Q41" s="30" t="s">
        <v>31</v>
      </c>
      <c r="R41" s="40" t="s">
        <v>32</v>
      </c>
      <c r="S41" s="35">
        <v>48030</v>
      </c>
      <c r="T41" s="36" t="s">
        <v>99</v>
      </c>
      <c r="U41" s="30" t="s">
        <v>99</v>
      </c>
      <c r="V41" s="37" t="e">
        <v>#N/A</v>
      </c>
      <c r="W41" s="31" t="s">
        <v>63</v>
      </c>
      <c r="X41" s="37" t="s">
        <v>52</v>
      </c>
      <c r="Y41" s="37">
        <f>COUNTIF(F:F,F41)</f>
        <v>3</v>
      </c>
      <c r="Z41" s="21" t="s">
        <v>1097</v>
      </c>
      <c r="AA41" s="21" t="s">
        <v>99</v>
      </c>
      <c r="AB41" s="21" t="s">
        <v>1118</v>
      </c>
    </row>
    <row r="42" spans="1:28" ht="13.9" customHeight="1" x14ac:dyDescent="0.3">
      <c r="A42" s="30" t="s">
        <v>20</v>
      </c>
      <c r="B42" s="30" t="s">
        <v>21</v>
      </c>
      <c r="C42" s="30" t="s">
        <v>22</v>
      </c>
      <c r="D42" s="30" t="s">
        <v>23</v>
      </c>
      <c r="E42" s="30" t="s">
        <v>118</v>
      </c>
      <c r="F42" s="31" t="s">
        <v>118</v>
      </c>
      <c r="G42" s="30" t="s">
        <v>26</v>
      </c>
      <c r="H42" s="30" t="s">
        <v>27</v>
      </c>
      <c r="I42" s="30">
        <v>3</v>
      </c>
      <c r="J42" s="30" t="s">
        <v>37</v>
      </c>
      <c r="K42" s="30" t="s">
        <v>38</v>
      </c>
      <c r="L42" s="32">
        <v>106.6856497</v>
      </c>
      <c r="M42" s="32">
        <v>10.350479699999999</v>
      </c>
      <c r="N42" s="32" t="s">
        <v>98</v>
      </c>
      <c r="O42" s="33" t="s">
        <v>29</v>
      </c>
      <c r="P42" s="30" t="s">
        <v>41</v>
      </c>
      <c r="Q42" s="30" t="s">
        <v>31</v>
      </c>
      <c r="R42" s="34" t="s">
        <v>32</v>
      </c>
      <c r="S42" s="35">
        <v>48030</v>
      </c>
      <c r="T42" s="36" t="s">
        <v>99</v>
      </c>
      <c r="U42" s="30" t="s">
        <v>99</v>
      </c>
      <c r="V42" s="37" t="e">
        <v>#N/A</v>
      </c>
      <c r="W42" s="31" t="s">
        <v>33</v>
      </c>
      <c r="X42" s="37" t="s">
        <v>42</v>
      </c>
      <c r="Y42" s="37">
        <f>COUNTIF(F:F,F42)</f>
        <v>3</v>
      </c>
      <c r="Z42" s="21" t="s">
        <v>1097</v>
      </c>
      <c r="AA42" s="21" t="s">
        <v>99</v>
      </c>
      <c r="AB42" s="21" t="s">
        <v>1118</v>
      </c>
    </row>
    <row r="43" spans="1:28" ht="13.9" customHeight="1" x14ac:dyDescent="0.3">
      <c r="A43" s="41" t="s">
        <v>20</v>
      </c>
      <c r="B43" s="41" t="s">
        <v>21</v>
      </c>
      <c r="C43" s="41" t="s">
        <v>22</v>
      </c>
      <c r="D43" s="41" t="s">
        <v>23</v>
      </c>
      <c r="E43" s="41" t="s">
        <v>119</v>
      </c>
      <c r="F43" s="31" t="s">
        <v>118</v>
      </c>
      <c r="G43" s="41" t="s">
        <v>26</v>
      </c>
      <c r="H43" s="36" t="s">
        <v>27</v>
      </c>
      <c r="I43" s="36">
        <v>3</v>
      </c>
      <c r="J43" s="36"/>
      <c r="K43" s="36"/>
      <c r="L43" s="38">
        <v>106.69085990000001</v>
      </c>
      <c r="M43" s="38">
        <v>10.341678699999999</v>
      </c>
      <c r="N43" s="38" t="s">
        <v>28</v>
      </c>
      <c r="O43" s="39" t="s">
        <v>29</v>
      </c>
      <c r="P43" s="36" t="s">
        <v>30</v>
      </c>
      <c r="Q43" s="41" t="s">
        <v>31</v>
      </c>
      <c r="R43" s="42" t="s">
        <v>32</v>
      </c>
      <c r="S43" s="35">
        <v>48040</v>
      </c>
      <c r="T43" s="36" t="s">
        <v>120</v>
      </c>
      <c r="U43" s="30" t="s">
        <v>1088</v>
      </c>
      <c r="V43" s="37" t="e">
        <v>#N/A</v>
      </c>
      <c r="W43" s="31" t="s">
        <v>63</v>
      </c>
      <c r="X43" s="37" t="s">
        <v>52</v>
      </c>
      <c r="Y43" s="37">
        <f>COUNTIF(F:F,F43)</f>
        <v>3</v>
      </c>
      <c r="Z43" s="21" t="s">
        <v>1097</v>
      </c>
      <c r="AA43" s="21" t="s">
        <v>99</v>
      </c>
      <c r="AB43" s="21" t="s">
        <v>1118</v>
      </c>
    </row>
    <row r="44" spans="1:28" ht="13.9" customHeight="1" x14ac:dyDescent="0.3">
      <c r="A44" s="30" t="s">
        <v>20</v>
      </c>
      <c r="B44" s="30" t="s">
        <v>21</v>
      </c>
      <c r="C44" s="30" t="s">
        <v>22</v>
      </c>
      <c r="D44" s="30" t="s">
        <v>23</v>
      </c>
      <c r="E44" s="30" t="s">
        <v>100</v>
      </c>
      <c r="F44" s="31" t="s">
        <v>100</v>
      </c>
      <c r="G44" s="30" t="s">
        <v>26</v>
      </c>
      <c r="H44" s="30" t="s">
        <v>36</v>
      </c>
      <c r="I44" s="30">
        <v>4</v>
      </c>
      <c r="J44" s="30" t="s">
        <v>37</v>
      </c>
      <c r="K44" s="30" t="s">
        <v>38</v>
      </c>
      <c r="L44" s="32">
        <v>106.67931</v>
      </c>
      <c r="M44" s="32">
        <v>10.36816</v>
      </c>
      <c r="N44" s="32" t="s">
        <v>98</v>
      </c>
      <c r="O44" s="33" t="s">
        <v>29</v>
      </c>
      <c r="P44" s="30" t="s">
        <v>39</v>
      </c>
      <c r="Q44" s="30" t="s">
        <v>31</v>
      </c>
      <c r="R44" s="34" t="s">
        <v>32</v>
      </c>
      <c r="S44" s="35">
        <v>48030</v>
      </c>
      <c r="T44" s="36" t="s">
        <v>99</v>
      </c>
      <c r="U44" s="30" t="s">
        <v>99</v>
      </c>
      <c r="V44" s="37" t="e">
        <v>#N/A</v>
      </c>
      <c r="W44" s="31" t="s">
        <v>33</v>
      </c>
      <c r="X44" s="37"/>
      <c r="Y44" s="37">
        <f>COUNTIF(F:F,F44)</f>
        <v>1</v>
      </c>
      <c r="Z44" s="21" t="s">
        <v>1097</v>
      </c>
      <c r="AA44" s="21" t="s">
        <v>99</v>
      </c>
      <c r="AB44" s="21" t="s">
        <v>1118</v>
      </c>
    </row>
    <row r="45" spans="1:28" ht="13.9" customHeight="1" x14ac:dyDescent="0.3">
      <c r="A45" s="30" t="s">
        <v>20</v>
      </c>
      <c r="B45" s="30" t="s">
        <v>21</v>
      </c>
      <c r="C45" s="30" t="s">
        <v>22</v>
      </c>
      <c r="D45" s="30" t="s">
        <v>23</v>
      </c>
      <c r="E45" s="30" t="s">
        <v>101</v>
      </c>
      <c r="F45" s="31" t="s">
        <v>101</v>
      </c>
      <c r="G45" s="30" t="s">
        <v>26</v>
      </c>
      <c r="H45" s="30" t="s">
        <v>36</v>
      </c>
      <c r="I45" s="30">
        <v>3</v>
      </c>
      <c r="J45" s="30" t="s">
        <v>37</v>
      </c>
      <c r="K45" s="30" t="s">
        <v>38</v>
      </c>
      <c r="L45" s="32">
        <v>106.67521000000001</v>
      </c>
      <c r="M45" s="32">
        <v>10.39987</v>
      </c>
      <c r="N45" s="32" t="s">
        <v>98</v>
      </c>
      <c r="O45" s="33" t="s">
        <v>29</v>
      </c>
      <c r="P45" s="30" t="s">
        <v>39</v>
      </c>
      <c r="Q45" s="30" t="s">
        <v>31</v>
      </c>
      <c r="R45" s="34" t="s">
        <v>32</v>
      </c>
      <c r="S45" s="35">
        <v>48030</v>
      </c>
      <c r="T45" s="36" t="s">
        <v>99</v>
      </c>
      <c r="U45" s="30" t="s">
        <v>99</v>
      </c>
      <c r="V45" s="37" t="e">
        <v>#N/A</v>
      </c>
      <c r="W45" s="31" t="s">
        <v>33</v>
      </c>
      <c r="X45" s="37"/>
      <c r="Y45" s="37">
        <f>COUNTIF(F:F,F45)</f>
        <v>1</v>
      </c>
      <c r="Z45" s="21" t="s">
        <v>1097</v>
      </c>
      <c r="AA45" s="21" t="s">
        <v>99</v>
      </c>
      <c r="AB45" s="21" t="s">
        <v>1118</v>
      </c>
    </row>
    <row r="46" spans="1:28" ht="13.9" customHeight="1" x14ac:dyDescent="0.3">
      <c r="A46" s="30" t="s">
        <v>20</v>
      </c>
      <c r="B46" s="30" t="s">
        <v>21</v>
      </c>
      <c r="C46" s="30" t="s">
        <v>22</v>
      </c>
      <c r="D46" s="30" t="s">
        <v>23</v>
      </c>
      <c r="E46" s="30" t="s">
        <v>102</v>
      </c>
      <c r="F46" s="31" t="s">
        <v>102</v>
      </c>
      <c r="G46" s="30" t="s">
        <v>26</v>
      </c>
      <c r="H46" s="30" t="s">
        <v>27</v>
      </c>
      <c r="I46" s="30">
        <v>3</v>
      </c>
      <c r="J46" s="30"/>
      <c r="K46" s="30"/>
      <c r="L46" s="32">
        <v>106.651393</v>
      </c>
      <c r="M46" s="32">
        <v>10.3775409</v>
      </c>
      <c r="N46" s="32" t="s">
        <v>98</v>
      </c>
      <c r="O46" s="33" t="s">
        <v>29</v>
      </c>
      <c r="P46" s="30" t="s">
        <v>30</v>
      </c>
      <c r="Q46" s="30" t="s">
        <v>31</v>
      </c>
      <c r="R46" s="34" t="s">
        <v>32</v>
      </c>
      <c r="S46" s="35">
        <v>48030</v>
      </c>
      <c r="T46" s="36" t="s">
        <v>99</v>
      </c>
      <c r="U46" s="30" t="s">
        <v>99</v>
      </c>
      <c r="V46" s="37" t="e">
        <v>#N/A</v>
      </c>
      <c r="W46" s="31" t="s">
        <v>33</v>
      </c>
      <c r="X46" s="37"/>
      <c r="Y46" s="37">
        <f>COUNTIF(F:F,F46)</f>
        <v>1</v>
      </c>
      <c r="Z46" s="21" t="s">
        <v>1097</v>
      </c>
      <c r="AA46" s="21" t="s">
        <v>99</v>
      </c>
      <c r="AB46" s="21" t="s">
        <v>1118</v>
      </c>
    </row>
    <row r="47" spans="1:28" ht="13.9" customHeight="1" x14ac:dyDescent="0.3">
      <c r="A47" s="30" t="s">
        <v>20</v>
      </c>
      <c r="B47" s="30" t="s">
        <v>21</v>
      </c>
      <c r="C47" s="30" t="s">
        <v>22</v>
      </c>
      <c r="D47" s="30" t="s">
        <v>23</v>
      </c>
      <c r="E47" s="30" t="s">
        <v>121</v>
      </c>
      <c r="F47" s="31" t="s">
        <v>121</v>
      </c>
      <c r="G47" s="30" t="s">
        <v>26</v>
      </c>
      <c r="H47" s="30" t="s">
        <v>27</v>
      </c>
      <c r="I47" s="30">
        <v>3</v>
      </c>
      <c r="J47" s="30"/>
      <c r="K47" s="30"/>
      <c r="L47" s="32">
        <v>106.69392689999999</v>
      </c>
      <c r="M47" s="32">
        <v>10.3670022</v>
      </c>
      <c r="N47" s="32" t="s">
        <v>98</v>
      </c>
      <c r="O47" s="33" t="s">
        <v>29</v>
      </c>
      <c r="P47" s="30" t="s">
        <v>30</v>
      </c>
      <c r="Q47" s="30" t="s">
        <v>31</v>
      </c>
      <c r="R47" s="34" t="s">
        <v>32</v>
      </c>
      <c r="S47" s="35">
        <v>48030</v>
      </c>
      <c r="T47" s="36" t="s">
        <v>99</v>
      </c>
      <c r="U47" s="30" t="s">
        <v>99</v>
      </c>
      <c r="V47" s="37" t="e">
        <v>#N/A</v>
      </c>
      <c r="W47" s="31" t="s">
        <v>33</v>
      </c>
      <c r="X47" s="37" t="s">
        <v>42</v>
      </c>
      <c r="Y47" s="37">
        <f>COUNTIF(F:F,F47)</f>
        <v>3</v>
      </c>
      <c r="Z47" s="21" t="s">
        <v>1097</v>
      </c>
      <c r="AA47" s="21" t="s">
        <v>99</v>
      </c>
      <c r="AB47" s="21" t="s">
        <v>1118</v>
      </c>
    </row>
    <row r="48" spans="1:28" ht="13.9" customHeight="1" x14ac:dyDescent="0.3">
      <c r="A48" s="36" t="s">
        <v>20</v>
      </c>
      <c r="B48" s="36" t="s">
        <v>21</v>
      </c>
      <c r="C48" s="36" t="s">
        <v>22</v>
      </c>
      <c r="D48" s="36" t="s">
        <v>23</v>
      </c>
      <c r="E48" s="36" t="s">
        <v>122</v>
      </c>
      <c r="F48" s="31" t="s">
        <v>121</v>
      </c>
      <c r="G48" s="36" t="s">
        <v>26</v>
      </c>
      <c r="H48" s="36" t="s">
        <v>27</v>
      </c>
      <c r="I48" s="36">
        <v>3</v>
      </c>
      <c r="J48" s="36"/>
      <c r="K48" s="36"/>
      <c r="L48" s="38">
        <v>106.70491</v>
      </c>
      <c r="M48" s="38">
        <v>10.361330000000001</v>
      </c>
      <c r="N48" s="38" t="s">
        <v>98</v>
      </c>
      <c r="O48" s="39" t="s">
        <v>29</v>
      </c>
      <c r="P48" s="36" t="s">
        <v>30</v>
      </c>
      <c r="Q48" s="30" t="s">
        <v>31</v>
      </c>
      <c r="R48" s="40" t="s">
        <v>32</v>
      </c>
      <c r="S48" s="35">
        <v>48030</v>
      </c>
      <c r="T48" s="36" t="s">
        <v>99</v>
      </c>
      <c r="U48" s="30" t="s">
        <v>99</v>
      </c>
      <c r="V48" s="37" t="e">
        <v>#N/A</v>
      </c>
      <c r="W48" s="31" t="s">
        <v>63</v>
      </c>
      <c r="X48" s="37" t="s">
        <v>52</v>
      </c>
      <c r="Y48" s="37">
        <f>COUNTIF(F:F,F48)</f>
        <v>3</v>
      </c>
      <c r="Z48" s="21" t="s">
        <v>1097</v>
      </c>
      <c r="AA48" s="21" t="s">
        <v>99</v>
      </c>
      <c r="AB48" s="21" t="s">
        <v>1118</v>
      </c>
    </row>
    <row r="49" spans="1:28" ht="13.9" customHeight="1" x14ac:dyDescent="0.3">
      <c r="A49" s="30" t="s">
        <v>20</v>
      </c>
      <c r="B49" s="30" t="s">
        <v>21</v>
      </c>
      <c r="C49" s="30" t="s">
        <v>22</v>
      </c>
      <c r="D49" s="30" t="s">
        <v>23</v>
      </c>
      <c r="E49" s="30" t="s">
        <v>540</v>
      </c>
      <c r="F49" s="31" t="s">
        <v>121</v>
      </c>
      <c r="G49" s="30" t="s">
        <v>26</v>
      </c>
      <c r="H49" s="30" t="s">
        <v>36</v>
      </c>
      <c r="I49" s="30">
        <v>3</v>
      </c>
      <c r="J49" s="30" t="s">
        <v>37</v>
      </c>
      <c r="K49" s="30" t="s">
        <v>38</v>
      </c>
      <c r="L49" s="32">
        <v>106.69437859999999</v>
      </c>
      <c r="M49" s="32">
        <v>10.3765819</v>
      </c>
      <c r="N49" s="32" t="s">
        <v>98</v>
      </c>
      <c r="O49" s="33" t="s">
        <v>29</v>
      </c>
      <c r="P49" s="30" t="s">
        <v>39</v>
      </c>
      <c r="Q49" s="30" t="s">
        <v>31</v>
      </c>
      <c r="R49" s="34" t="s">
        <v>32</v>
      </c>
      <c r="S49" s="35">
        <v>48030</v>
      </c>
      <c r="T49" s="36" t="s">
        <v>99</v>
      </c>
      <c r="U49" s="30" t="s">
        <v>99</v>
      </c>
      <c r="V49" s="37" t="s">
        <v>49</v>
      </c>
      <c r="W49" s="31" t="s">
        <v>50</v>
      </c>
      <c r="X49" s="37" t="s">
        <v>52</v>
      </c>
      <c r="Y49" s="37">
        <f>COUNTIF(F:F,F49)</f>
        <v>3</v>
      </c>
      <c r="Z49" s="21" t="s">
        <v>1097</v>
      </c>
      <c r="AA49" s="21" t="s">
        <v>99</v>
      </c>
      <c r="AB49" s="21" t="s">
        <v>1118</v>
      </c>
    </row>
    <row r="50" spans="1:28" ht="13.9" customHeight="1" x14ac:dyDescent="0.3">
      <c r="A50" s="30" t="s">
        <v>20</v>
      </c>
      <c r="B50" s="30" t="s">
        <v>21</v>
      </c>
      <c r="C50" s="30" t="s">
        <v>22</v>
      </c>
      <c r="D50" s="30" t="s">
        <v>23</v>
      </c>
      <c r="E50" s="30" t="s">
        <v>123</v>
      </c>
      <c r="F50" s="31" t="s">
        <v>123</v>
      </c>
      <c r="G50" s="30" t="s">
        <v>26</v>
      </c>
      <c r="H50" s="30" t="s">
        <v>36</v>
      </c>
      <c r="I50" s="30">
        <v>3</v>
      </c>
      <c r="J50" s="30" t="s">
        <v>37</v>
      </c>
      <c r="K50" s="30" t="s">
        <v>38</v>
      </c>
      <c r="L50" s="32">
        <v>106.6598104</v>
      </c>
      <c r="M50" s="32">
        <v>10.3592589</v>
      </c>
      <c r="N50" s="32" t="s">
        <v>98</v>
      </c>
      <c r="O50" s="33" t="s">
        <v>29</v>
      </c>
      <c r="P50" s="30" t="s">
        <v>39</v>
      </c>
      <c r="Q50" s="30" t="s">
        <v>31</v>
      </c>
      <c r="R50" s="34" t="s">
        <v>32</v>
      </c>
      <c r="S50" s="35">
        <v>48030</v>
      </c>
      <c r="T50" s="36" t="s">
        <v>99</v>
      </c>
      <c r="U50" s="30" t="s">
        <v>99</v>
      </c>
      <c r="V50" s="37" t="e">
        <v>#N/A</v>
      </c>
      <c r="W50" s="31" t="s">
        <v>33</v>
      </c>
      <c r="X50" s="37" t="s">
        <v>42</v>
      </c>
      <c r="Y50" s="37">
        <f>COUNTIF(F:F,F50)</f>
        <v>2</v>
      </c>
      <c r="Z50" s="21" t="s">
        <v>1097</v>
      </c>
      <c r="AA50" s="21" t="s">
        <v>99</v>
      </c>
      <c r="AB50" s="21" t="s">
        <v>1118</v>
      </c>
    </row>
    <row r="51" spans="1:28" ht="13.9" customHeight="1" x14ac:dyDescent="0.3">
      <c r="A51" s="36" t="s">
        <v>20</v>
      </c>
      <c r="B51" s="36" t="s">
        <v>21</v>
      </c>
      <c r="C51" s="36" t="s">
        <v>22</v>
      </c>
      <c r="D51" s="36" t="s">
        <v>23</v>
      </c>
      <c r="E51" s="36" t="s">
        <v>124</v>
      </c>
      <c r="F51" s="31" t="s">
        <v>123</v>
      </c>
      <c r="G51" s="36" t="s">
        <v>26</v>
      </c>
      <c r="H51" s="36" t="s">
        <v>36</v>
      </c>
      <c r="I51" s="36">
        <v>3</v>
      </c>
      <c r="J51" s="36"/>
      <c r="K51" s="36"/>
      <c r="L51" s="38">
        <v>106.664947</v>
      </c>
      <c r="M51" s="38">
        <v>10.356858000000001</v>
      </c>
      <c r="N51" s="38" t="s">
        <v>98</v>
      </c>
      <c r="O51" s="39" t="s">
        <v>29</v>
      </c>
      <c r="P51" s="36" t="s">
        <v>109</v>
      </c>
      <c r="Q51" s="30" t="s">
        <v>31</v>
      </c>
      <c r="R51" s="40" t="s">
        <v>32</v>
      </c>
      <c r="S51" s="35">
        <v>48030</v>
      </c>
      <c r="T51" s="36" t="s">
        <v>99</v>
      </c>
      <c r="U51" s="30" t="s">
        <v>99</v>
      </c>
      <c r="V51" s="37" t="e">
        <v>#N/A</v>
      </c>
      <c r="W51" s="31" t="s">
        <v>63</v>
      </c>
      <c r="X51" s="37" t="s">
        <v>52</v>
      </c>
      <c r="Y51" s="37">
        <f>COUNTIF(F:F,F51)</f>
        <v>2</v>
      </c>
      <c r="Z51" s="21" t="s">
        <v>1097</v>
      </c>
      <c r="AA51" s="21" t="s">
        <v>99</v>
      </c>
      <c r="AB51" s="21" t="s">
        <v>1118</v>
      </c>
    </row>
    <row r="52" spans="1:28" ht="13.9" customHeight="1" x14ac:dyDescent="0.3">
      <c r="A52" s="30" t="s">
        <v>20</v>
      </c>
      <c r="B52" s="30" t="s">
        <v>21</v>
      </c>
      <c r="C52" s="30" t="s">
        <v>22</v>
      </c>
      <c r="D52" s="30" t="s">
        <v>23</v>
      </c>
      <c r="E52" s="30" t="s">
        <v>103</v>
      </c>
      <c r="F52" s="31" t="s">
        <v>103</v>
      </c>
      <c r="G52" s="30" t="s">
        <v>26</v>
      </c>
      <c r="H52" s="30" t="s">
        <v>36</v>
      </c>
      <c r="I52" s="30">
        <v>3</v>
      </c>
      <c r="J52" s="30" t="s">
        <v>37</v>
      </c>
      <c r="K52" s="30" t="s">
        <v>38</v>
      </c>
      <c r="L52" s="32">
        <v>106.68273929999999</v>
      </c>
      <c r="M52" s="32">
        <v>10.3829949</v>
      </c>
      <c r="N52" s="32" t="s">
        <v>98</v>
      </c>
      <c r="O52" s="33" t="s">
        <v>29</v>
      </c>
      <c r="P52" s="30" t="s">
        <v>39</v>
      </c>
      <c r="Q52" s="30" t="s">
        <v>31</v>
      </c>
      <c r="R52" s="34" t="s">
        <v>32</v>
      </c>
      <c r="S52" s="35">
        <v>48030</v>
      </c>
      <c r="T52" s="36" t="s">
        <v>99</v>
      </c>
      <c r="U52" s="30" t="s">
        <v>99</v>
      </c>
      <c r="V52" s="37" t="e">
        <v>#N/A</v>
      </c>
      <c r="W52" s="31" t="s">
        <v>33</v>
      </c>
      <c r="X52" s="37"/>
      <c r="Y52" s="37">
        <f>COUNTIF(F:F,F52)</f>
        <v>1</v>
      </c>
      <c r="Z52" s="21" t="s">
        <v>1097</v>
      </c>
      <c r="AA52" s="21" t="s">
        <v>99</v>
      </c>
      <c r="AB52" s="21" t="s">
        <v>1118</v>
      </c>
    </row>
    <row r="53" spans="1:28" ht="13.9" customHeight="1" x14ac:dyDescent="0.3">
      <c r="A53" s="30" t="s">
        <v>20</v>
      </c>
      <c r="B53" s="30" t="s">
        <v>21</v>
      </c>
      <c r="C53" s="30" t="s">
        <v>22</v>
      </c>
      <c r="D53" s="30" t="s">
        <v>23</v>
      </c>
      <c r="E53" s="30" t="s">
        <v>104</v>
      </c>
      <c r="F53" s="31" t="s">
        <v>104</v>
      </c>
      <c r="G53" s="30" t="s">
        <v>26</v>
      </c>
      <c r="H53" s="30" t="s">
        <v>36</v>
      </c>
      <c r="I53" s="30">
        <v>4</v>
      </c>
      <c r="J53" s="30" t="s">
        <v>37</v>
      </c>
      <c r="K53" s="30" t="s">
        <v>38</v>
      </c>
      <c r="L53" s="32">
        <v>106.67119099999999</v>
      </c>
      <c r="M53" s="32">
        <v>10.3640905</v>
      </c>
      <c r="N53" s="32" t="s">
        <v>98</v>
      </c>
      <c r="O53" s="33" t="s">
        <v>29</v>
      </c>
      <c r="P53" s="30" t="s">
        <v>39</v>
      </c>
      <c r="Q53" s="30" t="s">
        <v>31</v>
      </c>
      <c r="R53" s="34" t="s">
        <v>32</v>
      </c>
      <c r="S53" s="35">
        <v>48030</v>
      </c>
      <c r="T53" s="36" t="s">
        <v>99</v>
      </c>
      <c r="U53" s="30" t="s">
        <v>99</v>
      </c>
      <c r="V53" s="37" t="e">
        <v>#N/A</v>
      </c>
      <c r="W53" s="31" t="s">
        <v>33</v>
      </c>
      <c r="X53" s="37"/>
      <c r="Y53" s="37">
        <f>COUNTIF(F:F,F53)</f>
        <v>1</v>
      </c>
      <c r="Z53" s="21" t="s">
        <v>1097</v>
      </c>
      <c r="AA53" s="21" t="s">
        <v>99</v>
      </c>
      <c r="AB53" s="21" t="s">
        <v>1118</v>
      </c>
    </row>
    <row r="54" spans="1:28" ht="13.9" customHeight="1" x14ac:dyDescent="0.3">
      <c r="A54" s="36" t="s">
        <v>20</v>
      </c>
      <c r="B54" s="36" t="s">
        <v>21</v>
      </c>
      <c r="C54" s="36" t="s">
        <v>22</v>
      </c>
      <c r="D54" s="36" t="s">
        <v>23</v>
      </c>
      <c r="E54" s="36" t="s">
        <v>125</v>
      </c>
      <c r="F54" s="31" t="s">
        <v>126</v>
      </c>
      <c r="G54" s="36" t="s">
        <v>26</v>
      </c>
      <c r="H54" s="36" t="s">
        <v>27</v>
      </c>
      <c r="I54" s="36">
        <v>3</v>
      </c>
      <c r="J54" s="36"/>
      <c r="K54" s="36"/>
      <c r="L54" s="38">
        <v>106.6715384</v>
      </c>
      <c r="M54" s="38">
        <v>10.3465167</v>
      </c>
      <c r="N54" s="38" t="s">
        <v>98</v>
      </c>
      <c r="O54" s="39" t="s">
        <v>29</v>
      </c>
      <c r="P54" s="36" t="s">
        <v>30</v>
      </c>
      <c r="Q54" s="30" t="s">
        <v>31</v>
      </c>
      <c r="R54" s="40" t="s">
        <v>32</v>
      </c>
      <c r="S54" s="35">
        <v>48030</v>
      </c>
      <c r="T54" s="36" t="s">
        <v>99</v>
      </c>
      <c r="U54" s="30" t="s">
        <v>99</v>
      </c>
      <c r="V54" s="37" t="e">
        <v>#N/A</v>
      </c>
      <c r="W54" s="31" t="s">
        <v>63</v>
      </c>
      <c r="X54" s="37" t="s">
        <v>52</v>
      </c>
      <c r="Y54" s="37">
        <f>COUNTIF(F:F,F54)</f>
        <v>2</v>
      </c>
      <c r="Z54" s="21" t="s">
        <v>1097</v>
      </c>
      <c r="AA54" s="21" t="s">
        <v>99</v>
      </c>
      <c r="AB54" s="21" t="s">
        <v>1118</v>
      </c>
    </row>
    <row r="55" spans="1:28" ht="13.9" customHeight="1" x14ac:dyDescent="0.3">
      <c r="A55" s="30" t="s">
        <v>20</v>
      </c>
      <c r="B55" s="30" t="s">
        <v>21</v>
      </c>
      <c r="C55" s="30" t="s">
        <v>22</v>
      </c>
      <c r="D55" s="30" t="s">
        <v>23</v>
      </c>
      <c r="E55" s="30" t="s">
        <v>126</v>
      </c>
      <c r="F55" s="31" t="s">
        <v>126</v>
      </c>
      <c r="G55" s="30" t="s">
        <v>26</v>
      </c>
      <c r="H55" s="30" t="s">
        <v>36</v>
      </c>
      <c r="I55" s="30">
        <v>3</v>
      </c>
      <c r="J55" s="30"/>
      <c r="K55" s="30"/>
      <c r="L55" s="32">
        <v>106.6766616</v>
      </c>
      <c r="M55" s="32">
        <v>10.3523716</v>
      </c>
      <c r="N55" s="32" t="s">
        <v>98</v>
      </c>
      <c r="O55" s="33" t="s">
        <v>29</v>
      </c>
      <c r="P55" s="30" t="s">
        <v>109</v>
      </c>
      <c r="Q55" s="30" t="s">
        <v>31</v>
      </c>
      <c r="R55" s="34" t="s">
        <v>32</v>
      </c>
      <c r="S55" s="35">
        <v>48030</v>
      </c>
      <c r="T55" s="36" t="s">
        <v>99</v>
      </c>
      <c r="U55" s="30" t="s">
        <v>99</v>
      </c>
      <c r="V55" s="37" t="e">
        <v>#N/A</v>
      </c>
      <c r="W55" s="31" t="s">
        <v>33</v>
      </c>
      <c r="X55" s="37" t="s">
        <v>42</v>
      </c>
      <c r="Y55" s="37">
        <f>COUNTIF(F:F,F55)</f>
        <v>2</v>
      </c>
      <c r="Z55" s="21" t="s">
        <v>1097</v>
      </c>
      <c r="AA55" s="21" t="s">
        <v>99</v>
      </c>
      <c r="AB55" s="21" t="s">
        <v>1118</v>
      </c>
    </row>
    <row r="56" spans="1:28" ht="13.9" customHeight="1" x14ac:dyDescent="0.3">
      <c r="A56" s="30" t="s">
        <v>20</v>
      </c>
      <c r="B56" s="30" t="s">
        <v>21</v>
      </c>
      <c r="C56" s="30" t="s">
        <v>22</v>
      </c>
      <c r="D56" s="30" t="s">
        <v>23</v>
      </c>
      <c r="E56" s="30" t="s">
        <v>105</v>
      </c>
      <c r="F56" s="31" t="s">
        <v>105</v>
      </c>
      <c r="G56" s="30" t="s">
        <v>26</v>
      </c>
      <c r="H56" s="30" t="s">
        <v>36</v>
      </c>
      <c r="I56" s="30">
        <v>3</v>
      </c>
      <c r="J56" s="30" t="s">
        <v>37</v>
      </c>
      <c r="K56" s="30" t="s">
        <v>38</v>
      </c>
      <c r="L56" s="32">
        <v>106.67270929999999</v>
      </c>
      <c r="M56" s="32">
        <v>10.370312200000001</v>
      </c>
      <c r="N56" s="32" t="s">
        <v>98</v>
      </c>
      <c r="O56" s="33" t="s">
        <v>29</v>
      </c>
      <c r="P56" s="30" t="s">
        <v>39</v>
      </c>
      <c r="Q56" s="30" t="s">
        <v>31</v>
      </c>
      <c r="R56" s="34" t="s">
        <v>32</v>
      </c>
      <c r="S56" s="35">
        <v>48030</v>
      </c>
      <c r="T56" s="36" t="s">
        <v>99</v>
      </c>
      <c r="U56" s="30" t="s">
        <v>99</v>
      </c>
      <c r="V56" s="37" t="e">
        <v>#N/A</v>
      </c>
      <c r="W56" s="31" t="s">
        <v>33</v>
      </c>
      <c r="X56" s="37"/>
      <c r="Y56" s="37">
        <f>COUNTIF(F:F,F56)</f>
        <v>1</v>
      </c>
      <c r="Z56" s="21" t="s">
        <v>1097</v>
      </c>
      <c r="AA56" s="21" t="s">
        <v>99</v>
      </c>
      <c r="AB56" s="21" t="s">
        <v>1118</v>
      </c>
    </row>
    <row r="57" spans="1:28" ht="13.9" customHeight="1" x14ac:dyDescent="0.3">
      <c r="A57" s="30" t="s">
        <v>20</v>
      </c>
      <c r="B57" s="30" t="s">
        <v>21</v>
      </c>
      <c r="C57" s="30" t="s">
        <v>22</v>
      </c>
      <c r="D57" s="30" t="s">
        <v>23</v>
      </c>
      <c r="E57" s="30" t="s">
        <v>106</v>
      </c>
      <c r="F57" s="31" t="s">
        <v>106</v>
      </c>
      <c r="G57" s="30" t="s">
        <v>26</v>
      </c>
      <c r="H57" s="30" t="s">
        <v>36</v>
      </c>
      <c r="I57" s="30">
        <v>4</v>
      </c>
      <c r="J57" s="30" t="s">
        <v>37</v>
      </c>
      <c r="K57" s="30" t="s">
        <v>38</v>
      </c>
      <c r="L57" s="32">
        <v>106.67744500000001</v>
      </c>
      <c r="M57" s="32">
        <v>10.357284999999999</v>
      </c>
      <c r="N57" s="32" t="s">
        <v>98</v>
      </c>
      <c r="O57" s="33" t="s">
        <v>29</v>
      </c>
      <c r="P57" s="30" t="s">
        <v>39</v>
      </c>
      <c r="Q57" s="30" t="s">
        <v>31</v>
      </c>
      <c r="R57" s="34" t="s">
        <v>32</v>
      </c>
      <c r="S57" s="35">
        <v>48030</v>
      </c>
      <c r="T57" s="36" t="s">
        <v>99</v>
      </c>
      <c r="U57" s="30" t="s">
        <v>99</v>
      </c>
      <c r="V57" s="37" t="e">
        <v>#N/A</v>
      </c>
      <c r="W57" s="31" t="s">
        <v>33</v>
      </c>
      <c r="X57" s="37"/>
      <c r="Y57" s="37">
        <f>COUNTIF(F:F,F57)</f>
        <v>1</v>
      </c>
      <c r="Z57" s="21" t="s">
        <v>1097</v>
      </c>
      <c r="AA57" s="21" t="s">
        <v>99</v>
      </c>
      <c r="AB57" s="21" t="s">
        <v>1118</v>
      </c>
    </row>
    <row r="58" spans="1:28" ht="13.9" customHeight="1" x14ac:dyDescent="0.3">
      <c r="A58" s="30" t="s">
        <v>20</v>
      </c>
      <c r="B58" s="30" t="s">
        <v>21</v>
      </c>
      <c r="C58" s="30" t="s">
        <v>22</v>
      </c>
      <c r="D58" s="30" t="s">
        <v>23</v>
      </c>
      <c r="E58" s="30" t="s">
        <v>107</v>
      </c>
      <c r="F58" s="31" t="s">
        <v>107</v>
      </c>
      <c r="G58" s="30" t="s">
        <v>26</v>
      </c>
      <c r="H58" s="30" t="s">
        <v>27</v>
      </c>
      <c r="I58" s="30">
        <v>3</v>
      </c>
      <c r="J58" s="30"/>
      <c r="K58" s="30"/>
      <c r="L58" s="32">
        <v>106.69407</v>
      </c>
      <c r="M58" s="32">
        <v>10.36115</v>
      </c>
      <c r="N58" s="32" t="s">
        <v>98</v>
      </c>
      <c r="O58" s="33" t="s">
        <v>29</v>
      </c>
      <c r="P58" s="30" t="s">
        <v>30</v>
      </c>
      <c r="Q58" s="30" t="s">
        <v>31</v>
      </c>
      <c r="R58" s="34" t="s">
        <v>32</v>
      </c>
      <c r="S58" s="35">
        <v>48030</v>
      </c>
      <c r="T58" s="36" t="s">
        <v>99</v>
      </c>
      <c r="U58" s="30" t="s">
        <v>99</v>
      </c>
      <c r="V58" s="37" t="e">
        <v>#N/A</v>
      </c>
      <c r="W58" s="31" t="s">
        <v>33</v>
      </c>
      <c r="X58" s="37"/>
      <c r="Y58" s="37">
        <f>COUNTIF(F:F,F58)</f>
        <v>1</v>
      </c>
      <c r="Z58" s="21" t="s">
        <v>1097</v>
      </c>
      <c r="AA58" s="21" t="s">
        <v>99</v>
      </c>
      <c r="AB58" s="21" t="s">
        <v>1118</v>
      </c>
    </row>
    <row r="59" spans="1:28" ht="13.9" customHeight="1" x14ac:dyDescent="0.3">
      <c r="A59" s="30" t="s">
        <v>20</v>
      </c>
      <c r="B59" s="30" t="s">
        <v>21</v>
      </c>
      <c r="C59" s="30" t="s">
        <v>22</v>
      </c>
      <c r="D59" s="30" t="s">
        <v>23</v>
      </c>
      <c r="E59" s="30" t="s">
        <v>108</v>
      </c>
      <c r="F59" s="31" t="s">
        <v>108</v>
      </c>
      <c r="G59" s="30" t="s">
        <v>26</v>
      </c>
      <c r="H59" s="30" t="s">
        <v>36</v>
      </c>
      <c r="I59" s="30">
        <v>3</v>
      </c>
      <c r="J59" s="30"/>
      <c r="K59" s="30"/>
      <c r="L59" s="32">
        <v>106.6524869</v>
      </c>
      <c r="M59" s="32">
        <v>10.3582635</v>
      </c>
      <c r="N59" s="32" t="s">
        <v>98</v>
      </c>
      <c r="O59" s="33" t="s">
        <v>29</v>
      </c>
      <c r="P59" s="30" t="s">
        <v>109</v>
      </c>
      <c r="Q59" s="30" t="s">
        <v>31</v>
      </c>
      <c r="R59" s="34" t="s">
        <v>32</v>
      </c>
      <c r="S59" s="35">
        <v>48030</v>
      </c>
      <c r="T59" s="36" t="s">
        <v>99</v>
      </c>
      <c r="U59" s="30" t="s">
        <v>99</v>
      </c>
      <c r="V59" s="37" t="e">
        <v>#N/A</v>
      </c>
      <c r="W59" s="31" t="s">
        <v>33</v>
      </c>
      <c r="X59" s="37"/>
      <c r="Y59" s="37">
        <f>COUNTIF(F:F,F59)</f>
        <v>1</v>
      </c>
      <c r="Z59" s="21" t="s">
        <v>1097</v>
      </c>
      <c r="AA59" s="21" t="s">
        <v>99</v>
      </c>
      <c r="AB59" s="21" t="s">
        <v>1118</v>
      </c>
    </row>
    <row r="60" spans="1:28" ht="13.9" customHeight="1" x14ac:dyDescent="0.3">
      <c r="A60" s="30" t="s">
        <v>20</v>
      </c>
      <c r="B60" s="30" t="s">
        <v>21</v>
      </c>
      <c r="C60" s="30" t="s">
        <v>22</v>
      </c>
      <c r="D60" s="30" t="s">
        <v>23</v>
      </c>
      <c r="E60" s="30" t="s">
        <v>113</v>
      </c>
      <c r="F60" s="31" t="s">
        <v>113</v>
      </c>
      <c r="G60" s="30" t="s">
        <v>26</v>
      </c>
      <c r="H60" s="30" t="s">
        <v>36</v>
      </c>
      <c r="I60" s="30">
        <v>3</v>
      </c>
      <c r="J60" s="30"/>
      <c r="K60" s="30"/>
      <c r="L60" s="32">
        <v>106.67516999999999</v>
      </c>
      <c r="M60" s="32">
        <v>10.416130000000001</v>
      </c>
      <c r="N60" s="32" t="s">
        <v>98</v>
      </c>
      <c r="O60" s="33" t="s">
        <v>29</v>
      </c>
      <c r="P60" s="30" t="s">
        <v>109</v>
      </c>
      <c r="Q60" s="30" t="s">
        <v>31</v>
      </c>
      <c r="R60" s="34" t="s">
        <v>32</v>
      </c>
      <c r="S60" s="35">
        <v>48030</v>
      </c>
      <c r="T60" s="36" t="s">
        <v>99</v>
      </c>
      <c r="U60" s="30" t="s">
        <v>99</v>
      </c>
      <c r="V60" s="37" t="e">
        <v>#N/A</v>
      </c>
      <c r="W60" s="31" t="s">
        <v>33</v>
      </c>
      <c r="X60" s="37"/>
      <c r="Y60" s="37">
        <f>COUNTIF(F:F,F60)</f>
        <v>1</v>
      </c>
      <c r="Z60" s="21" t="s">
        <v>1097</v>
      </c>
      <c r="AA60" s="21" t="s">
        <v>99</v>
      </c>
      <c r="AB60" s="21" t="s">
        <v>1118</v>
      </c>
    </row>
    <row r="61" spans="1:28" ht="13.9" customHeight="1" x14ac:dyDescent="0.3">
      <c r="A61" s="30" t="s">
        <v>20</v>
      </c>
      <c r="B61" s="30" t="s">
        <v>21</v>
      </c>
      <c r="C61" s="30" t="s">
        <v>22</v>
      </c>
      <c r="D61" s="30" t="s">
        <v>23</v>
      </c>
      <c r="E61" s="30" t="s">
        <v>114</v>
      </c>
      <c r="F61" s="31" t="s">
        <v>114</v>
      </c>
      <c r="G61" s="30" t="s">
        <v>26</v>
      </c>
      <c r="H61" s="30" t="s">
        <v>36</v>
      </c>
      <c r="I61" s="30">
        <v>3</v>
      </c>
      <c r="J61" s="30" t="s">
        <v>37</v>
      </c>
      <c r="K61" s="30" t="s">
        <v>38</v>
      </c>
      <c r="L61" s="32">
        <v>106.67064999999999</v>
      </c>
      <c r="M61" s="32">
        <v>10.35594</v>
      </c>
      <c r="N61" s="32" t="s">
        <v>98</v>
      </c>
      <c r="O61" s="33" t="s">
        <v>29</v>
      </c>
      <c r="P61" s="30" t="s">
        <v>39</v>
      </c>
      <c r="Q61" s="30" t="s">
        <v>31</v>
      </c>
      <c r="R61" s="34" t="s">
        <v>32</v>
      </c>
      <c r="S61" s="35">
        <v>48030</v>
      </c>
      <c r="T61" s="36" t="s">
        <v>99</v>
      </c>
      <c r="U61" s="30" t="s">
        <v>99</v>
      </c>
      <c r="V61" s="37" t="e">
        <v>#N/A</v>
      </c>
      <c r="W61" s="31" t="s">
        <v>33</v>
      </c>
      <c r="X61" s="37"/>
      <c r="Y61" s="37">
        <f>COUNTIF(F:F,F61)</f>
        <v>1</v>
      </c>
      <c r="Z61" s="21" t="s">
        <v>1097</v>
      </c>
      <c r="AA61" s="21" t="s">
        <v>99</v>
      </c>
      <c r="AB61" s="21" t="s">
        <v>1118</v>
      </c>
    </row>
    <row r="62" spans="1:28" ht="13.9" customHeight="1" x14ac:dyDescent="0.3">
      <c r="A62" s="30" t="s">
        <v>20</v>
      </c>
      <c r="B62" s="30" t="s">
        <v>21</v>
      </c>
      <c r="C62" s="30" t="s">
        <v>22</v>
      </c>
      <c r="D62" s="30" t="s">
        <v>23</v>
      </c>
      <c r="E62" s="30" t="s">
        <v>115</v>
      </c>
      <c r="F62" s="31" t="s">
        <v>116</v>
      </c>
      <c r="G62" s="30" t="s">
        <v>26</v>
      </c>
      <c r="H62" s="30" t="s">
        <v>27</v>
      </c>
      <c r="I62" s="30">
        <v>3</v>
      </c>
      <c r="J62" s="30"/>
      <c r="K62" s="30"/>
      <c r="L62" s="32">
        <v>106.654597</v>
      </c>
      <c r="M62" s="32">
        <v>10.397194000000001</v>
      </c>
      <c r="N62" s="32" t="s">
        <v>98</v>
      </c>
      <c r="O62" s="33" t="s">
        <v>29</v>
      </c>
      <c r="P62" s="30" t="s">
        <v>30</v>
      </c>
      <c r="Q62" s="30" t="s">
        <v>31</v>
      </c>
      <c r="R62" s="34" t="s">
        <v>32</v>
      </c>
      <c r="S62" s="35">
        <v>48030</v>
      </c>
      <c r="T62" s="36" t="s">
        <v>99</v>
      </c>
      <c r="U62" s="30" t="s">
        <v>99</v>
      </c>
      <c r="V62" s="37" t="e">
        <v>#N/A</v>
      </c>
      <c r="W62" s="31" t="s">
        <v>33</v>
      </c>
      <c r="X62" s="37"/>
      <c r="Y62" s="37">
        <f>COUNTIF(F:F,F62)</f>
        <v>1</v>
      </c>
      <c r="Z62" s="21" t="s">
        <v>1097</v>
      </c>
      <c r="AA62" s="21" t="s">
        <v>99</v>
      </c>
      <c r="AB62" s="21" t="s">
        <v>1118</v>
      </c>
    </row>
    <row r="63" spans="1:28" ht="13.9" customHeight="1" x14ac:dyDescent="0.3">
      <c r="A63" s="30" t="s">
        <v>20</v>
      </c>
      <c r="B63" s="30" t="s">
        <v>21</v>
      </c>
      <c r="C63" s="30" t="s">
        <v>22</v>
      </c>
      <c r="D63" s="30" t="s">
        <v>23</v>
      </c>
      <c r="E63" s="30" t="s">
        <v>143</v>
      </c>
      <c r="F63" s="31" t="s">
        <v>143</v>
      </c>
      <c r="G63" s="30" t="s">
        <v>26</v>
      </c>
      <c r="H63" s="30" t="s">
        <v>27</v>
      </c>
      <c r="I63" s="30">
        <v>3</v>
      </c>
      <c r="J63" s="30" t="s">
        <v>37</v>
      </c>
      <c r="K63" s="30" t="s">
        <v>38</v>
      </c>
      <c r="L63" s="32">
        <v>106.66700160000001</v>
      </c>
      <c r="M63" s="32">
        <v>10.427435300000001</v>
      </c>
      <c r="N63" s="32" t="s">
        <v>98</v>
      </c>
      <c r="O63" s="33" t="s">
        <v>29</v>
      </c>
      <c r="P63" s="30" t="s">
        <v>41</v>
      </c>
      <c r="Q63" s="30" t="s">
        <v>31</v>
      </c>
      <c r="R63" s="34" t="s">
        <v>32</v>
      </c>
      <c r="S63" s="35">
        <v>48030</v>
      </c>
      <c r="T63" s="36" t="s">
        <v>129</v>
      </c>
      <c r="U63" s="30" t="s">
        <v>129</v>
      </c>
      <c r="V63" s="37" t="e">
        <v>#N/A</v>
      </c>
      <c r="W63" s="31" t="s">
        <v>33</v>
      </c>
      <c r="X63" s="37" t="s">
        <v>42</v>
      </c>
      <c r="Y63" s="37">
        <f>COUNTIF(F:F,F63)</f>
        <v>2</v>
      </c>
      <c r="Z63" s="21" t="s">
        <v>1097</v>
      </c>
      <c r="AA63" s="21" t="s">
        <v>129</v>
      </c>
      <c r="AB63" s="21" t="s">
        <v>1118</v>
      </c>
    </row>
    <row r="64" spans="1:28" ht="13.9" customHeight="1" x14ac:dyDescent="0.3">
      <c r="A64" s="36" t="s">
        <v>20</v>
      </c>
      <c r="B64" s="36" t="s">
        <v>21</v>
      </c>
      <c r="C64" s="36" t="s">
        <v>22</v>
      </c>
      <c r="D64" s="36" t="s">
        <v>23</v>
      </c>
      <c r="E64" s="36" t="s">
        <v>144</v>
      </c>
      <c r="F64" s="31" t="s">
        <v>143</v>
      </c>
      <c r="G64" s="36" t="s">
        <v>26</v>
      </c>
      <c r="H64" s="36" t="s">
        <v>27</v>
      </c>
      <c r="I64" s="36">
        <v>3</v>
      </c>
      <c r="J64" s="36"/>
      <c r="K64" s="36"/>
      <c r="L64" s="38">
        <v>106.64339</v>
      </c>
      <c r="M64" s="38">
        <v>10.43754</v>
      </c>
      <c r="N64" s="38" t="s">
        <v>98</v>
      </c>
      <c r="O64" s="39" t="s">
        <v>29</v>
      </c>
      <c r="P64" s="36" t="s">
        <v>30</v>
      </c>
      <c r="Q64" s="30" t="s">
        <v>31</v>
      </c>
      <c r="R64" s="40" t="s">
        <v>32</v>
      </c>
      <c r="S64" s="35">
        <v>48030</v>
      </c>
      <c r="T64" s="36" t="s">
        <v>129</v>
      </c>
      <c r="U64" s="30" t="s">
        <v>129</v>
      </c>
      <c r="V64" s="37" t="e">
        <v>#N/A</v>
      </c>
      <c r="W64" s="31" t="s">
        <v>63</v>
      </c>
      <c r="X64" s="37" t="s">
        <v>52</v>
      </c>
      <c r="Y64" s="37">
        <f>COUNTIF(F:F,F64)</f>
        <v>2</v>
      </c>
      <c r="Z64" s="21" t="s">
        <v>1097</v>
      </c>
      <c r="AA64" s="21" t="s">
        <v>129</v>
      </c>
      <c r="AB64" s="21" t="s">
        <v>1118</v>
      </c>
    </row>
    <row r="65" spans="1:28" ht="13.9" customHeight="1" x14ac:dyDescent="0.3">
      <c r="A65" s="30" t="s">
        <v>20</v>
      </c>
      <c r="B65" s="30" t="s">
        <v>21</v>
      </c>
      <c r="C65" s="30" t="s">
        <v>22</v>
      </c>
      <c r="D65" s="30" t="s">
        <v>23</v>
      </c>
      <c r="E65" s="30" t="s">
        <v>137</v>
      </c>
      <c r="F65" s="31" t="s">
        <v>137</v>
      </c>
      <c r="G65" s="30" t="s">
        <v>26</v>
      </c>
      <c r="H65" s="30" t="s">
        <v>27</v>
      </c>
      <c r="I65" s="30">
        <v>3</v>
      </c>
      <c r="J65" s="30" t="s">
        <v>37</v>
      </c>
      <c r="K65" s="30" t="s">
        <v>38</v>
      </c>
      <c r="L65" s="32">
        <v>106.62772</v>
      </c>
      <c r="M65" s="32">
        <v>10.427049999999999</v>
      </c>
      <c r="N65" s="32" t="s">
        <v>98</v>
      </c>
      <c r="O65" s="33" t="s">
        <v>29</v>
      </c>
      <c r="P65" s="30" t="s">
        <v>41</v>
      </c>
      <c r="Q65" s="30" t="s">
        <v>31</v>
      </c>
      <c r="R65" s="34" t="s">
        <v>32</v>
      </c>
      <c r="S65" s="35">
        <v>48030</v>
      </c>
      <c r="T65" s="36" t="s">
        <v>129</v>
      </c>
      <c r="U65" s="30" t="s">
        <v>129</v>
      </c>
      <c r="V65" s="37" t="e">
        <v>#N/A</v>
      </c>
      <c r="W65" s="31" t="s">
        <v>33</v>
      </c>
      <c r="X65" s="37"/>
      <c r="Y65" s="37">
        <f>COUNTIF(F:F,F65)</f>
        <v>1</v>
      </c>
      <c r="Z65" s="21" t="s">
        <v>1097</v>
      </c>
      <c r="AA65" s="21" t="s">
        <v>129</v>
      </c>
      <c r="AB65" s="21" t="s">
        <v>1118</v>
      </c>
    </row>
    <row r="66" spans="1:28" ht="13.9" customHeight="1" x14ac:dyDescent="0.3">
      <c r="A66" s="30" t="s">
        <v>20</v>
      </c>
      <c r="B66" s="30" t="s">
        <v>21</v>
      </c>
      <c r="C66" s="30" t="s">
        <v>22</v>
      </c>
      <c r="D66" s="30" t="s">
        <v>23</v>
      </c>
      <c r="E66" s="30" t="s">
        <v>142</v>
      </c>
      <c r="F66" s="31" t="s">
        <v>142</v>
      </c>
      <c r="G66" s="30" t="s">
        <v>26</v>
      </c>
      <c r="H66" s="30" t="s">
        <v>27</v>
      </c>
      <c r="I66" s="30">
        <v>3</v>
      </c>
      <c r="J66" s="30"/>
      <c r="K66" s="30"/>
      <c r="L66" s="32">
        <v>106.63282</v>
      </c>
      <c r="M66" s="32">
        <v>10.4038</v>
      </c>
      <c r="N66" s="32" t="s">
        <v>98</v>
      </c>
      <c r="O66" s="33" t="s">
        <v>29</v>
      </c>
      <c r="P66" s="30" t="s">
        <v>60</v>
      </c>
      <c r="Q66" s="30" t="s">
        <v>31</v>
      </c>
      <c r="R66" s="34" t="s">
        <v>32</v>
      </c>
      <c r="S66" s="35">
        <v>48030</v>
      </c>
      <c r="T66" s="36" t="s">
        <v>129</v>
      </c>
      <c r="U66" s="30" t="s">
        <v>129</v>
      </c>
      <c r="V66" s="37" t="e">
        <v>#N/A</v>
      </c>
      <c r="W66" s="31" t="s">
        <v>33</v>
      </c>
      <c r="X66" s="37"/>
      <c r="Y66" s="37">
        <f>COUNTIF(F:F,F66)</f>
        <v>1</v>
      </c>
      <c r="Z66" s="21" t="s">
        <v>1097</v>
      </c>
      <c r="AA66" s="21" t="s">
        <v>129</v>
      </c>
      <c r="AB66" s="21" t="s">
        <v>1118</v>
      </c>
    </row>
    <row r="67" spans="1:28" ht="13.9" customHeight="1" x14ac:dyDescent="0.3">
      <c r="A67" s="30" t="s">
        <v>20</v>
      </c>
      <c r="B67" s="30" t="s">
        <v>21</v>
      </c>
      <c r="C67" s="30" t="s">
        <v>22</v>
      </c>
      <c r="D67" s="30" t="s">
        <v>23</v>
      </c>
      <c r="E67" s="30" t="s">
        <v>138</v>
      </c>
      <c r="F67" s="31" t="s">
        <v>138</v>
      </c>
      <c r="G67" s="30" t="s">
        <v>26</v>
      </c>
      <c r="H67" s="30" t="s">
        <v>27</v>
      </c>
      <c r="I67" s="30">
        <v>3</v>
      </c>
      <c r="J67" s="30"/>
      <c r="K67" s="30"/>
      <c r="L67" s="32">
        <v>106.65470999999999</v>
      </c>
      <c r="M67" s="32">
        <v>10.440469999999999</v>
      </c>
      <c r="N67" s="32" t="s">
        <v>98</v>
      </c>
      <c r="O67" s="33" t="s">
        <v>29</v>
      </c>
      <c r="P67" s="30" t="s">
        <v>30</v>
      </c>
      <c r="Q67" s="30" t="s">
        <v>31</v>
      </c>
      <c r="R67" s="34" t="s">
        <v>32</v>
      </c>
      <c r="S67" s="35">
        <v>48030</v>
      </c>
      <c r="T67" s="36" t="s">
        <v>129</v>
      </c>
      <c r="U67" s="30" t="s">
        <v>129</v>
      </c>
      <c r="V67" s="37" t="e">
        <v>#N/A</v>
      </c>
      <c r="W67" s="31" t="s">
        <v>33</v>
      </c>
      <c r="X67" s="37"/>
      <c r="Y67" s="37">
        <f>COUNTIF(F:F,F67)</f>
        <v>1</v>
      </c>
      <c r="Z67" s="21" t="s">
        <v>1097</v>
      </c>
      <c r="AA67" s="21" t="s">
        <v>129</v>
      </c>
      <c r="AB67" s="21" t="s">
        <v>1118</v>
      </c>
    </row>
    <row r="68" spans="1:28" ht="13.9" customHeight="1" x14ac:dyDescent="0.3">
      <c r="A68" s="30" t="s">
        <v>20</v>
      </c>
      <c r="B68" s="30" t="s">
        <v>21</v>
      </c>
      <c r="C68" s="30" t="s">
        <v>22</v>
      </c>
      <c r="D68" s="30" t="s">
        <v>23</v>
      </c>
      <c r="E68" s="30" t="s">
        <v>139</v>
      </c>
      <c r="F68" s="31" t="s">
        <v>139</v>
      </c>
      <c r="G68" s="30" t="s">
        <v>26</v>
      </c>
      <c r="H68" s="30" t="s">
        <v>27</v>
      </c>
      <c r="I68" s="30">
        <v>3</v>
      </c>
      <c r="J68" s="30"/>
      <c r="K68" s="30"/>
      <c r="L68" s="32">
        <v>106.61481000000001</v>
      </c>
      <c r="M68" s="32">
        <v>10.416</v>
      </c>
      <c r="N68" s="32" t="s">
        <v>98</v>
      </c>
      <c r="O68" s="33" t="s">
        <v>29</v>
      </c>
      <c r="P68" s="30" t="s">
        <v>30</v>
      </c>
      <c r="Q68" s="30" t="s">
        <v>31</v>
      </c>
      <c r="R68" s="34" t="s">
        <v>32</v>
      </c>
      <c r="S68" s="35">
        <v>48030</v>
      </c>
      <c r="T68" s="36" t="s">
        <v>129</v>
      </c>
      <c r="U68" s="30" t="s">
        <v>129</v>
      </c>
      <c r="V68" s="37" t="e">
        <v>#N/A</v>
      </c>
      <c r="W68" s="31" t="s">
        <v>33</v>
      </c>
      <c r="X68" s="37"/>
      <c r="Y68" s="37">
        <f>COUNTIF(F:F,F68)</f>
        <v>1</v>
      </c>
      <c r="Z68" s="21" t="s">
        <v>1097</v>
      </c>
      <c r="AA68" s="21" t="s">
        <v>129</v>
      </c>
      <c r="AB68" s="21" t="s">
        <v>1118</v>
      </c>
    </row>
    <row r="69" spans="1:28" ht="13.9" customHeight="1" x14ac:dyDescent="0.3">
      <c r="A69" s="30" t="s">
        <v>20</v>
      </c>
      <c r="B69" s="30" t="s">
        <v>21</v>
      </c>
      <c r="C69" s="30" t="s">
        <v>22</v>
      </c>
      <c r="D69" s="30" t="s">
        <v>23</v>
      </c>
      <c r="E69" s="30" t="s">
        <v>140</v>
      </c>
      <c r="F69" s="31" t="s">
        <v>140</v>
      </c>
      <c r="G69" s="30" t="s">
        <v>26</v>
      </c>
      <c r="H69" s="30" t="s">
        <v>27</v>
      </c>
      <c r="I69" s="30">
        <v>3</v>
      </c>
      <c r="J69" s="30"/>
      <c r="K69" s="30"/>
      <c r="L69" s="32">
        <v>106.6422647</v>
      </c>
      <c r="M69" s="32">
        <v>10.467040600000001</v>
      </c>
      <c r="N69" s="32" t="s">
        <v>98</v>
      </c>
      <c r="O69" s="33" t="s">
        <v>29</v>
      </c>
      <c r="P69" s="30" t="s">
        <v>30</v>
      </c>
      <c r="Q69" s="30" t="s">
        <v>31</v>
      </c>
      <c r="R69" s="34" t="s">
        <v>32</v>
      </c>
      <c r="S69" s="35">
        <v>48030</v>
      </c>
      <c r="T69" s="36" t="s">
        <v>129</v>
      </c>
      <c r="U69" s="30" t="s">
        <v>129</v>
      </c>
      <c r="V69" s="37" t="e">
        <v>#N/A</v>
      </c>
      <c r="W69" s="31" t="s">
        <v>33</v>
      </c>
      <c r="X69" s="37"/>
      <c r="Y69" s="37">
        <f>COUNTIF(F:F,F69)</f>
        <v>1</v>
      </c>
      <c r="Z69" s="21" t="s">
        <v>1097</v>
      </c>
      <c r="AA69" s="21" t="s">
        <v>129</v>
      </c>
      <c r="AB69" s="21" t="s">
        <v>1118</v>
      </c>
    </row>
    <row r="70" spans="1:28" ht="13.9" customHeight="1" x14ac:dyDescent="0.3">
      <c r="A70" s="30" t="s">
        <v>20</v>
      </c>
      <c r="B70" s="30" t="s">
        <v>21</v>
      </c>
      <c r="C70" s="30" t="s">
        <v>22</v>
      </c>
      <c r="D70" s="30" t="s">
        <v>23</v>
      </c>
      <c r="E70" s="30" t="s">
        <v>141</v>
      </c>
      <c r="F70" s="31" t="s">
        <v>141</v>
      </c>
      <c r="G70" s="30" t="s">
        <v>26</v>
      </c>
      <c r="H70" s="30" t="s">
        <v>36</v>
      </c>
      <c r="I70" s="30">
        <v>3</v>
      </c>
      <c r="J70" s="30" t="s">
        <v>37</v>
      </c>
      <c r="K70" s="30" t="s">
        <v>38</v>
      </c>
      <c r="L70" s="32">
        <v>106.6092397</v>
      </c>
      <c r="M70" s="32">
        <v>10.436410800000001</v>
      </c>
      <c r="N70" s="32" t="s">
        <v>98</v>
      </c>
      <c r="O70" s="33" t="s">
        <v>29</v>
      </c>
      <c r="P70" s="30" t="s">
        <v>39</v>
      </c>
      <c r="Q70" s="30" t="s">
        <v>31</v>
      </c>
      <c r="R70" s="34" t="s">
        <v>32</v>
      </c>
      <c r="S70" s="35">
        <v>48030</v>
      </c>
      <c r="T70" s="36" t="s">
        <v>129</v>
      </c>
      <c r="U70" s="30" t="s">
        <v>129</v>
      </c>
      <c r="V70" s="37" t="e">
        <v>#N/A</v>
      </c>
      <c r="W70" s="31" t="s">
        <v>33</v>
      </c>
      <c r="X70" s="37"/>
      <c r="Y70" s="37">
        <f>COUNTIF(F:F,F70)</f>
        <v>1</v>
      </c>
      <c r="Z70" s="21" t="s">
        <v>1097</v>
      </c>
      <c r="AA70" s="21" t="s">
        <v>129</v>
      </c>
      <c r="AB70" s="21" t="s">
        <v>1118</v>
      </c>
    </row>
    <row r="71" spans="1:28" ht="13.9" customHeight="1" x14ac:dyDescent="0.3">
      <c r="A71" s="36" t="s">
        <v>20</v>
      </c>
      <c r="B71" s="36" t="s">
        <v>21</v>
      </c>
      <c r="C71" s="36" t="s">
        <v>22</v>
      </c>
      <c r="D71" s="36" t="s">
        <v>23</v>
      </c>
      <c r="E71" s="36" t="s">
        <v>145</v>
      </c>
      <c r="F71" s="31" t="s">
        <v>146</v>
      </c>
      <c r="G71" s="36" t="s">
        <v>26</v>
      </c>
      <c r="H71" s="36" t="s">
        <v>36</v>
      </c>
      <c r="I71" s="36">
        <v>3</v>
      </c>
      <c r="J71" s="36"/>
      <c r="K71" s="36"/>
      <c r="L71" s="38">
        <v>106.63755</v>
      </c>
      <c r="M71" s="38">
        <v>10.45654</v>
      </c>
      <c r="N71" s="38" t="s">
        <v>98</v>
      </c>
      <c r="O71" s="39" t="s">
        <v>29</v>
      </c>
      <c r="P71" s="36" t="s">
        <v>109</v>
      </c>
      <c r="Q71" s="30" t="s">
        <v>31</v>
      </c>
      <c r="R71" s="40" t="s">
        <v>32</v>
      </c>
      <c r="S71" s="35">
        <v>48030</v>
      </c>
      <c r="T71" s="36" t="s">
        <v>129</v>
      </c>
      <c r="U71" s="30" t="s">
        <v>129</v>
      </c>
      <c r="V71" s="37" t="e">
        <v>#N/A</v>
      </c>
      <c r="W71" s="31" t="s">
        <v>63</v>
      </c>
      <c r="X71" s="37" t="s">
        <v>52</v>
      </c>
      <c r="Y71" s="37">
        <f>COUNTIF(F:F,F71)</f>
        <v>2</v>
      </c>
      <c r="Z71" s="21" t="s">
        <v>1097</v>
      </c>
      <c r="AA71" s="21" t="s">
        <v>129</v>
      </c>
      <c r="AB71" s="21" t="s">
        <v>1118</v>
      </c>
    </row>
    <row r="72" spans="1:28" ht="13.9" customHeight="1" x14ac:dyDescent="0.3">
      <c r="A72" s="30" t="s">
        <v>20</v>
      </c>
      <c r="B72" s="30" t="s">
        <v>21</v>
      </c>
      <c r="C72" s="30" t="s">
        <v>22</v>
      </c>
      <c r="D72" s="30" t="s">
        <v>23</v>
      </c>
      <c r="E72" s="30" t="s">
        <v>146</v>
      </c>
      <c r="F72" s="31" t="s">
        <v>146</v>
      </c>
      <c r="G72" s="30" t="s">
        <v>26</v>
      </c>
      <c r="H72" s="30" t="s">
        <v>27</v>
      </c>
      <c r="I72" s="30">
        <v>3</v>
      </c>
      <c r="J72" s="30" t="s">
        <v>37</v>
      </c>
      <c r="K72" s="30" t="s">
        <v>38</v>
      </c>
      <c r="L72" s="32">
        <v>106.64886</v>
      </c>
      <c r="M72" s="32">
        <v>10.45172</v>
      </c>
      <c r="N72" s="32" t="s">
        <v>98</v>
      </c>
      <c r="O72" s="33" t="s">
        <v>29</v>
      </c>
      <c r="P72" s="30" t="s">
        <v>41</v>
      </c>
      <c r="Q72" s="30" t="s">
        <v>31</v>
      </c>
      <c r="R72" s="34" t="s">
        <v>32</v>
      </c>
      <c r="S72" s="35">
        <v>48030</v>
      </c>
      <c r="T72" s="36" t="s">
        <v>129</v>
      </c>
      <c r="U72" s="30" t="s">
        <v>129</v>
      </c>
      <c r="V72" s="37" t="e">
        <v>#N/A</v>
      </c>
      <c r="W72" s="31" t="s">
        <v>33</v>
      </c>
      <c r="X72" s="37" t="s">
        <v>42</v>
      </c>
      <c r="Y72" s="37">
        <f>COUNTIF(F:F,F72)</f>
        <v>2</v>
      </c>
      <c r="Z72" s="21" t="s">
        <v>1097</v>
      </c>
      <c r="AA72" s="21" t="s">
        <v>129</v>
      </c>
      <c r="AB72" s="21" t="s">
        <v>1118</v>
      </c>
    </row>
    <row r="73" spans="1:28" ht="13.9" customHeight="1" x14ac:dyDescent="0.3">
      <c r="A73" s="30" t="s">
        <v>20</v>
      </c>
      <c r="B73" s="30" t="s">
        <v>21</v>
      </c>
      <c r="C73" s="30" t="s">
        <v>22</v>
      </c>
      <c r="D73" s="30" t="s">
        <v>23</v>
      </c>
      <c r="E73" s="30" t="s">
        <v>127</v>
      </c>
      <c r="F73" s="31" t="s">
        <v>127</v>
      </c>
      <c r="G73" s="30" t="s">
        <v>26</v>
      </c>
      <c r="H73" s="30" t="s">
        <v>27</v>
      </c>
      <c r="I73" s="30">
        <v>3</v>
      </c>
      <c r="J73" s="30" t="s">
        <v>37</v>
      </c>
      <c r="K73" s="30" t="s">
        <v>38</v>
      </c>
      <c r="L73" s="32">
        <v>106.59724</v>
      </c>
      <c r="M73" s="32">
        <v>10.403169999999999</v>
      </c>
      <c r="N73" s="32" t="s">
        <v>128</v>
      </c>
      <c r="O73" s="33" t="s">
        <v>29</v>
      </c>
      <c r="P73" s="30" t="s">
        <v>41</v>
      </c>
      <c r="Q73" s="30" t="s">
        <v>31</v>
      </c>
      <c r="R73" s="34" t="s">
        <v>32</v>
      </c>
      <c r="S73" s="35">
        <v>48041</v>
      </c>
      <c r="T73" s="36" t="s">
        <v>129</v>
      </c>
      <c r="U73" s="30" t="s">
        <v>129</v>
      </c>
      <c r="V73" s="37" t="e">
        <v>#N/A</v>
      </c>
      <c r="W73" s="31" t="s">
        <v>33</v>
      </c>
      <c r="X73" s="37"/>
      <c r="Y73" s="37">
        <f>COUNTIF(F:F,F73)</f>
        <v>1</v>
      </c>
      <c r="Z73" s="21" t="s">
        <v>1097</v>
      </c>
      <c r="AA73" s="21" t="s">
        <v>129</v>
      </c>
      <c r="AB73" s="21" t="s">
        <v>1118</v>
      </c>
    </row>
    <row r="74" spans="1:28" ht="13.9" customHeight="1" x14ac:dyDescent="0.3">
      <c r="A74" s="30" t="s">
        <v>20</v>
      </c>
      <c r="B74" s="30" t="s">
        <v>21</v>
      </c>
      <c r="C74" s="30" t="s">
        <v>22</v>
      </c>
      <c r="D74" s="30" t="s">
        <v>23</v>
      </c>
      <c r="E74" s="30" t="s">
        <v>130</v>
      </c>
      <c r="F74" s="31" t="s">
        <v>130</v>
      </c>
      <c r="G74" s="30" t="s">
        <v>26</v>
      </c>
      <c r="H74" s="30" t="s">
        <v>36</v>
      </c>
      <c r="I74" s="30">
        <v>4</v>
      </c>
      <c r="J74" s="30" t="s">
        <v>37</v>
      </c>
      <c r="K74" s="30" t="s">
        <v>38</v>
      </c>
      <c r="L74" s="32">
        <v>106.57655</v>
      </c>
      <c r="M74" s="32">
        <v>10.394349999999999</v>
      </c>
      <c r="N74" s="32" t="s">
        <v>128</v>
      </c>
      <c r="O74" s="33" t="s">
        <v>29</v>
      </c>
      <c r="P74" s="30" t="s">
        <v>39</v>
      </c>
      <c r="Q74" s="30" t="s">
        <v>31</v>
      </c>
      <c r="R74" s="34" t="s">
        <v>32</v>
      </c>
      <c r="S74" s="35">
        <v>48041</v>
      </c>
      <c r="T74" s="36" t="s">
        <v>129</v>
      </c>
      <c r="U74" s="30" t="s">
        <v>129</v>
      </c>
      <c r="V74" s="37" t="e">
        <v>#N/A</v>
      </c>
      <c r="W74" s="31" t="s">
        <v>33</v>
      </c>
      <c r="X74" s="37"/>
      <c r="Y74" s="37">
        <f>COUNTIF(F:F,F74)</f>
        <v>1</v>
      </c>
      <c r="Z74" s="21" t="s">
        <v>1097</v>
      </c>
      <c r="AA74" s="21" t="s">
        <v>129</v>
      </c>
      <c r="AB74" s="21" t="s">
        <v>1118</v>
      </c>
    </row>
    <row r="75" spans="1:28" ht="13.9" customHeight="1" x14ac:dyDescent="0.3">
      <c r="A75" s="30" t="s">
        <v>20</v>
      </c>
      <c r="B75" s="30" t="s">
        <v>21</v>
      </c>
      <c r="C75" s="30" t="s">
        <v>22</v>
      </c>
      <c r="D75" s="30" t="s">
        <v>23</v>
      </c>
      <c r="E75" s="30" t="s">
        <v>131</v>
      </c>
      <c r="F75" s="31" t="s">
        <v>131</v>
      </c>
      <c r="G75" s="30" t="s">
        <v>26</v>
      </c>
      <c r="H75" s="30" t="s">
        <v>36</v>
      </c>
      <c r="I75" s="30">
        <v>4</v>
      </c>
      <c r="J75" s="30" t="s">
        <v>37</v>
      </c>
      <c r="K75" s="30" t="s">
        <v>38</v>
      </c>
      <c r="L75" s="32">
        <v>106.5278</v>
      </c>
      <c r="M75" s="32">
        <v>10.41314</v>
      </c>
      <c r="N75" s="32" t="s">
        <v>128</v>
      </c>
      <c r="O75" s="33" t="s">
        <v>29</v>
      </c>
      <c r="P75" s="30" t="s">
        <v>39</v>
      </c>
      <c r="Q75" s="30" t="s">
        <v>31</v>
      </c>
      <c r="R75" s="34" t="s">
        <v>32</v>
      </c>
      <c r="S75" s="35">
        <v>48041</v>
      </c>
      <c r="T75" s="36" t="s">
        <v>129</v>
      </c>
      <c r="U75" s="30" t="s">
        <v>129</v>
      </c>
      <c r="V75" s="37" t="e">
        <v>#N/A</v>
      </c>
      <c r="W75" s="31" t="s">
        <v>33</v>
      </c>
      <c r="X75" s="37"/>
      <c r="Y75" s="37">
        <f>COUNTIF(F:F,F75)</f>
        <v>1</v>
      </c>
      <c r="Z75" s="21" t="s">
        <v>1097</v>
      </c>
      <c r="AA75" s="21" t="s">
        <v>129</v>
      </c>
      <c r="AB75" s="21" t="s">
        <v>1118</v>
      </c>
    </row>
    <row r="76" spans="1:28" ht="13.9" customHeight="1" x14ac:dyDescent="0.3">
      <c r="A76" s="30" t="s">
        <v>20</v>
      </c>
      <c r="B76" s="30" t="s">
        <v>21</v>
      </c>
      <c r="C76" s="30" t="s">
        <v>22</v>
      </c>
      <c r="D76" s="30" t="s">
        <v>23</v>
      </c>
      <c r="E76" s="30" t="s">
        <v>147</v>
      </c>
      <c r="F76" s="31" t="s">
        <v>147</v>
      </c>
      <c r="G76" s="30" t="s">
        <v>26</v>
      </c>
      <c r="H76" s="30" t="s">
        <v>27</v>
      </c>
      <c r="I76" s="30">
        <v>3</v>
      </c>
      <c r="J76" s="30"/>
      <c r="K76" s="30"/>
      <c r="L76" s="32">
        <v>106.60927</v>
      </c>
      <c r="M76" s="32">
        <v>10.385669999999999</v>
      </c>
      <c r="N76" s="32" t="s">
        <v>128</v>
      </c>
      <c r="O76" s="33" t="s">
        <v>29</v>
      </c>
      <c r="P76" s="30" t="s">
        <v>30</v>
      </c>
      <c r="Q76" s="30" t="s">
        <v>31</v>
      </c>
      <c r="R76" s="34" t="s">
        <v>32</v>
      </c>
      <c r="S76" s="35">
        <v>48041</v>
      </c>
      <c r="T76" s="36" t="s">
        <v>129</v>
      </c>
      <c r="U76" s="30" t="s">
        <v>129</v>
      </c>
      <c r="V76" s="37" t="e">
        <v>#N/A</v>
      </c>
      <c r="W76" s="31" t="s">
        <v>33</v>
      </c>
      <c r="X76" s="37" t="s">
        <v>42</v>
      </c>
      <c r="Y76" s="37">
        <f>COUNTIF(F:F,F76)</f>
        <v>3</v>
      </c>
      <c r="Z76" s="21" t="s">
        <v>1097</v>
      </c>
      <c r="AA76" s="21" t="s">
        <v>129</v>
      </c>
      <c r="AB76" s="21" t="s">
        <v>1118</v>
      </c>
    </row>
    <row r="77" spans="1:28" ht="13.9" customHeight="1" x14ac:dyDescent="0.3">
      <c r="A77" s="36" t="s">
        <v>20</v>
      </c>
      <c r="B77" s="36" t="s">
        <v>21</v>
      </c>
      <c r="C77" s="36" t="s">
        <v>22</v>
      </c>
      <c r="D77" s="36" t="s">
        <v>23</v>
      </c>
      <c r="E77" s="36" t="s">
        <v>148</v>
      </c>
      <c r="F77" s="31" t="s">
        <v>147</v>
      </c>
      <c r="G77" s="36" t="s">
        <v>26</v>
      </c>
      <c r="H77" s="36" t="s">
        <v>27</v>
      </c>
      <c r="I77" s="36">
        <v>3</v>
      </c>
      <c r="J77" s="36"/>
      <c r="K77" s="36"/>
      <c r="L77" s="38">
        <v>106.61684</v>
      </c>
      <c r="M77" s="38">
        <v>10.396380000000001</v>
      </c>
      <c r="N77" s="38" t="s">
        <v>128</v>
      </c>
      <c r="O77" s="39" t="s">
        <v>29</v>
      </c>
      <c r="P77" s="36" t="s">
        <v>30</v>
      </c>
      <c r="Q77" s="30" t="s">
        <v>31</v>
      </c>
      <c r="R77" s="40" t="s">
        <v>32</v>
      </c>
      <c r="S77" s="35">
        <v>48041</v>
      </c>
      <c r="T77" s="36" t="s">
        <v>129</v>
      </c>
      <c r="U77" s="30" t="s">
        <v>129</v>
      </c>
      <c r="V77" s="37" t="e">
        <v>#N/A</v>
      </c>
      <c r="W77" s="31" t="s">
        <v>63</v>
      </c>
      <c r="X77" s="37" t="s">
        <v>52</v>
      </c>
      <c r="Y77" s="37">
        <f>COUNTIF(F:F,F77)</f>
        <v>3</v>
      </c>
      <c r="Z77" s="21" t="s">
        <v>1097</v>
      </c>
      <c r="AA77" s="21" t="s">
        <v>129</v>
      </c>
      <c r="AB77" s="21" t="s">
        <v>1118</v>
      </c>
    </row>
    <row r="78" spans="1:28" ht="13.9" customHeight="1" x14ac:dyDescent="0.3">
      <c r="A78" s="30" t="s">
        <v>20</v>
      </c>
      <c r="B78" s="30" t="s">
        <v>21</v>
      </c>
      <c r="C78" s="30" t="s">
        <v>22</v>
      </c>
      <c r="D78" s="30" t="s">
        <v>23</v>
      </c>
      <c r="E78" s="30" t="s">
        <v>149</v>
      </c>
      <c r="F78" s="31" t="s">
        <v>147</v>
      </c>
      <c r="G78" s="30" t="s">
        <v>26</v>
      </c>
      <c r="H78" s="30" t="s">
        <v>27</v>
      </c>
      <c r="I78" s="30">
        <v>3</v>
      </c>
      <c r="J78" s="30"/>
      <c r="K78" s="30"/>
      <c r="L78" s="32">
        <v>106.59217</v>
      </c>
      <c r="M78" s="32">
        <v>10.38883</v>
      </c>
      <c r="N78" s="32" t="s">
        <v>128</v>
      </c>
      <c r="O78" s="33" t="s">
        <v>29</v>
      </c>
      <c r="P78" s="30" t="s">
        <v>30</v>
      </c>
      <c r="Q78" s="30" t="s">
        <v>31</v>
      </c>
      <c r="R78" s="34" t="s">
        <v>32</v>
      </c>
      <c r="S78" s="35">
        <v>48041</v>
      </c>
      <c r="T78" s="36" t="s">
        <v>129</v>
      </c>
      <c r="U78" s="30" t="s">
        <v>129</v>
      </c>
      <c r="V78" s="37" t="e">
        <v>#N/A</v>
      </c>
      <c r="W78" s="31" t="s">
        <v>63</v>
      </c>
      <c r="X78" s="37" t="s">
        <v>52</v>
      </c>
      <c r="Y78" s="37">
        <f>COUNTIF(F:F,F78)</f>
        <v>3</v>
      </c>
      <c r="Z78" s="21" t="s">
        <v>1097</v>
      </c>
      <c r="AA78" s="21" t="s">
        <v>129</v>
      </c>
      <c r="AB78" s="21" t="s">
        <v>1118</v>
      </c>
    </row>
    <row r="79" spans="1:28" ht="13.9" customHeight="1" x14ac:dyDescent="0.3">
      <c r="A79" s="30" t="s">
        <v>20</v>
      </c>
      <c r="B79" s="30" t="s">
        <v>21</v>
      </c>
      <c r="C79" s="30" t="s">
        <v>22</v>
      </c>
      <c r="D79" s="30" t="s">
        <v>23</v>
      </c>
      <c r="E79" s="30" t="s">
        <v>132</v>
      </c>
      <c r="F79" s="31" t="s">
        <v>132</v>
      </c>
      <c r="G79" s="30" t="s">
        <v>26</v>
      </c>
      <c r="H79" s="30" t="s">
        <v>36</v>
      </c>
      <c r="I79" s="30">
        <v>3</v>
      </c>
      <c r="J79" s="30" t="s">
        <v>37</v>
      </c>
      <c r="K79" s="30" t="s">
        <v>38</v>
      </c>
      <c r="L79" s="32">
        <v>106.57087</v>
      </c>
      <c r="M79" s="32">
        <v>10.40936</v>
      </c>
      <c r="N79" s="32" t="s">
        <v>128</v>
      </c>
      <c r="O79" s="33" t="s">
        <v>29</v>
      </c>
      <c r="P79" s="30" t="s">
        <v>39</v>
      </c>
      <c r="Q79" s="30" t="s">
        <v>31</v>
      </c>
      <c r="R79" s="34" t="s">
        <v>32</v>
      </c>
      <c r="S79" s="35">
        <v>48041</v>
      </c>
      <c r="T79" s="36" t="s">
        <v>129</v>
      </c>
      <c r="U79" s="30" t="s">
        <v>129</v>
      </c>
      <c r="V79" s="37" t="e">
        <v>#N/A</v>
      </c>
      <c r="W79" s="31" t="s">
        <v>33</v>
      </c>
      <c r="X79" s="37"/>
      <c r="Y79" s="37">
        <f>COUNTIF(F:F,F79)</f>
        <v>1</v>
      </c>
      <c r="Z79" s="21" t="s">
        <v>1097</v>
      </c>
      <c r="AA79" s="21" t="s">
        <v>129</v>
      </c>
      <c r="AB79" s="21" t="s">
        <v>1118</v>
      </c>
    </row>
    <row r="80" spans="1:28" ht="13.9" customHeight="1" x14ac:dyDescent="0.3">
      <c r="A80" s="30" t="s">
        <v>20</v>
      </c>
      <c r="B80" s="30" t="s">
        <v>21</v>
      </c>
      <c r="C80" s="30" t="s">
        <v>22</v>
      </c>
      <c r="D80" s="30" t="s">
        <v>23</v>
      </c>
      <c r="E80" s="30" t="s">
        <v>133</v>
      </c>
      <c r="F80" s="31" t="s">
        <v>133</v>
      </c>
      <c r="G80" s="30" t="s">
        <v>26</v>
      </c>
      <c r="H80" s="30" t="s">
        <v>36</v>
      </c>
      <c r="I80" s="30">
        <v>3</v>
      </c>
      <c r="J80" s="30" t="s">
        <v>37</v>
      </c>
      <c r="K80" s="30" t="s">
        <v>38</v>
      </c>
      <c r="L80" s="32">
        <v>106.59022</v>
      </c>
      <c r="M80" s="32">
        <v>10.422029999999999</v>
      </c>
      <c r="N80" s="32" t="s">
        <v>128</v>
      </c>
      <c r="O80" s="33" t="s">
        <v>29</v>
      </c>
      <c r="P80" s="30" t="s">
        <v>39</v>
      </c>
      <c r="Q80" s="30" t="s">
        <v>31</v>
      </c>
      <c r="R80" s="34" t="s">
        <v>32</v>
      </c>
      <c r="S80" s="35">
        <v>48041</v>
      </c>
      <c r="T80" s="36" t="s">
        <v>129</v>
      </c>
      <c r="U80" s="30" t="s">
        <v>129</v>
      </c>
      <c r="V80" s="37" t="e">
        <v>#N/A</v>
      </c>
      <c r="W80" s="31" t="s">
        <v>33</v>
      </c>
      <c r="X80" s="37"/>
      <c r="Y80" s="37">
        <f>COUNTIF(F:F,F80)</f>
        <v>1</v>
      </c>
      <c r="Z80" s="21" t="s">
        <v>1097</v>
      </c>
      <c r="AA80" s="21" t="s">
        <v>129</v>
      </c>
      <c r="AB80" s="21" t="s">
        <v>1118</v>
      </c>
    </row>
    <row r="81" spans="1:28" ht="13.9" customHeight="1" x14ac:dyDescent="0.3">
      <c r="A81" s="30" t="s">
        <v>20</v>
      </c>
      <c r="B81" s="30" t="s">
        <v>21</v>
      </c>
      <c r="C81" s="30" t="s">
        <v>22</v>
      </c>
      <c r="D81" s="30" t="s">
        <v>23</v>
      </c>
      <c r="E81" s="30" t="s">
        <v>134</v>
      </c>
      <c r="F81" s="31" t="s">
        <v>135</v>
      </c>
      <c r="G81" s="30" t="s">
        <v>26</v>
      </c>
      <c r="H81" s="30" t="s">
        <v>36</v>
      </c>
      <c r="I81" s="30">
        <v>3</v>
      </c>
      <c r="J81" s="30" t="s">
        <v>37</v>
      </c>
      <c r="K81" s="30" t="s">
        <v>38</v>
      </c>
      <c r="L81" s="32">
        <v>106.54949999999999</v>
      </c>
      <c r="M81" s="32">
        <v>10.4116</v>
      </c>
      <c r="N81" s="32" t="s">
        <v>128</v>
      </c>
      <c r="O81" s="33" t="s">
        <v>29</v>
      </c>
      <c r="P81" s="30" t="s">
        <v>39</v>
      </c>
      <c r="Q81" s="30" t="s">
        <v>31</v>
      </c>
      <c r="R81" s="34" t="s">
        <v>32</v>
      </c>
      <c r="S81" s="35">
        <v>48041</v>
      </c>
      <c r="T81" s="36" t="s">
        <v>129</v>
      </c>
      <c r="U81" s="30" t="s">
        <v>129</v>
      </c>
      <c r="V81" s="37" t="e">
        <v>#N/A</v>
      </c>
      <c r="W81" s="31" t="s">
        <v>33</v>
      </c>
      <c r="X81" s="37"/>
      <c r="Y81" s="37">
        <f>COUNTIF(F:F,F81)</f>
        <v>1</v>
      </c>
      <c r="Z81" s="21" t="s">
        <v>1097</v>
      </c>
      <c r="AA81" s="21" t="s">
        <v>129</v>
      </c>
      <c r="AB81" s="21" t="s">
        <v>1118</v>
      </c>
    </row>
    <row r="82" spans="1:28" ht="13.9" customHeight="1" x14ac:dyDescent="0.3">
      <c r="A82" s="30" t="s">
        <v>20</v>
      </c>
      <c r="B82" s="30" t="s">
        <v>21</v>
      </c>
      <c r="C82" s="30" t="s">
        <v>22</v>
      </c>
      <c r="D82" s="30" t="s">
        <v>23</v>
      </c>
      <c r="E82" s="30" t="s">
        <v>150</v>
      </c>
      <c r="F82" s="31" t="s">
        <v>150</v>
      </c>
      <c r="G82" s="30" t="s">
        <v>26</v>
      </c>
      <c r="H82" s="30" t="s">
        <v>27</v>
      </c>
      <c r="I82" s="30">
        <v>3</v>
      </c>
      <c r="J82" s="30"/>
      <c r="K82" s="30"/>
      <c r="L82" s="32">
        <v>106.64551</v>
      </c>
      <c r="M82" s="32">
        <v>10.357810000000001</v>
      </c>
      <c r="N82" s="32" t="s">
        <v>128</v>
      </c>
      <c r="O82" s="33" t="s">
        <v>29</v>
      </c>
      <c r="P82" s="30" t="s">
        <v>30</v>
      </c>
      <c r="Q82" s="30" t="s">
        <v>31</v>
      </c>
      <c r="R82" s="34" t="s">
        <v>32</v>
      </c>
      <c r="S82" s="35">
        <v>48041</v>
      </c>
      <c r="T82" s="36" t="s">
        <v>151</v>
      </c>
      <c r="U82" s="30" t="s">
        <v>151</v>
      </c>
      <c r="V82" s="37" t="e">
        <v>#N/A</v>
      </c>
      <c r="W82" s="31" t="s">
        <v>33</v>
      </c>
      <c r="X82" s="37"/>
      <c r="Y82" s="37">
        <f>COUNTIF(F:F,F82)</f>
        <v>1</v>
      </c>
      <c r="Z82" s="21" t="s">
        <v>1098</v>
      </c>
      <c r="AA82" s="21" t="s">
        <v>151</v>
      </c>
      <c r="AB82" s="21" t="s">
        <v>1120</v>
      </c>
    </row>
    <row r="83" spans="1:28" ht="13.9" customHeight="1" x14ac:dyDescent="0.3">
      <c r="A83" s="30" t="s">
        <v>20</v>
      </c>
      <c r="B83" s="30" t="s">
        <v>21</v>
      </c>
      <c r="C83" s="30" t="s">
        <v>22</v>
      </c>
      <c r="D83" s="30" t="s">
        <v>23</v>
      </c>
      <c r="E83" s="30" t="s">
        <v>152</v>
      </c>
      <c r="F83" s="31" t="s">
        <v>152</v>
      </c>
      <c r="G83" s="30" t="s">
        <v>26</v>
      </c>
      <c r="H83" s="30" t="s">
        <v>27</v>
      </c>
      <c r="I83" s="30">
        <v>3</v>
      </c>
      <c r="J83" s="30"/>
      <c r="K83" s="30"/>
      <c r="L83" s="32">
        <v>106.63276</v>
      </c>
      <c r="M83" s="32">
        <v>10.380649999999999</v>
      </c>
      <c r="N83" s="32" t="s">
        <v>128</v>
      </c>
      <c r="O83" s="33" t="s">
        <v>29</v>
      </c>
      <c r="P83" s="30" t="s">
        <v>30</v>
      </c>
      <c r="Q83" s="30" t="s">
        <v>31</v>
      </c>
      <c r="R83" s="34" t="s">
        <v>32</v>
      </c>
      <c r="S83" s="35">
        <v>48041</v>
      </c>
      <c r="T83" s="36" t="s">
        <v>151</v>
      </c>
      <c r="U83" s="30" t="s">
        <v>151</v>
      </c>
      <c r="V83" s="37" t="e">
        <v>#N/A</v>
      </c>
      <c r="W83" s="31" t="s">
        <v>33</v>
      </c>
      <c r="X83" s="37"/>
      <c r="Y83" s="37">
        <f>COUNTIF(F:F,F83)</f>
        <v>1</v>
      </c>
      <c r="Z83" s="21" t="s">
        <v>1098</v>
      </c>
      <c r="AA83" s="21" t="s">
        <v>151</v>
      </c>
      <c r="AB83" s="21" t="s">
        <v>1120</v>
      </c>
    </row>
    <row r="84" spans="1:28" ht="13.9" customHeight="1" x14ac:dyDescent="0.3">
      <c r="A84" s="30" t="s">
        <v>20</v>
      </c>
      <c r="B84" s="30" t="s">
        <v>21</v>
      </c>
      <c r="C84" s="30" t="s">
        <v>22</v>
      </c>
      <c r="D84" s="30" t="s">
        <v>23</v>
      </c>
      <c r="E84" s="30" t="s">
        <v>153</v>
      </c>
      <c r="F84" s="31" t="s">
        <v>153</v>
      </c>
      <c r="G84" s="30" t="s">
        <v>26</v>
      </c>
      <c r="H84" s="30" t="s">
        <v>36</v>
      </c>
      <c r="I84" s="30">
        <v>3</v>
      </c>
      <c r="J84" s="30"/>
      <c r="K84" s="30"/>
      <c r="L84" s="32">
        <v>106.52986</v>
      </c>
      <c r="M84" s="32">
        <v>10.35721</v>
      </c>
      <c r="N84" s="32" t="s">
        <v>128</v>
      </c>
      <c r="O84" s="33" t="s">
        <v>29</v>
      </c>
      <c r="P84" s="30" t="s">
        <v>109</v>
      </c>
      <c r="Q84" s="30" t="s">
        <v>31</v>
      </c>
      <c r="R84" s="34" t="s">
        <v>32</v>
      </c>
      <c r="S84" s="35">
        <v>48041</v>
      </c>
      <c r="T84" s="36" t="s">
        <v>151</v>
      </c>
      <c r="U84" s="30" t="s">
        <v>151</v>
      </c>
      <c r="V84" s="37" t="e">
        <v>#N/A</v>
      </c>
      <c r="W84" s="31" t="s">
        <v>33</v>
      </c>
      <c r="X84" s="37"/>
      <c r="Y84" s="37">
        <f>COUNTIF(F:F,F84)</f>
        <v>1</v>
      </c>
      <c r="Z84" s="21" t="s">
        <v>1098</v>
      </c>
      <c r="AA84" s="21" t="s">
        <v>151</v>
      </c>
      <c r="AB84" s="21" t="s">
        <v>1120</v>
      </c>
    </row>
    <row r="85" spans="1:28" ht="13.9" customHeight="1" x14ac:dyDescent="0.3">
      <c r="A85" s="30" t="s">
        <v>20</v>
      </c>
      <c r="B85" s="30" t="s">
        <v>21</v>
      </c>
      <c r="C85" s="30" t="s">
        <v>22</v>
      </c>
      <c r="D85" s="30" t="s">
        <v>23</v>
      </c>
      <c r="E85" s="30" t="s">
        <v>154</v>
      </c>
      <c r="F85" s="31" t="s">
        <v>154</v>
      </c>
      <c r="G85" s="30" t="s">
        <v>26</v>
      </c>
      <c r="H85" s="30" t="s">
        <v>36</v>
      </c>
      <c r="I85" s="30">
        <v>3</v>
      </c>
      <c r="J85" s="30" t="s">
        <v>37</v>
      </c>
      <c r="K85" s="30" t="s">
        <v>38</v>
      </c>
      <c r="L85" s="32">
        <v>106.57648</v>
      </c>
      <c r="M85" s="32">
        <v>10.35876</v>
      </c>
      <c r="N85" s="32" t="s">
        <v>128</v>
      </c>
      <c r="O85" s="33" t="s">
        <v>29</v>
      </c>
      <c r="P85" s="30" t="s">
        <v>39</v>
      </c>
      <c r="Q85" s="30" t="s">
        <v>31</v>
      </c>
      <c r="R85" s="34" t="s">
        <v>32</v>
      </c>
      <c r="S85" s="35">
        <v>48041</v>
      </c>
      <c r="T85" s="36" t="s">
        <v>151</v>
      </c>
      <c r="U85" s="30" t="s">
        <v>151</v>
      </c>
      <c r="V85" s="37" t="e">
        <v>#N/A</v>
      </c>
      <c r="W85" s="31" t="s">
        <v>33</v>
      </c>
      <c r="X85" s="37"/>
      <c r="Y85" s="37">
        <f>COUNTIF(F:F,F85)</f>
        <v>1</v>
      </c>
      <c r="Z85" s="21" t="s">
        <v>1098</v>
      </c>
      <c r="AA85" s="21" t="s">
        <v>151</v>
      </c>
      <c r="AB85" s="21" t="s">
        <v>1120</v>
      </c>
    </row>
    <row r="86" spans="1:28" ht="13.9" customHeight="1" x14ac:dyDescent="0.3">
      <c r="A86" s="30" t="s">
        <v>20</v>
      </c>
      <c r="B86" s="30" t="s">
        <v>21</v>
      </c>
      <c r="C86" s="30" t="s">
        <v>22</v>
      </c>
      <c r="D86" s="30" t="s">
        <v>23</v>
      </c>
      <c r="E86" s="30" t="s">
        <v>155</v>
      </c>
      <c r="F86" s="31" t="s">
        <v>155</v>
      </c>
      <c r="G86" s="30" t="s">
        <v>26</v>
      </c>
      <c r="H86" s="30" t="s">
        <v>36</v>
      </c>
      <c r="I86" s="30">
        <v>3</v>
      </c>
      <c r="J86" s="30" t="s">
        <v>37</v>
      </c>
      <c r="K86" s="30" t="s">
        <v>38</v>
      </c>
      <c r="L86" s="32">
        <v>106.55189</v>
      </c>
      <c r="M86" s="32">
        <v>10.35467</v>
      </c>
      <c r="N86" s="32" t="s">
        <v>128</v>
      </c>
      <c r="O86" s="33" t="s">
        <v>29</v>
      </c>
      <c r="P86" s="30" t="s">
        <v>39</v>
      </c>
      <c r="Q86" s="30" t="s">
        <v>31</v>
      </c>
      <c r="R86" s="34" t="s">
        <v>32</v>
      </c>
      <c r="S86" s="35">
        <v>48041</v>
      </c>
      <c r="T86" s="36" t="s">
        <v>151</v>
      </c>
      <c r="U86" s="30" t="s">
        <v>151</v>
      </c>
      <c r="V86" s="37" t="e">
        <v>#N/A</v>
      </c>
      <c r="W86" s="31" t="s">
        <v>33</v>
      </c>
      <c r="X86" s="37"/>
      <c r="Y86" s="37">
        <f>COUNTIF(F:F,F86)</f>
        <v>1</v>
      </c>
      <c r="Z86" s="21" t="s">
        <v>1098</v>
      </c>
      <c r="AA86" s="21" t="s">
        <v>151</v>
      </c>
      <c r="AB86" s="21" t="s">
        <v>1120</v>
      </c>
    </row>
    <row r="87" spans="1:28" ht="13.9" customHeight="1" x14ac:dyDescent="0.3">
      <c r="A87" s="30" t="s">
        <v>20</v>
      </c>
      <c r="B87" s="30" t="s">
        <v>21</v>
      </c>
      <c r="C87" s="30" t="s">
        <v>22</v>
      </c>
      <c r="D87" s="30" t="s">
        <v>23</v>
      </c>
      <c r="E87" s="30" t="s">
        <v>159</v>
      </c>
      <c r="F87" s="31" t="s">
        <v>159</v>
      </c>
      <c r="G87" s="30" t="s">
        <v>26</v>
      </c>
      <c r="H87" s="30" t="s">
        <v>27</v>
      </c>
      <c r="I87" s="30">
        <v>3</v>
      </c>
      <c r="J87" s="30"/>
      <c r="K87" s="30"/>
      <c r="L87" s="32">
        <v>106.55931</v>
      </c>
      <c r="M87" s="32">
        <v>10.372859999999999</v>
      </c>
      <c r="N87" s="32" t="s">
        <v>128</v>
      </c>
      <c r="O87" s="33" t="s">
        <v>29</v>
      </c>
      <c r="P87" s="30" t="s">
        <v>30</v>
      </c>
      <c r="Q87" s="30" t="s">
        <v>31</v>
      </c>
      <c r="R87" s="34" t="s">
        <v>32</v>
      </c>
      <c r="S87" s="35">
        <v>48041</v>
      </c>
      <c r="T87" s="36" t="s">
        <v>151</v>
      </c>
      <c r="U87" s="30" t="s">
        <v>151</v>
      </c>
      <c r="V87" s="37" t="e">
        <v>#N/A</v>
      </c>
      <c r="W87" s="31" t="s">
        <v>33</v>
      </c>
      <c r="X87" s="37" t="s">
        <v>42</v>
      </c>
      <c r="Y87" s="37">
        <f>COUNTIF(F:F,F87)</f>
        <v>3</v>
      </c>
      <c r="Z87" s="21" t="s">
        <v>1098</v>
      </c>
      <c r="AA87" s="21" t="s">
        <v>151</v>
      </c>
      <c r="AB87" s="21" t="s">
        <v>1120</v>
      </c>
    </row>
    <row r="88" spans="1:28" ht="13.9" customHeight="1" x14ac:dyDescent="0.3">
      <c r="A88" s="30" t="s">
        <v>20</v>
      </c>
      <c r="B88" s="30" t="s">
        <v>21</v>
      </c>
      <c r="C88" s="30" t="s">
        <v>22</v>
      </c>
      <c r="D88" s="30" t="s">
        <v>23</v>
      </c>
      <c r="E88" s="30" t="s">
        <v>630</v>
      </c>
      <c r="F88" s="31" t="s">
        <v>159</v>
      </c>
      <c r="G88" s="30" t="s">
        <v>26</v>
      </c>
      <c r="H88" s="30" t="s">
        <v>27</v>
      </c>
      <c r="I88" s="30">
        <v>3</v>
      </c>
      <c r="J88" s="30"/>
      <c r="K88" s="30"/>
      <c r="L88" s="32">
        <v>106.55177999999999</v>
      </c>
      <c r="M88" s="32">
        <v>10.39123</v>
      </c>
      <c r="N88" s="32" t="s">
        <v>128</v>
      </c>
      <c r="O88" s="33" t="s">
        <v>29</v>
      </c>
      <c r="P88" s="30" t="s">
        <v>30</v>
      </c>
      <c r="Q88" s="30" t="s">
        <v>31</v>
      </c>
      <c r="R88" s="34" t="s">
        <v>32</v>
      </c>
      <c r="S88" s="35">
        <v>48041</v>
      </c>
      <c r="T88" s="36" t="s">
        <v>129</v>
      </c>
      <c r="U88" s="30" t="s">
        <v>151</v>
      </c>
      <c r="V88" s="37" t="s">
        <v>49</v>
      </c>
      <c r="W88" s="31" t="s">
        <v>50</v>
      </c>
      <c r="X88" s="37" t="s">
        <v>52</v>
      </c>
      <c r="Y88" s="37">
        <f>COUNTIF(F:F,F88)</f>
        <v>3</v>
      </c>
      <c r="Z88" s="21" t="s">
        <v>1098</v>
      </c>
      <c r="AA88" s="21" t="s">
        <v>151</v>
      </c>
      <c r="AB88" s="21" t="s">
        <v>1120</v>
      </c>
    </row>
    <row r="89" spans="1:28" ht="13.9" customHeight="1" x14ac:dyDescent="0.3">
      <c r="A89" s="36" t="s">
        <v>20</v>
      </c>
      <c r="B89" s="36" t="s">
        <v>21</v>
      </c>
      <c r="C89" s="36" t="s">
        <v>22</v>
      </c>
      <c r="D89" s="36" t="s">
        <v>23</v>
      </c>
      <c r="E89" s="36" t="s">
        <v>160</v>
      </c>
      <c r="F89" s="31" t="s">
        <v>159</v>
      </c>
      <c r="G89" s="36" t="s">
        <v>26</v>
      </c>
      <c r="H89" s="36" t="s">
        <v>27</v>
      </c>
      <c r="I89" s="36">
        <v>3</v>
      </c>
      <c r="J89" s="36"/>
      <c r="K89" s="36"/>
      <c r="L89" s="38">
        <v>106.54008</v>
      </c>
      <c r="M89" s="38">
        <v>10.37172</v>
      </c>
      <c r="N89" s="38" t="s">
        <v>128</v>
      </c>
      <c r="O89" s="39" t="s">
        <v>29</v>
      </c>
      <c r="P89" s="36" t="s">
        <v>60</v>
      </c>
      <c r="Q89" s="30" t="s">
        <v>31</v>
      </c>
      <c r="R89" s="40" t="s">
        <v>32</v>
      </c>
      <c r="S89" s="35">
        <v>48041</v>
      </c>
      <c r="T89" s="36" t="s">
        <v>151</v>
      </c>
      <c r="U89" s="30" t="s">
        <v>151</v>
      </c>
      <c r="V89" s="37" t="e">
        <v>#N/A</v>
      </c>
      <c r="W89" s="31" t="s">
        <v>63</v>
      </c>
      <c r="X89" s="37" t="s">
        <v>52</v>
      </c>
      <c r="Y89" s="37">
        <f>COUNTIF(F:F,F89)</f>
        <v>3</v>
      </c>
      <c r="Z89" s="21" t="s">
        <v>1098</v>
      </c>
      <c r="AA89" s="21" t="s">
        <v>151</v>
      </c>
      <c r="AB89" s="21" t="s">
        <v>1120</v>
      </c>
    </row>
    <row r="90" spans="1:28" ht="13.9" customHeight="1" x14ac:dyDescent="0.3">
      <c r="A90" s="30" t="s">
        <v>20</v>
      </c>
      <c r="B90" s="30" t="s">
        <v>21</v>
      </c>
      <c r="C90" s="30" t="s">
        <v>22</v>
      </c>
      <c r="D90" s="30" t="s">
        <v>23</v>
      </c>
      <c r="E90" s="30" t="s">
        <v>156</v>
      </c>
      <c r="F90" s="31" t="s">
        <v>156</v>
      </c>
      <c r="G90" s="30" t="s">
        <v>26</v>
      </c>
      <c r="H90" s="30" t="s">
        <v>27</v>
      </c>
      <c r="I90" s="30">
        <v>3</v>
      </c>
      <c r="J90" s="30"/>
      <c r="K90" s="30"/>
      <c r="L90" s="32">
        <v>106.59643</v>
      </c>
      <c r="M90" s="32">
        <v>10.373430000000001</v>
      </c>
      <c r="N90" s="32" t="s">
        <v>128</v>
      </c>
      <c r="O90" s="33" t="s">
        <v>29</v>
      </c>
      <c r="P90" s="30" t="s">
        <v>30</v>
      </c>
      <c r="Q90" s="30" t="s">
        <v>31</v>
      </c>
      <c r="R90" s="34" t="s">
        <v>32</v>
      </c>
      <c r="S90" s="35">
        <v>48041</v>
      </c>
      <c r="T90" s="36" t="s">
        <v>151</v>
      </c>
      <c r="U90" s="30" t="s">
        <v>151</v>
      </c>
      <c r="V90" s="37" t="e">
        <v>#N/A</v>
      </c>
      <c r="W90" s="31" t="s">
        <v>33</v>
      </c>
      <c r="X90" s="37"/>
      <c r="Y90" s="37">
        <f>COUNTIF(F:F,F90)</f>
        <v>1</v>
      </c>
      <c r="Z90" s="21" t="s">
        <v>1098</v>
      </c>
      <c r="AA90" s="21" t="s">
        <v>151</v>
      </c>
      <c r="AB90" s="21" t="s">
        <v>1120</v>
      </c>
    </row>
    <row r="91" spans="1:28" ht="13.9" customHeight="1" x14ac:dyDescent="0.3">
      <c r="A91" s="30" t="s">
        <v>20</v>
      </c>
      <c r="B91" s="30" t="s">
        <v>21</v>
      </c>
      <c r="C91" s="30" t="s">
        <v>22</v>
      </c>
      <c r="D91" s="30" t="s">
        <v>23</v>
      </c>
      <c r="E91" s="30" t="s">
        <v>157</v>
      </c>
      <c r="F91" s="31" t="s">
        <v>157</v>
      </c>
      <c r="G91" s="30" t="s">
        <v>26</v>
      </c>
      <c r="H91" s="30" t="s">
        <v>27</v>
      </c>
      <c r="I91" s="30">
        <v>3</v>
      </c>
      <c r="J91" s="30"/>
      <c r="K91" s="30"/>
      <c r="L91" s="32">
        <v>106.564673</v>
      </c>
      <c r="M91" s="32">
        <v>10.357923</v>
      </c>
      <c r="N91" s="32" t="s">
        <v>128</v>
      </c>
      <c r="O91" s="33" t="s">
        <v>29</v>
      </c>
      <c r="P91" s="30" t="s">
        <v>30</v>
      </c>
      <c r="Q91" s="30" t="s">
        <v>31</v>
      </c>
      <c r="R91" s="34" t="s">
        <v>32</v>
      </c>
      <c r="S91" s="35">
        <v>48041</v>
      </c>
      <c r="T91" s="36" t="s">
        <v>151</v>
      </c>
      <c r="U91" s="30" t="s">
        <v>151</v>
      </c>
      <c r="V91" s="37" t="e">
        <v>#N/A</v>
      </c>
      <c r="W91" s="31" t="s">
        <v>33</v>
      </c>
      <c r="X91" s="37"/>
      <c r="Y91" s="37">
        <f>COUNTIF(F:F,F91)</f>
        <v>1</v>
      </c>
      <c r="Z91" s="21" t="s">
        <v>1098</v>
      </c>
      <c r="AA91" s="21" t="s">
        <v>151</v>
      </c>
      <c r="AB91" s="21" t="s">
        <v>1120</v>
      </c>
    </row>
    <row r="92" spans="1:28" ht="13.9" customHeight="1" x14ac:dyDescent="0.3">
      <c r="A92" s="30" t="s">
        <v>20</v>
      </c>
      <c r="B92" s="30" t="s">
        <v>21</v>
      </c>
      <c r="C92" s="30" t="s">
        <v>22</v>
      </c>
      <c r="D92" s="30" t="s">
        <v>23</v>
      </c>
      <c r="E92" s="30" t="s">
        <v>158</v>
      </c>
      <c r="F92" s="31" t="s">
        <v>158</v>
      </c>
      <c r="G92" s="30" t="s">
        <v>26</v>
      </c>
      <c r="H92" s="30" t="s">
        <v>27</v>
      </c>
      <c r="I92" s="30">
        <v>3</v>
      </c>
      <c r="J92" s="30"/>
      <c r="K92" s="30"/>
      <c r="L92" s="32">
        <v>106.57741</v>
      </c>
      <c r="M92" s="32">
        <v>10.37515</v>
      </c>
      <c r="N92" s="32" t="s">
        <v>128</v>
      </c>
      <c r="O92" s="33" t="s">
        <v>29</v>
      </c>
      <c r="P92" s="30" t="s">
        <v>30</v>
      </c>
      <c r="Q92" s="30" t="s">
        <v>31</v>
      </c>
      <c r="R92" s="34" t="s">
        <v>32</v>
      </c>
      <c r="S92" s="35">
        <v>48041</v>
      </c>
      <c r="T92" s="36" t="s">
        <v>151</v>
      </c>
      <c r="U92" s="30" t="s">
        <v>151</v>
      </c>
      <c r="V92" s="37" t="e">
        <v>#N/A</v>
      </c>
      <c r="W92" s="31" t="s">
        <v>33</v>
      </c>
      <c r="X92" s="37"/>
      <c r="Y92" s="37">
        <f>COUNTIF(F:F,F92)</f>
        <v>1</v>
      </c>
      <c r="Z92" s="21" t="s">
        <v>1098</v>
      </c>
      <c r="AA92" s="21" t="s">
        <v>151</v>
      </c>
      <c r="AB92" s="21" t="s">
        <v>1120</v>
      </c>
    </row>
    <row r="93" spans="1:28" ht="13.9" customHeight="1" x14ac:dyDescent="0.3">
      <c r="A93" s="36" t="s">
        <v>20</v>
      </c>
      <c r="B93" s="36" t="s">
        <v>21</v>
      </c>
      <c r="C93" s="36" t="s">
        <v>22</v>
      </c>
      <c r="D93" s="36" t="s">
        <v>23</v>
      </c>
      <c r="E93" s="36" t="s">
        <v>161</v>
      </c>
      <c r="F93" s="31" t="s">
        <v>162</v>
      </c>
      <c r="G93" s="36" t="s">
        <v>26</v>
      </c>
      <c r="H93" s="36" t="s">
        <v>27</v>
      </c>
      <c r="I93" s="36">
        <v>3</v>
      </c>
      <c r="J93" s="36"/>
      <c r="K93" s="36"/>
      <c r="L93" s="38">
        <v>106.6109462</v>
      </c>
      <c r="M93" s="38">
        <v>10.352687599999999</v>
      </c>
      <c r="N93" s="38" t="s">
        <v>128</v>
      </c>
      <c r="O93" s="39" t="s">
        <v>29</v>
      </c>
      <c r="P93" s="36" t="s">
        <v>30</v>
      </c>
      <c r="Q93" s="30" t="s">
        <v>31</v>
      </c>
      <c r="R93" s="40" t="s">
        <v>32</v>
      </c>
      <c r="S93" s="35">
        <v>48041</v>
      </c>
      <c r="T93" s="36" t="s">
        <v>151</v>
      </c>
      <c r="U93" s="30" t="s">
        <v>151</v>
      </c>
      <c r="V93" s="37" t="e">
        <v>#N/A</v>
      </c>
      <c r="W93" s="31" t="s">
        <v>63</v>
      </c>
      <c r="X93" s="37" t="s">
        <v>52</v>
      </c>
      <c r="Y93" s="37">
        <f>COUNTIF(F:F,F93)</f>
        <v>5</v>
      </c>
      <c r="Z93" s="21" t="s">
        <v>1098</v>
      </c>
      <c r="AA93" s="21" t="s">
        <v>151</v>
      </c>
      <c r="AB93" s="21" t="s">
        <v>1120</v>
      </c>
    </row>
    <row r="94" spans="1:28" s="22" customFormat="1" ht="13.9" customHeight="1" x14ac:dyDescent="0.3">
      <c r="A94" s="30" t="s">
        <v>20</v>
      </c>
      <c r="B94" s="30" t="s">
        <v>21</v>
      </c>
      <c r="C94" s="30" t="s">
        <v>22</v>
      </c>
      <c r="D94" s="30" t="s">
        <v>23</v>
      </c>
      <c r="E94" s="30" t="s">
        <v>615</v>
      </c>
      <c r="F94" s="31" t="s">
        <v>162</v>
      </c>
      <c r="G94" s="30" t="s">
        <v>26</v>
      </c>
      <c r="H94" s="30" t="s">
        <v>27</v>
      </c>
      <c r="I94" s="30">
        <v>3</v>
      </c>
      <c r="J94" s="30"/>
      <c r="K94" s="30"/>
      <c r="L94" s="32">
        <v>106.63086</v>
      </c>
      <c r="M94" s="32">
        <v>10.34909</v>
      </c>
      <c r="N94" s="32" t="s">
        <v>128</v>
      </c>
      <c r="O94" s="33" t="s">
        <v>29</v>
      </c>
      <c r="P94" s="30" t="s">
        <v>30</v>
      </c>
      <c r="Q94" s="30" t="s">
        <v>31</v>
      </c>
      <c r="R94" s="34" t="s">
        <v>32</v>
      </c>
      <c r="S94" s="35">
        <v>48041</v>
      </c>
      <c r="T94" s="36" t="s">
        <v>167</v>
      </c>
      <c r="U94" s="30" t="s">
        <v>151</v>
      </c>
      <c r="V94" s="37" t="s">
        <v>49</v>
      </c>
      <c r="W94" s="31" t="s">
        <v>50</v>
      </c>
      <c r="X94" s="37" t="s">
        <v>52</v>
      </c>
      <c r="Y94" s="37">
        <f>COUNTIF(F:F,F94)</f>
        <v>5</v>
      </c>
      <c r="Z94" s="21" t="s">
        <v>1098</v>
      </c>
      <c r="AA94" s="21" t="s">
        <v>151</v>
      </c>
      <c r="AB94" s="21" t="s">
        <v>1120</v>
      </c>
    </row>
    <row r="95" spans="1:28" ht="13.9" customHeight="1" x14ac:dyDescent="0.3">
      <c r="A95" s="36" t="s">
        <v>20</v>
      </c>
      <c r="B95" s="36" t="s">
        <v>21</v>
      </c>
      <c r="C95" s="36" t="s">
        <v>22</v>
      </c>
      <c r="D95" s="36" t="s">
        <v>23</v>
      </c>
      <c r="E95" s="36" t="s">
        <v>163</v>
      </c>
      <c r="F95" s="31" t="s">
        <v>162</v>
      </c>
      <c r="G95" s="36" t="s">
        <v>26</v>
      </c>
      <c r="H95" s="36" t="s">
        <v>27</v>
      </c>
      <c r="I95" s="36">
        <v>3</v>
      </c>
      <c r="J95" s="36"/>
      <c r="K95" s="36"/>
      <c r="L95" s="38">
        <v>106.594294</v>
      </c>
      <c r="M95" s="38">
        <v>10.359244</v>
      </c>
      <c r="N95" s="38" t="s">
        <v>128</v>
      </c>
      <c r="O95" s="39" t="s">
        <v>29</v>
      </c>
      <c r="P95" s="36" t="s">
        <v>30</v>
      </c>
      <c r="Q95" s="30" t="s">
        <v>31</v>
      </c>
      <c r="R95" s="40" t="s">
        <v>32</v>
      </c>
      <c r="S95" s="35">
        <v>48041</v>
      </c>
      <c r="T95" s="36" t="s">
        <v>151</v>
      </c>
      <c r="U95" s="30" t="s">
        <v>151</v>
      </c>
      <c r="V95" s="37" t="e">
        <v>#N/A</v>
      </c>
      <c r="W95" s="31" t="s">
        <v>63</v>
      </c>
      <c r="X95" s="37" t="s">
        <v>52</v>
      </c>
      <c r="Y95" s="37">
        <f>COUNTIF(F:F,F95)</f>
        <v>5</v>
      </c>
      <c r="Z95" s="21" t="s">
        <v>1098</v>
      </c>
      <c r="AA95" s="21" t="s">
        <v>151</v>
      </c>
      <c r="AB95" s="21" t="s">
        <v>1120</v>
      </c>
    </row>
    <row r="96" spans="1:28" ht="13.9" customHeight="1" x14ac:dyDescent="0.3">
      <c r="A96" s="30" t="s">
        <v>20</v>
      </c>
      <c r="B96" s="30" t="s">
        <v>21</v>
      </c>
      <c r="C96" s="30" t="s">
        <v>22</v>
      </c>
      <c r="D96" s="30" t="s">
        <v>23</v>
      </c>
      <c r="E96" s="30" t="s">
        <v>162</v>
      </c>
      <c r="F96" s="31" t="s">
        <v>162</v>
      </c>
      <c r="G96" s="30" t="s">
        <v>26</v>
      </c>
      <c r="H96" s="30" t="s">
        <v>27</v>
      </c>
      <c r="I96" s="30">
        <v>3</v>
      </c>
      <c r="J96" s="30" t="s">
        <v>37</v>
      </c>
      <c r="K96" s="30" t="s">
        <v>38</v>
      </c>
      <c r="L96" s="32">
        <v>106.62381999999999</v>
      </c>
      <c r="M96" s="32">
        <v>10.35744</v>
      </c>
      <c r="N96" s="32" t="s">
        <v>128</v>
      </c>
      <c r="O96" s="33" t="s">
        <v>29</v>
      </c>
      <c r="P96" s="30" t="s">
        <v>41</v>
      </c>
      <c r="Q96" s="30" t="s">
        <v>31</v>
      </c>
      <c r="R96" s="34" t="s">
        <v>32</v>
      </c>
      <c r="S96" s="35">
        <v>48041</v>
      </c>
      <c r="T96" s="36" t="s">
        <v>151</v>
      </c>
      <c r="U96" s="30" t="s">
        <v>151</v>
      </c>
      <c r="V96" s="37" t="e">
        <v>#N/A</v>
      </c>
      <c r="W96" s="31" t="s">
        <v>33</v>
      </c>
      <c r="X96" s="37" t="s">
        <v>42</v>
      </c>
      <c r="Y96" s="37">
        <f>COUNTIF(F:F,F96)</f>
        <v>5</v>
      </c>
      <c r="Z96" s="21" t="s">
        <v>1098</v>
      </c>
      <c r="AA96" s="21" t="s">
        <v>151</v>
      </c>
      <c r="AB96" s="21" t="s">
        <v>1120</v>
      </c>
    </row>
    <row r="97" spans="1:28" ht="13.9" customHeight="1" x14ac:dyDescent="0.3">
      <c r="A97" s="36" t="s">
        <v>20</v>
      </c>
      <c r="B97" s="36" t="s">
        <v>21</v>
      </c>
      <c r="C97" s="36" t="s">
        <v>22</v>
      </c>
      <c r="D97" s="36" t="s">
        <v>23</v>
      </c>
      <c r="E97" s="36" t="s">
        <v>164</v>
      </c>
      <c r="F97" s="31" t="s">
        <v>162</v>
      </c>
      <c r="G97" s="36" t="s">
        <v>26</v>
      </c>
      <c r="H97" s="36" t="s">
        <v>27</v>
      </c>
      <c r="I97" s="36">
        <v>3</v>
      </c>
      <c r="J97" s="36"/>
      <c r="K97" s="36"/>
      <c r="L97" s="38">
        <v>106.61312</v>
      </c>
      <c r="M97" s="38">
        <v>10.36974</v>
      </c>
      <c r="N97" s="38" t="s">
        <v>128</v>
      </c>
      <c r="O97" s="39" t="s">
        <v>29</v>
      </c>
      <c r="P97" s="36" t="s">
        <v>30</v>
      </c>
      <c r="Q97" s="30" t="s">
        <v>31</v>
      </c>
      <c r="R97" s="40" t="s">
        <v>32</v>
      </c>
      <c r="S97" s="35">
        <v>48041</v>
      </c>
      <c r="T97" s="36" t="s">
        <v>151</v>
      </c>
      <c r="U97" s="30" t="s">
        <v>151</v>
      </c>
      <c r="V97" s="37" t="e">
        <v>#N/A</v>
      </c>
      <c r="W97" s="31" t="s">
        <v>63</v>
      </c>
      <c r="X97" s="37" t="s">
        <v>52</v>
      </c>
      <c r="Y97" s="37">
        <f>COUNTIF(F:F,F97)</f>
        <v>5</v>
      </c>
      <c r="Z97" s="21" t="s">
        <v>1098</v>
      </c>
      <c r="AA97" s="21" t="s">
        <v>151</v>
      </c>
      <c r="AB97" s="21" t="s">
        <v>1120</v>
      </c>
    </row>
    <row r="98" spans="1:28" ht="13.9" customHeight="1" x14ac:dyDescent="0.3">
      <c r="A98" s="30" t="s">
        <v>20</v>
      </c>
      <c r="B98" s="30" t="s">
        <v>21</v>
      </c>
      <c r="C98" s="30" t="s">
        <v>22</v>
      </c>
      <c r="D98" s="30" t="s">
        <v>23</v>
      </c>
      <c r="E98" s="30" t="s">
        <v>165</v>
      </c>
      <c r="F98" s="31" t="s">
        <v>166</v>
      </c>
      <c r="G98" s="30" t="s">
        <v>26</v>
      </c>
      <c r="H98" s="30" t="s">
        <v>36</v>
      </c>
      <c r="I98" s="30">
        <v>3</v>
      </c>
      <c r="J98" s="30" t="s">
        <v>37</v>
      </c>
      <c r="K98" s="30" t="s">
        <v>38</v>
      </c>
      <c r="L98" s="32">
        <v>106.58063</v>
      </c>
      <c r="M98" s="32">
        <v>10.34451</v>
      </c>
      <c r="N98" s="32" t="s">
        <v>128</v>
      </c>
      <c r="O98" s="33" t="s">
        <v>29</v>
      </c>
      <c r="P98" s="30" t="s">
        <v>39</v>
      </c>
      <c r="Q98" s="30" t="s">
        <v>31</v>
      </c>
      <c r="R98" s="34" t="s">
        <v>32</v>
      </c>
      <c r="S98" s="35">
        <v>48041</v>
      </c>
      <c r="T98" s="36" t="s">
        <v>167</v>
      </c>
      <c r="U98" s="30" t="s">
        <v>167</v>
      </c>
      <c r="V98" s="37" t="e">
        <v>#N/A</v>
      </c>
      <c r="W98" s="31" t="s">
        <v>33</v>
      </c>
      <c r="X98" s="37"/>
      <c r="Y98" s="37">
        <f>COUNTIF(F:F,F98)</f>
        <v>1</v>
      </c>
      <c r="Z98" s="21" t="s">
        <v>1098</v>
      </c>
      <c r="AA98" s="21" t="s">
        <v>167</v>
      </c>
      <c r="AB98" s="21" t="s">
        <v>1120</v>
      </c>
    </row>
    <row r="99" spans="1:28" ht="13.9" customHeight="1" x14ac:dyDescent="0.3">
      <c r="A99" s="30" t="s">
        <v>20</v>
      </c>
      <c r="B99" s="30" t="s">
        <v>21</v>
      </c>
      <c r="C99" s="30" t="s">
        <v>22</v>
      </c>
      <c r="D99" s="30" t="s">
        <v>23</v>
      </c>
      <c r="E99" s="30" t="s">
        <v>168</v>
      </c>
      <c r="F99" s="31" t="s">
        <v>168</v>
      </c>
      <c r="G99" s="30" t="s">
        <v>26</v>
      </c>
      <c r="H99" s="30" t="s">
        <v>36</v>
      </c>
      <c r="I99" s="30">
        <v>3</v>
      </c>
      <c r="J99" s="30" t="s">
        <v>37</v>
      </c>
      <c r="K99" s="30" t="s">
        <v>38</v>
      </c>
      <c r="L99" s="32">
        <v>106.65952</v>
      </c>
      <c r="M99" s="32">
        <v>10.33029</v>
      </c>
      <c r="N99" s="32" t="s">
        <v>128</v>
      </c>
      <c r="O99" s="33" t="s">
        <v>29</v>
      </c>
      <c r="P99" s="30" t="s">
        <v>169</v>
      </c>
      <c r="Q99" s="30" t="s">
        <v>31</v>
      </c>
      <c r="R99" s="34" t="s">
        <v>32</v>
      </c>
      <c r="S99" s="35">
        <v>48041</v>
      </c>
      <c r="T99" s="36" t="s">
        <v>167</v>
      </c>
      <c r="U99" s="30" t="s">
        <v>167</v>
      </c>
      <c r="V99" s="37" t="e">
        <v>#N/A</v>
      </c>
      <c r="W99" s="31" t="s">
        <v>33</v>
      </c>
      <c r="X99" s="37"/>
      <c r="Y99" s="37">
        <f>COUNTIF(F:F,F99)</f>
        <v>1</v>
      </c>
      <c r="Z99" s="21" t="s">
        <v>1098</v>
      </c>
      <c r="AA99" s="21" t="s">
        <v>167</v>
      </c>
      <c r="AB99" s="21" t="s">
        <v>1120</v>
      </c>
    </row>
    <row r="100" spans="1:28" ht="13.9" customHeight="1" x14ac:dyDescent="0.3">
      <c r="A100" s="30" t="s">
        <v>20</v>
      </c>
      <c r="B100" s="30" t="s">
        <v>21</v>
      </c>
      <c r="C100" s="30" t="s">
        <v>22</v>
      </c>
      <c r="D100" s="30" t="s">
        <v>23</v>
      </c>
      <c r="E100" s="30" t="s">
        <v>170</v>
      </c>
      <c r="F100" s="31" t="s">
        <v>170</v>
      </c>
      <c r="G100" s="30" t="s">
        <v>26</v>
      </c>
      <c r="H100" s="30" t="s">
        <v>36</v>
      </c>
      <c r="I100" s="30">
        <v>3</v>
      </c>
      <c r="J100" s="30" t="s">
        <v>37</v>
      </c>
      <c r="K100" s="30" t="s">
        <v>38</v>
      </c>
      <c r="L100" s="32">
        <v>106.65164</v>
      </c>
      <c r="M100" s="32">
        <v>10.31132</v>
      </c>
      <c r="N100" s="32" t="s">
        <v>128</v>
      </c>
      <c r="O100" s="33" t="s">
        <v>29</v>
      </c>
      <c r="P100" s="30" t="s">
        <v>169</v>
      </c>
      <c r="Q100" s="30" t="s">
        <v>31</v>
      </c>
      <c r="R100" s="34" t="s">
        <v>32</v>
      </c>
      <c r="S100" s="35">
        <v>48041</v>
      </c>
      <c r="T100" s="36" t="s">
        <v>167</v>
      </c>
      <c r="U100" s="30" t="s">
        <v>167</v>
      </c>
      <c r="V100" s="37" t="e">
        <v>#N/A</v>
      </c>
      <c r="W100" s="31" t="s">
        <v>33</v>
      </c>
      <c r="X100" s="37"/>
      <c r="Y100" s="37">
        <f>COUNTIF(F:F,F100)</f>
        <v>1</v>
      </c>
      <c r="Z100" s="21" t="s">
        <v>1098</v>
      </c>
      <c r="AA100" s="21" t="s">
        <v>167</v>
      </c>
      <c r="AB100" s="21" t="s">
        <v>1120</v>
      </c>
    </row>
    <row r="101" spans="1:28" ht="13.9" customHeight="1" x14ac:dyDescent="0.3">
      <c r="A101" s="30" t="s">
        <v>20</v>
      </c>
      <c r="B101" s="30" t="s">
        <v>21</v>
      </c>
      <c r="C101" s="30" t="s">
        <v>22</v>
      </c>
      <c r="D101" s="30" t="s">
        <v>23</v>
      </c>
      <c r="E101" s="30" t="s">
        <v>171</v>
      </c>
      <c r="F101" s="31" t="s">
        <v>171</v>
      </c>
      <c r="G101" s="30" t="s">
        <v>26</v>
      </c>
      <c r="H101" s="30" t="s">
        <v>27</v>
      </c>
      <c r="I101" s="30">
        <v>3</v>
      </c>
      <c r="J101" s="30" t="s">
        <v>37</v>
      </c>
      <c r="K101" s="30" t="s">
        <v>38</v>
      </c>
      <c r="L101" s="32">
        <v>106.62607</v>
      </c>
      <c r="M101" s="32">
        <v>10.30077</v>
      </c>
      <c r="N101" s="32" t="s">
        <v>128</v>
      </c>
      <c r="O101" s="33" t="s">
        <v>29</v>
      </c>
      <c r="P101" s="30" t="s">
        <v>41</v>
      </c>
      <c r="Q101" s="30" t="s">
        <v>31</v>
      </c>
      <c r="R101" s="34" t="s">
        <v>32</v>
      </c>
      <c r="S101" s="35">
        <v>48041</v>
      </c>
      <c r="T101" s="36" t="s">
        <v>167</v>
      </c>
      <c r="U101" s="30" t="s">
        <v>167</v>
      </c>
      <c r="V101" s="37" t="e">
        <v>#N/A</v>
      </c>
      <c r="W101" s="31" t="s">
        <v>33</v>
      </c>
      <c r="X101" s="37"/>
      <c r="Y101" s="37">
        <f>COUNTIF(F:F,F101)</f>
        <v>1</v>
      </c>
      <c r="Z101" s="21" t="s">
        <v>1098</v>
      </c>
      <c r="AA101" s="21" t="s">
        <v>167</v>
      </c>
      <c r="AB101" s="21" t="s">
        <v>1120</v>
      </c>
    </row>
    <row r="102" spans="1:28" ht="13.9" customHeight="1" x14ac:dyDescent="0.3">
      <c r="A102" s="30" t="s">
        <v>20</v>
      </c>
      <c r="B102" s="30" t="s">
        <v>21</v>
      </c>
      <c r="C102" s="30" t="s">
        <v>22</v>
      </c>
      <c r="D102" s="30" t="s">
        <v>23</v>
      </c>
      <c r="E102" s="30" t="s">
        <v>189</v>
      </c>
      <c r="F102" s="31" t="s">
        <v>189</v>
      </c>
      <c r="G102" s="30" t="s">
        <v>26</v>
      </c>
      <c r="H102" s="30" t="s">
        <v>27</v>
      </c>
      <c r="I102" s="30">
        <v>3</v>
      </c>
      <c r="J102" s="30"/>
      <c r="K102" s="30"/>
      <c r="L102" s="32">
        <v>106.61160630000001</v>
      </c>
      <c r="M102" s="32">
        <v>10.317372799999999</v>
      </c>
      <c r="N102" s="32" t="s">
        <v>128</v>
      </c>
      <c r="O102" s="33" t="s">
        <v>29</v>
      </c>
      <c r="P102" s="30" t="s">
        <v>30</v>
      </c>
      <c r="Q102" s="30" t="s">
        <v>31</v>
      </c>
      <c r="R102" s="34" t="s">
        <v>32</v>
      </c>
      <c r="S102" s="35">
        <v>48041</v>
      </c>
      <c r="T102" s="36" t="s">
        <v>167</v>
      </c>
      <c r="U102" s="30" t="s">
        <v>167</v>
      </c>
      <c r="V102" s="37" t="e">
        <v>#N/A</v>
      </c>
      <c r="W102" s="31" t="s">
        <v>33</v>
      </c>
      <c r="X102" s="37" t="s">
        <v>42</v>
      </c>
      <c r="Y102" s="37">
        <f>COUNTIF(F:F,F102)</f>
        <v>2</v>
      </c>
      <c r="Z102" s="21" t="s">
        <v>1098</v>
      </c>
      <c r="AA102" s="21" t="s">
        <v>167</v>
      </c>
      <c r="AB102" s="21" t="s">
        <v>1120</v>
      </c>
    </row>
    <row r="103" spans="1:28" ht="13.9" customHeight="1" x14ac:dyDescent="0.3">
      <c r="A103" s="36" t="s">
        <v>20</v>
      </c>
      <c r="B103" s="36" t="s">
        <v>21</v>
      </c>
      <c r="C103" s="36" t="s">
        <v>22</v>
      </c>
      <c r="D103" s="36" t="s">
        <v>23</v>
      </c>
      <c r="E103" s="36" t="s">
        <v>190</v>
      </c>
      <c r="F103" s="31" t="s">
        <v>189</v>
      </c>
      <c r="G103" s="36" t="s">
        <v>26</v>
      </c>
      <c r="H103" s="36" t="s">
        <v>27</v>
      </c>
      <c r="I103" s="36">
        <v>3</v>
      </c>
      <c r="J103" s="36"/>
      <c r="K103" s="36"/>
      <c r="L103" s="38">
        <v>106.59220999999999</v>
      </c>
      <c r="M103" s="38">
        <v>10.30621</v>
      </c>
      <c r="N103" s="38" t="s">
        <v>128</v>
      </c>
      <c r="O103" s="39" t="s">
        <v>29</v>
      </c>
      <c r="P103" s="36" t="s">
        <v>30</v>
      </c>
      <c r="Q103" s="30" t="s">
        <v>31</v>
      </c>
      <c r="R103" s="40" t="s">
        <v>32</v>
      </c>
      <c r="S103" s="35">
        <v>48041</v>
      </c>
      <c r="T103" s="36" t="s">
        <v>167</v>
      </c>
      <c r="U103" s="30" t="s">
        <v>167</v>
      </c>
      <c r="V103" s="37" t="e">
        <v>#N/A</v>
      </c>
      <c r="W103" s="31" t="s">
        <v>63</v>
      </c>
      <c r="X103" s="37" t="s">
        <v>52</v>
      </c>
      <c r="Y103" s="37">
        <f>COUNTIF(F:F,F103)</f>
        <v>2</v>
      </c>
      <c r="Z103" s="21" t="s">
        <v>1098</v>
      </c>
      <c r="AA103" s="21" t="s">
        <v>167</v>
      </c>
      <c r="AB103" s="21" t="s">
        <v>1120</v>
      </c>
    </row>
    <row r="104" spans="1:28" ht="13.9" customHeight="1" x14ac:dyDescent="0.3">
      <c r="A104" s="30" t="s">
        <v>20</v>
      </c>
      <c r="B104" s="30" t="s">
        <v>21</v>
      </c>
      <c r="C104" s="30" t="s">
        <v>22</v>
      </c>
      <c r="D104" s="30" t="s">
        <v>23</v>
      </c>
      <c r="E104" s="30" t="s">
        <v>176</v>
      </c>
      <c r="F104" s="31" t="s">
        <v>176</v>
      </c>
      <c r="G104" s="30" t="s">
        <v>26</v>
      </c>
      <c r="H104" s="30" t="s">
        <v>27</v>
      </c>
      <c r="I104" s="30">
        <v>3</v>
      </c>
      <c r="J104" s="30"/>
      <c r="K104" s="30"/>
      <c r="L104" s="32">
        <v>106.5862616</v>
      </c>
      <c r="M104" s="32">
        <v>10.324335700000001</v>
      </c>
      <c r="N104" s="32" t="s">
        <v>128</v>
      </c>
      <c r="O104" s="33" t="s">
        <v>29</v>
      </c>
      <c r="P104" s="30" t="s">
        <v>30</v>
      </c>
      <c r="Q104" s="30" t="s">
        <v>31</v>
      </c>
      <c r="R104" s="34" t="s">
        <v>32</v>
      </c>
      <c r="S104" s="35">
        <v>48041</v>
      </c>
      <c r="T104" s="36" t="s">
        <v>167</v>
      </c>
      <c r="U104" s="30" t="s">
        <v>167</v>
      </c>
      <c r="V104" s="37" t="e">
        <v>#N/A</v>
      </c>
      <c r="W104" s="31" t="s">
        <v>33</v>
      </c>
      <c r="X104" s="37"/>
      <c r="Y104" s="37">
        <f>COUNTIF(F:F,F104)</f>
        <v>1</v>
      </c>
      <c r="Z104" s="21" t="s">
        <v>1098</v>
      </c>
      <c r="AA104" s="21" t="s">
        <v>167</v>
      </c>
      <c r="AB104" s="21" t="s">
        <v>1120</v>
      </c>
    </row>
    <row r="105" spans="1:28" ht="13.9" customHeight="1" x14ac:dyDescent="0.3">
      <c r="A105" s="30" t="s">
        <v>20</v>
      </c>
      <c r="B105" s="30" t="s">
        <v>21</v>
      </c>
      <c r="C105" s="30" t="s">
        <v>22</v>
      </c>
      <c r="D105" s="30" t="s">
        <v>23</v>
      </c>
      <c r="E105" s="30" t="s">
        <v>191</v>
      </c>
      <c r="F105" s="31" t="s">
        <v>191</v>
      </c>
      <c r="G105" s="30" t="s">
        <v>26</v>
      </c>
      <c r="H105" s="30" t="s">
        <v>27</v>
      </c>
      <c r="I105" s="30">
        <v>3</v>
      </c>
      <c r="J105" s="30"/>
      <c r="K105" s="30"/>
      <c r="L105" s="32">
        <v>106.5561</v>
      </c>
      <c r="M105" s="32">
        <v>10.33658</v>
      </c>
      <c r="N105" s="32" t="s">
        <v>128</v>
      </c>
      <c r="O105" s="33" t="s">
        <v>29</v>
      </c>
      <c r="P105" s="30" t="s">
        <v>30</v>
      </c>
      <c r="Q105" s="30" t="s">
        <v>31</v>
      </c>
      <c r="R105" s="34" t="s">
        <v>32</v>
      </c>
      <c r="S105" s="35">
        <v>48041</v>
      </c>
      <c r="T105" s="36" t="s">
        <v>167</v>
      </c>
      <c r="U105" s="30" t="s">
        <v>167</v>
      </c>
      <c r="V105" s="37" t="e">
        <v>#N/A</v>
      </c>
      <c r="W105" s="31" t="s">
        <v>33</v>
      </c>
      <c r="X105" s="37" t="s">
        <v>42</v>
      </c>
      <c r="Y105" s="37">
        <f>COUNTIF(F:F,F105)</f>
        <v>3</v>
      </c>
      <c r="Z105" s="21" t="s">
        <v>1098</v>
      </c>
      <c r="AA105" s="21" t="s">
        <v>167</v>
      </c>
      <c r="AB105" s="21" t="s">
        <v>1120</v>
      </c>
    </row>
    <row r="106" spans="1:28" ht="13.9" customHeight="1" x14ac:dyDescent="0.3">
      <c r="A106" s="36" t="s">
        <v>20</v>
      </c>
      <c r="B106" s="36" t="s">
        <v>21</v>
      </c>
      <c r="C106" s="36" t="s">
        <v>22</v>
      </c>
      <c r="D106" s="36" t="s">
        <v>23</v>
      </c>
      <c r="E106" s="36" t="s">
        <v>192</v>
      </c>
      <c r="F106" s="31" t="s">
        <v>191</v>
      </c>
      <c r="G106" s="36" t="s">
        <v>26</v>
      </c>
      <c r="H106" s="36" t="s">
        <v>27</v>
      </c>
      <c r="I106" s="36">
        <v>3</v>
      </c>
      <c r="J106" s="36"/>
      <c r="K106" s="36"/>
      <c r="L106" s="38">
        <v>106.56469</v>
      </c>
      <c r="M106" s="38">
        <v>10.31648</v>
      </c>
      <c r="N106" s="38" t="s">
        <v>128</v>
      </c>
      <c r="O106" s="39" t="s">
        <v>29</v>
      </c>
      <c r="P106" s="36" t="s">
        <v>30</v>
      </c>
      <c r="Q106" s="30" t="s">
        <v>31</v>
      </c>
      <c r="R106" s="40" t="s">
        <v>32</v>
      </c>
      <c r="S106" s="35">
        <v>48041</v>
      </c>
      <c r="T106" s="36" t="s">
        <v>167</v>
      </c>
      <c r="U106" s="30" t="s">
        <v>167</v>
      </c>
      <c r="V106" s="37" t="e">
        <v>#N/A</v>
      </c>
      <c r="W106" s="31" t="s">
        <v>63</v>
      </c>
      <c r="X106" s="37" t="s">
        <v>52</v>
      </c>
      <c r="Y106" s="37">
        <f>COUNTIF(F:F,F106)</f>
        <v>3</v>
      </c>
      <c r="Z106" s="21" t="s">
        <v>1098</v>
      </c>
      <c r="AA106" s="21" t="s">
        <v>167</v>
      </c>
      <c r="AB106" s="21" t="s">
        <v>1120</v>
      </c>
    </row>
    <row r="107" spans="1:28" ht="13.9" customHeight="1" x14ac:dyDescent="0.3">
      <c r="A107" s="36" t="s">
        <v>20</v>
      </c>
      <c r="B107" s="36" t="s">
        <v>21</v>
      </c>
      <c r="C107" s="36" t="s">
        <v>22</v>
      </c>
      <c r="D107" s="36" t="s">
        <v>23</v>
      </c>
      <c r="E107" s="36" t="s">
        <v>193</v>
      </c>
      <c r="F107" s="31" t="s">
        <v>191</v>
      </c>
      <c r="G107" s="36" t="s">
        <v>26</v>
      </c>
      <c r="H107" s="36" t="s">
        <v>27</v>
      </c>
      <c r="I107" s="36">
        <v>3</v>
      </c>
      <c r="J107" s="36"/>
      <c r="K107" s="36"/>
      <c r="L107" s="38">
        <v>106.56874999999999</v>
      </c>
      <c r="M107" s="38">
        <v>10.343859999999999</v>
      </c>
      <c r="N107" s="38" t="s">
        <v>128</v>
      </c>
      <c r="O107" s="39" t="s">
        <v>29</v>
      </c>
      <c r="P107" s="36" t="s">
        <v>30</v>
      </c>
      <c r="Q107" s="30" t="s">
        <v>31</v>
      </c>
      <c r="R107" s="40" t="s">
        <v>32</v>
      </c>
      <c r="S107" s="35">
        <v>48041</v>
      </c>
      <c r="T107" s="36" t="s">
        <v>167</v>
      </c>
      <c r="U107" s="30" t="s">
        <v>167</v>
      </c>
      <c r="V107" s="37" t="e">
        <v>#N/A</v>
      </c>
      <c r="W107" s="31" t="s">
        <v>63</v>
      </c>
      <c r="X107" s="37" t="s">
        <v>52</v>
      </c>
      <c r="Y107" s="37">
        <f>COUNTIF(F:F,F107)</f>
        <v>3</v>
      </c>
      <c r="Z107" s="21" t="s">
        <v>1098</v>
      </c>
      <c r="AA107" s="21" t="s">
        <v>167</v>
      </c>
      <c r="AB107" s="21" t="s">
        <v>1120</v>
      </c>
    </row>
    <row r="108" spans="1:28" ht="13.9" customHeight="1" x14ac:dyDescent="0.3">
      <c r="A108" s="30" t="s">
        <v>20</v>
      </c>
      <c r="B108" s="30" t="s">
        <v>21</v>
      </c>
      <c r="C108" s="30" t="s">
        <v>22</v>
      </c>
      <c r="D108" s="30" t="s">
        <v>23</v>
      </c>
      <c r="E108" s="30" t="s">
        <v>180</v>
      </c>
      <c r="F108" s="31" t="s">
        <v>180</v>
      </c>
      <c r="G108" s="30" t="s">
        <v>26</v>
      </c>
      <c r="H108" s="30" t="s">
        <v>27</v>
      </c>
      <c r="I108" s="30">
        <v>3</v>
      </c>
      <c r="J108" s="30"/>
      <c r="K108" s="30"/>
      <c r="L108" s="32">
        <v>106.64394</v>
      </c>
      <c r="M108" s="32">
        <v>10.34174</v>
      </c>
      <c r="N108" s="32" t="s">
        <v>128</v>
      </c>
      <c r="O108" s="33" t="s">
        <v>29</v>
      </c>
      <c r="P108" s="30" t="s">
        <v>30</v>
      </c>
      <c r="Q108" s="30" t="s">
        <v>31</v>
      </c>
      <c r="R108" s="34" t="s">
        <v>32</v>
      </c>
      <c r="S108" s="35">
        <v>48041</v>
      </c>
      <c r="T108" s="36" t="s">
        <v>167</v>
      </c>
      <c r="U108" s="30" t="s">
        <v>167</v>
      </c>
      <c r="V108" s="37" t="e">
        <v>#N/A</v>
      </c>
      <c r="W108" s="31" t="s">
        <v>33</v>
      </c>
      <c r="X108" s="37"/>
      <c r="Y108" s="37">
        <f>COUNTIF(F:F,F108)</f>
        <v>1</v>
      </c>
      <c r="Z108" s="21" t="s">
        <v>1098</v>
      </c>
      <c r="AA108" s="21" t="s">
        <v>167</v>
      </c>
      <c r="AB108" s="21" t="s">
        <v>1120</v>
      </c>
    </row>
    <row r="109" spans="1:28" s="78" customFormat="1" ht="13.9" customHeight="1" x14ac:dyDescent="0.3">
      <c r="A109" s="30" t="s">
        <v>20</v>
      </c>
      <c r="B109" s="30" t="s">
        <v>21</v>
      </c>
      <c r="C109" s="30" t="s">
        <v>22</v>
      </c>
      <c r="D109" s="30" t="s">
        <v>23</v>
      </c>
      <c r="E109" s="30" t="s">
        <v>194</v>
      </c>
      <c r="F109" s="31" t="s">
        <v>194</v>
      </c>
      <c r="G109" s="30" t="s">
        <v>26</v>
      </c>
      <c r="H109" s="30" t="s">
        <v>27</v>
      </c>
      <c r="I109" s="30">
        <v>3</v>
      </c>
      <c r="J109" s="30"/>
      <c r="K109" s="30"/>
      <c r="L109" s="32">
        <v>106.62069</v>
      </c>
      <c r="M109" s="32">
        <v>10.33789</v>
      </c>
      <c r="N109" s="32" t="s">
        <v>128</v>
      </c>
      <c r="O109" s="33" t="s">
        <v>29</v>
      </c>
      <c r="P109" s="30" t="s">
        <v>30</v>
      </c>
      <c r="Q109" s="30" t="s">
        <v>31</v>
      </c>
      <c r="R109" s="34" t="s">
        <v>32</v>
      </c>
      <c r="S109" s="35">
        <v>48041</v>
      </c>
      <c r="T109" s="36" t="s">
        <v>167</v>
      </c>
      <c r="U109" s="30" t="s">
        <v>167</v>
      </c>
      <c r="V109" s="37" t="e">
        <v>#N/A</v>
      </c>
      <c r="W109" s="31" t="s">
        <v>33</v>
      </c>
      <c r="X109" s="37" t="s">
        <v>42</v>
      </c>
      <c r="Y109" s="37">
        <f>COUNTIF(F:F,F109)</f>
        <v>2</v>
      </c>
      <c r="Z109" s="21" t="s">
        <v>1098</v>
      </c>
      <c r="AA109" s="21" t="s">
        <v>167</v>
      </c>
      <c r="AB109" s="21" t="s">
        <v>1120</v>
      </c>
    </row>
    <row r="110" spans="1:28" ht="13.9" customHeight="1" x14ac:dyDescent="0.3">
      <c r="A110" s="36" t="s">
        <v>20</v>
      </c>
      <c r="B110" s="36" t="s">
        <v>21</v>
      </c>
      <c r="C110" s="36" t="s">
        <v>22</v>
      </c>
      <c r="D110" s="36" t="s">
        <v>23</v>
      </c>
      <c r="E110" s="36" t="s">
        <v>195</v>
      </c>
      <c r="F110" s="31" t="s">
        <v>194</v>
      </c>
      <c r="G110" s="36" t="s">
        <v>26</v>
      </c>
      <c r="H110" s="36" t="s">
        <v>27</v>
      </c>
      <c r="I110" s="36">
        <v>3</v>
      </c>
      <c r="J110" s="36"/>
      <c r="K110" s="36"/>
      <c r="L110" s="38">
        <v>106.59734</v>
      </c>
      <c r="M110" s="38">
        <v>10.343389999999999</v>
      </c>
      <c r="N110" s="38" t="s">
        <v>128</v>
      </c>
      <c r="O110" s="39" t="s">
        <v>29</v>
      </c>
      <c r="P110" s="36" t="s">
        <v>30</v>
      </c>
      <c r="Q110" s="30" t="s">
        <v>31</v>
      </c>
      <c r="R110" s="40" t="s">
        <v>32</v>
      </c>
      <c r="S110" s="35">
        <v>48041</v>
      </c>
      <c r="T110" s="36" t="s">
        <v>167</v>
      </c>
      <c r="U110" s="30" t="s">
        <v>167</v>
      </c>
      <c r="V110" s="37" t="e">
        <v>#N/A</v>
      </c>
      <c r="W110" s="31" t="s">
        <v>63</v>
      </c>
      <c r="X110" s="37" t="s">
        <v>52</v>
      </c>
      <c r="Y110" s="37">
        <f>COUNTIF(F:F,F110)</f>
        <v>2</v>
      </c>
      <c r="Z110" s="21" t="s">
        <v>1098</v>
      </c>
      <c r="AA110" s="21" t="s">
        <v>167</v>
      </c>
      <c r="AB110" s="21" t="s">
        <v>1120</v>
      </c>
    </row>
    <row r="111" spans="1:28" ht="13.9" customHeight="1" x14ac:dyDescent="0.3">
      <c r="A111" s="30" t="s">
        <v>20</v>
      </c>
      <c r="B111" s="30" t="s">
        <v>21</v>
      </c>
      <c r="C111" s="30" t="s">
        <v>22</v>
      </c>
      <c r="D111" s="30" t="s">
        <v>23</v>
      </c>
      <c r="E111" s="30" t="s">
        <v>181</v>
      </c>
      <c r="F111" s="31" t="s">
        <v>181</v>
      </c>
      <c r="G111" s="30" t="s">
        <v>26</v>
      </c>
      <c r="H111" s="30" t="s">
        <v>27</v>
      </c>
      <c r="I111" s="30">
        <v>3</v>
      </c>
      <c r="J111" s="30"/>
      <c r="K111" s="30"/>
      <c r="L111" s="32">
        <v>106.65337</v>
      </c>
      <c r="M111" s="32">
        <v>10.29161</v>
      </c>
      <c r="N111" s="32" t="s">
        <v>128</v>
      </c>
      <c r="O111" s="33" t="s">
        <v>29</v>
      </c>
      <c r="P111" s="30" t="s">
        <v>30</v>
      </c>
      <c r="Q111" s="30" t="s">
        <v>31</v>
      </c>
      <c r="R111" s="34" t="s">
        <v>32</v>
      </c>
      <c r="S111" s="35">
        <v>48041</v>
      </c>
      <c r="T111" s="36" t="s">
        <v>167</v>
      </c>
      <c r="U111" s="30" t="s">
        <v>167</v>
      </c>
      <c r="V111" s="37" t="e">
        <v>#N/A</v>
      </c>
      <c r="W111" s="31" t="s">
        <v>33</v>
      </c>
      <c r="X111" s="37"/>
      <c r="Y111" s="37">
        <f>COUNTIF(F:F,F111)</f>
        <v>1</v>
      </c>
      <c r="Z111" s="21" t="s">
        <v>1098</v>
      </c>
      <c r="AA111" s="21" t="s">
        <v>167</v>
      </c>
      <c r="AB111" s="21" t="s">
        <v>1120</v>
      </c>
    </row>
    <row r="112" spans="1:28" ht="13.9" customHeight="1" x14ac:dyDescent="0.3">
      <c r="A112" s="30" t="s">
        <v>20</v>
      </c>
      <c r="B112" s="30" t="s">
        <v>21</v>
      </c>
      <c r="C112" s="30" t="s">
        <v>22</v>
      </c>
      <c r="D112" s="30" t="s">
        <v>23</v>
      </c>
      <c r="E112" s="30" t="s">
        <v>182</v>
      </c>
      <c r="F112" s="31" t="s">
        <v>182</v>
      </c>
      <c r="G112" s="30" t="s">
        <v>26</v>
      </c>
      <c r="H112" s="30" t="s">
        <v>27</v>
      </c>
      <c r="I112" s="30">
        <v>3</v>
      </c>
      <c r="J112" s="30"/>
      <c r="K112" s="30"/>
      <c r="L112" s="32">
        <v>106.6335729</v>
      </c>
      <c r="M112" s="32">
        <v>10.318162299999999</v>
      </c>
      <c r="N112" s="32" t="s">
        <v>128</v>
      </c>
      <c r="O112" s="33" t="s">
        <v>29</v>
      </c>
      <c r="P112" s="30" t="s">
        <v>30</v>
      </c>
      <c r="Q112" s="30" t="s">
        <v>31</v>
      </c>
      <c r="R112" s="34" t="s">
        <v>32</v>
      </c>
      <c r="S112" s="35">
        <v>48041</v>
      </c>
      <c r="T112" s="36" t="s">
        <v>167</v>
      </c>
      <c r="U112" s="30" t="s">
        <v>167</v>
      </c>
      <c r="V112" s="37" t="e">
        <v>#N/A</v>
      </c>
      <c r="W112" s="31" t="s">
        <v>33</v>
      </c>
      <c r="X112" s="37"/>
      <c r="Y112" s="37">
        <f>COUNTIF(F:F,F112)</f>
        <v>1</v>
      </c>
      <c r="Z112" s="21" t="s">
        <v>1098</v>
      </c>
      <c r="AA112" s="21" t="s">
        <v>167</v>
      </c>
      <c r="AB112" s="21" t="s">
        <v>1120</v>
      </c>
    </row>
    <row r="113" spans="1:28" ht="13.9" customHeight="1" x14ac:dyDescent="0.3">
      <c r="A113" s="30" t="s">
        <v>20</v>
      </c>
      <c r="B113" s="30" t="s">
        <v>21</v>
      </c>
      <c r="C113" s="30" t="s">
        <v>22</v>
      </c>
      <c r="D113" s="30" t="s">
        <v>23</v>
      </c>
      <c r="E113" s="30" t="s">
        <v>224</v>
      </c>
      <c r="F113" s="31" t="s">
        <v>196</v>
      </c>
      <c r="G113" s="30" t="s">
        <v>26</v>
      </c>
      <c r="H113" s="30" t="s">
        <v>27</v>
      </c>
      <c r="I113" s="30">
        <v>3</v>
      </c>
      <c r="J113" s="30"/>
      <c r="K113" s="30"/>
      <c r="L113" s="32">
        <v>106.55119999999999</v>
      </c>
      <c r="M113" s="32">
        <v>10.317500000000001</v>
      </c>
      <c r="N113" s="32" t="s">
        <v>79</v>
      </c>
      <c r="O113" s="33" t="s">
        <v>29</v>
      </c>
      <c r="P113" s="30" t="s">
        <v>30</v>
      </c>
      <c r="Q113" s="30" t="s">
        <v>31</v>
      </c>
      <c r="R113" s="34" t="s">
        <v>32</v>
      </c>
      <c r="S113" s="35">
        <v>48020</v>
      </c>
      <c r="T113" s="36" t="s">
        <v>198</v>
      </c>
      <c r="U113" s="30" t="s">
        <v>167</v>
      </c>
      <c r="V113" s="37" t="e">
        <v>#N/A</v>
      </c>
      <c r="W113" s="31" t="s">
        <v>63</v>
      </c>
      <c r="X113" s="37" t="s">
        <v>52</v>
      </c>
      <c r="Y113" s="37">
        <f>COUNTIF(F:F,F113)</f>
        <v>3</v>
      </c>
      <c r="Z113" s="21" t="s">
        <v>1098</v>
      </c>
      <c r="AA113" s="21" t="s">
        <v>167</v>
      </c>
      <c r="AB113" s="21" t="s">
        <v>1120</v>
      </c>
    </row>
    <row r="114" spans="1:28" ht="13.9" customHeight="1" x14ac:dyDescent="0.3">
      <c r="A114" s="30" t="s">
        <v>20</v>
      </c>
      <c r="B114" s="30" t="s">
        <v>21</v>
      </c>
      <c r="C114" s="30" t="s">
        <v>22</v>
      </c>
      <c r="D114" s="30" t="s">
        <v>23</v>
      </c>
      <c r="E114" s="30" t="s">
        <v>613</v>
      </c>
      <c r="F114" s="31" t="s">
        <v>196</v>
      </c>
      <c r="G114" s="30" t="s">
        <v>26</v>
      </c>
      <c r="H114" s="30" t="s">
        <v>27</v>
      </c>
      <c r="I114" s="30">
        <v>3</v>
      </c>
      <c r="J114" s="30"/>
      <c r="K114" s="30"/>
      <c r="L114" s="32">
        <v>106.57035999999999</v>
      </c>
      <c r="M114" s="32">
        <v>10.29616</v>
      </c>
      <c r="N114" s="32" t="s">
        <v>128</v>
      </c>
      <c r="O114" s="33" t="s">
        <v>29</v>
      </c>
      <c r="P114" s="30" t="s">
        <v>30</v>
      </c>
      <c r="Q114" s="30" t="s">
        <v>31</v>
      </c>
      <c r="R114" s="34" t="s">
        <v>32</v>
      </c>
      <c r="S114" s="35">
        <v>48041</v>
      </c>
      <c r="T114" s="36" t="s">
        <v>167</v>
      </c>
      <c r="U114" s="30" t="s">
        <v>167</v>
      </c>
      <c r="V114" s="37" t="s">
        <v>49</v>
      </c>
      <c r="W114" s="31" t="s">
        <v>50</v>
      </c>
      <c r="X114" s="37" t="s">
        <v>52</v>
      </c>
      <c r="Y114" s="37">
        <f>COUNTIF(F:F,F114)</f>
        <v>3</v>
      </c>
      <c r="Z114" s="21" t="s">
        <v>1098</v>
      </c>
      <c r="AA114" s="21" t="s">
        <v>167</v>
      </c>
      <c r="AB114" s="21" t="s">
        <v>1120</v>
      </c>
    </row>
    <row r="115" spans="1:28" ht="13.9" customHeight="1" x14ac:dyDescent="0.3">
      <c r="A115" s="30" t="s">
        <v>20</v>
      </c>
      <c r="B115" s="30" t="s">
        <v>21</v>
      </c>
      <c r="C115" s="30" t="s">
        <v>22</v>
      </c>
      <c r="D115" s="30" t="s">
        <v>23</v>
      </c>
      <c r="E115" s="30" t="s">
        <v>196</v>
      </c>
      <c r="F115" s="31" t="s">
        <v>196</v>
      </c>
      <c r="G115" s="30" t="s">
        <v>26</v>
      </c>
      <c r="H115" s="30" t="s">
        <v>27</v>
      </c>
      <c r="I115" s="30">
        <v>3</v>
      </c>
      <c r="J115" s="30"/>
      <c r="K115" s="30"/>
      <c r="L115" s="32">
        <v>106.5504632</v>
      </c>
      <c r="M115" s="32">
        <v>10.3006606</v>
      </c>
      <c r="N115" s="32" t="s">
        <v>128</v>
      </c>
      <c r="O115" s="33" t="s">
        <v>29</v>
      </c>
      <c r="P115" s="30" t="s">
        <v>30</v>
      </c>
      <c r="Q115" s="30" t="s">
        <v>31</v>
      </c>
      <c r="R115" s="34" t="s">
        <v>32</v>
      </c>
      <c r="S115" s="35">
        <v>48041</v>
      </c>
      <c r="T115" s="36" t="s">
        <v>167</v>
      </c>
      <c r="U115" s="30" t="s">
        <v>167</v>
      </c>
      <c r="V115" s="37" t="e">
        <v>#N/A</v>
      </c>
      <c r="W115" s="31" t="s">
        <v>33</v>
      </c>
      <c r="X115" s="37" t="s">
        <v>42</v>
      </c>
      <c r="Y115" s="37">
        <f>COUNTIF(F:F,F115)</f>
        <v>3</v>
      </c>
      <c r="Z115" s="21" t="s">
        <v>1098</v>
      </c>
      <c r="AA115" s="21" t="s">
        <v>167</v>
      </c>
      <c r="AB115" s="21" t="s">
        <v>1120</v>
      </c>
    </row>
    <row r="116" spans="1:28" ht="13.9" customHeight="1" x14ac:dyDescent="0.3">
      <c r="A116" s="30" t="s">
        <v>20</v>
      </c>
      <c r="B116" s="30" t="s">
        <v>21</v>
      </c>
      <c r="C116" s="30" t="s">
        <v>22</v>
      </c>
      <c r="D116" s="30" t="s">
        <v>23</v>
      </c>
      <c r="E116" s="30" t="s">
        <v>183</v>
      </c>
      <c r="F116" s="31" t="s">
        <v>184</v>
      </c>
      <c r="G116" s="30" t="s">
        <v>26</v>
      </c>
      <c r="H116" s="30" t="s">
        <v>27</v>
      </c>
      <c r="I116" s="30">
        <v>3</v>
      </c>
      <c r="J116" s="30"/>
      <c r="K116" s="30"/>
      <c r="L116" s="32">
        <v>106.67794000000001</v>
      </c>
      <c r="M116" s="32">
        <v>10.335610000000001</v>
      </c>
      <c r="N116" s="32" t="s">
        <v>128</v>
      </c>
      <c r="O116" s="33" t="s">
        <v>29</v>
      </c>
      <c r="P116" s="30" t="s">
        <v>30</v>
      </c>
      <c r="Q116" s="30" t="s">
        <v>31</v>
      </c>
      <c r="R116" s="34" t="s">
        <v>32</v>
      </c>
      <c r="S116" s="35">
        <v>48041</v>
      </c>
      <c r="T116" s="36" t="s">
        <v>185</v>
      </c>
      <c r="U116" s="30" t="s">
        <v>167</v>
      </c>
      <c r="V116" s="37" t="e">
        <v>#N/A</v>
      </c>
      <c r="W116" s="31" t="s">
        <v>33</v>
      </c>
      <c r="X116" s="37"/>
      <c r="Y116" s="37">
        <f>COUNTIF(F:F,F116)</f>
        <v>1</v>
      </c>
      <c r="Z116" s="21" t="s">
        <v>1098</v>
      </c>
      <c r="AA116" s="21" t="s">
        <v>167</v>
      </c>
      <c r="AB116" s="21" t="s">
        <v>1120</v>
      </c>
    </row>
    <row r="117" spans="1:28" ht="13.9" customHeight="1" x14ac:dyDescent="0.3">
      <c r="A117" s="30" t="s">
        <v>20</v>
      </c>
      <c r="B117" s="30" t="s">
        <v>21</v>
      </c>
      <c r="C117" s="30" t="s">
        <v>22</v>
      </c>
      <c r="D117" s="30" t="s">
        <v>23</v>
      </c>
      <c r="E117" s="30" t="s">
        <v>186</v>
      </c>
      <c r="F117" s="31" t="s">
        <v>186</v>
      </c>
      <c r="G117" s="30" t="s">
        <v>26</v>
      </c>
      <c r="H117" s="30" t="s">
        <v>27</v>
      </c>
      <c r="I117" s="30">
        <v>3</v>
      </c>
      <c r="J117" s="30"/>
      <c r="K117" s="30"/>
      <c r="L117" s="32">
        <v>106.5947</v>
      </c>
      <c r="M117" s="32">
        <v>10.29162</v>
      </c>
      <c r="N117" s="32" t="s">
        <v>128</v>
      </c>
      <c r="O117" s="33" t="s">
        <v>29</v>
      </c>
      <c r="P117" s="30" t="s">
        <v>30</v>
      </c>
      <c r="Q117" s="30" t="s">
        <v>31</v>
      </c>
      <c r="R117" s="34" t="s">
        <v>32</v>
      </c>
      <c r="S117" s="35">
        <v>48041</v>
      </c>
      <c r="T117" s="36" t="s">
        <v>167</v>
      </c>
      <c r="U117" s="30" t="s">
        <v>167</v>
      </c>
      <c r="V117" s="37" t="e">
        <v>#N/A</v>
      </c>
      <c r="W117" s="31" t="s">
        <v>33</v>
      </c>
      <c r="X117" s="37"/>
      <c r="Y117" s="37">
        <f>COUNTIF(F:F,F117)</f>
        <v>1</v>
      </c>
      <c r="Z117" s="21" t="s">
        <v>1098</v>
      </c>
      <c r="AA117" s="21" t="s">
        <v>167</v>
      </c>
      <c r="AB117" s="21" t="s">
        <v>1120</v>
      </c>
    </row>
    <row r="118" spans="1:28" ht="13.9" customHeight="1" x14ac:dyDescent="0.3">
      <c r="A118" s="30" t="s">
        <v>20</v>
      </c>
      <c r="B118" s="30" t="s">
        <v>21</v>
      </c>
      <c r="C118" s="30" t="s">
        <v>22</v>
      </c>
      <c r="D118" s="30" t="s">
        <v>23</v>
      </c>
      <c r="E118" s="30" t="s">
        <v>187</v>
      </c>
      <c r="F118" s="31" t="s">
        <v>187</v>
      </c>
      <c r="G118" s="30" t="s">
        <v>26</v>
      </c>
      <c r="H118" s="30" t="s">
        <v>27</v>
      </c>
      <c r="I118" s="30">
        <v>3</v>
      </c>
      <c r="J118" s="30"/>
      <c r="K118" s="30"/>
      <c r="L118" s="32">
        <v>106.67068999999999</v>
      </c>
      <c r="M118" s="32">
        <v>10.31526</v>
      </c>
      <c r="N118" s="32" t="s">
        <v>128</v>
      </c>
      <c r="O118" s="33" t="s">
        <v>29</v>
      </c>
      <c r="P118" s="30" t="s">
        <v>30</v>
      </c>
      <c r="Q118" s="30" t="s">
        <v>31</v>
      </c>
      <c r="R118" s="34" t="s">
        <v>32</v>
      </c>
      <c r="S118" s="35">
        <v>48041</v>
      </c>
      <c r="T118" s="36" t="s">
        <v>167</v>
      </c>
      <c r="U118" s="30" t="s">
        <v>167</v>
      </c>
      <c r="V118" s="37" t="e">
        <v>#N/A</v>
      </c>
      <c r="W118" s="31" t="s">
        <v>33</v>
      </c>
      <c r="X118" s="37"/>
      <c r="Y118" s="37">
        <f>COUNTIF(F:F,F118)</f>
        <v>1</v>
      </c>
      <c r="Z118" s="21" t="s">
        <v>1098</v>
      </c>
      <c r="AA118" s="21" t="s">
        <v>167</v>
      </c>
      <c r="AB118" s="21" t="s">
        <v>1120</v>
      </c>
    </row>
    <row r="119" spans="1:28" ht="13.9" customHeight="1" x14ac:dyDescent="0.3">
      <c r="A119" s="30" t="s">
        <v>20</v>
      </c>
      <c r="B119" s="30" t="s">
        <v>21</v>
      </c>
      <c r="C119" s="30" t="s">
        <v>22</v>
      </c>
      <c r="D119" s="30" t="s">
        <v>23</v>
      </c>
      <c r="E119" s="30" t="s">
        <v>188</v>
      </c>
      <c r="F119" s="31" t="s">
        <v>188</v>
      </c>
      <c r="G119" s="30" t="s">
        <v>26</v>
      </c>
      <c r="H119" s="30" t="s">
        <v>27</v>
      </c>
      <c r="I119" s="30">
        <v>3</v>
      </c>
      <c r="J119" s="30"/>
      <c r="K119" s="30"/>
      <c r="L119" s="32">
        <v>106.61</v>
      </c>
      <c r="M119" s="32">
        <v>10.292199999999999</v>
      </c>
      <c r="N119" s="32" t="s">
        <v>128</v>
      </c>
      <c r="O119" s="33" t="s">
        <v>29</v>
      </c>
      <c r="P119" s="30" t="s">
        <v>30</v>
      </c>
      <c r="Q119" s="30" t="s">
        <v>31</v>
      </c>
      <c r="R119" s="34" t="s">
        <v>32</v>
      </c>
      <c r="S119" s="35">
        <v>48041</v>
      </c>
      <c r="T119" s="36" t="s">
        <v>167</v>
      </c>
      <c r="U119" s="30" t="s">
        <v>167</v>
      </c>
      <c r="V119" s="37" t="e">
        <v>#N/A</v>
      </c>
      <c r="W119" s="31" t="s">
        <v>33</v>
      </c>
      <c r="X119" s="37"/>
      <c r="Y119" s="37">
        <f>COUNTIF(F:F,F119)</f>
        <v>1</v>
      </c>
      <c r="Z119" s="21" t="s">
        <v>1098</v>
      </c>
      <c r="AA119" s="21" t="s">
        <v>167</v>
      </c>
      <c r="AB119" s="21" t="s">
        <v>1120</v>
      </c>
    </row>
    <row r="120" spans="1:28" ht="13.9" customHeight="1" x14ac:dyDescent="0.3">
      <c r="A120" s="30" t="s">
        <v>20</v>
      </c>
      <c r="B120" s="30" t="s">
        <v>21</v>
      </c>
      <c r="C120" s="30" t="s">
        <v>22</v>
      </c>
      <c r="D120" s="30" t="s">
        <v>23</v>
      </c>
      <c r="E120" s="30" t="s">
        <v>197</v>
      </c>
      <c r="F120" s="31" t="s">
        <v>197</v>
      </c>
      <c r="G120" s="30" t="s">
        <v>26</v>
      </c>
      <c r="H120" s="30" t="s">
        <v>36</v>
      </c>
      <c r="I120" s="30">
        <v>4</v>
      </c>
      <c r="J120" s="30" t="s">
        <v>37</v>
      </c>
      <c r="K120" s="30" t="s">
        <v>38</v>
      </c>
      <c r="L120" s="32">
        <v>106.4614</v>
      </c>
      <c r="M120" s="32">
        <v>10.353719999999999</v>
      </c>
      <c r="N120" s="32" t="s">
        <v>79</v>
      </c>
      <c r="O120" s="33" t="s">
        <v>29</v>
      </c>
      <c r="P120" s="30" t="s">
        <v>39</v>
      </c>
      <c r="Q120" s="30" t="s">
        <v>31</v>
      </c>
      <c r="R120" s="34" t="s">
        <v>32</v>
      </c>
      <c r="S120" s="35">
        <v>48020</v>
      </c>
      <c r="T120" s="36" t="s">
        <v>198</v>
      </c>
      <c r="U120" s="30" t="s">
        <v>198</v>
      </c>
      <c r="V120" s="37" t="e">
        <v>#N/A</v>
      </c>
      <c r="W120" s="31" t="s">
        <v>33</v>
      </c>
      <c r="X120" s="37"/>
      <c r="Y120" s="37">
        <f>COUNTIF(F:F,F120)</f>
        <v>1</v>
      </c>
      <c r="Z120" s="21" t="s">
        <v>1099</v>
      </c>
      <c r="AA120" s="21" t="s">
        <v>198</v>
      </c>
      <c r="AB120" s="21" t="s">
        <v>1120</v>
      </c>
    </row>
    <row r="121" spans="1:28" ht="13.9" customHeight="1" x14ac:dyDescent="0.3">
      <c r="A121" s="30" t="s">
        <v>20</v>
      </c>
      <c r="B121" s="30" t="s">
        <v>21</v>
      </c>
      <c r="C121" s="30" t="s">
        <v>22</v>
      </c>
      <c r="D121" s="30" t="s">
        <v>23</v>
      </c>
      <c r="E121" s="30" t="s">
        <v>199</v>
      </c>
      <c r="F121" s="31" t="s">
        <v>199</v>
      </c>
      <c r="G121" s="30" t="s">
        <v>26</v>
      </c>
      <c r="H121" s="30" t="s">
        <v>27</v>
      </c>
      <c r="I121" s="30">
        <v>3</v>
      </c>
      <c r="J121" s="30" t="s">
        <v>37</v>
      </c>
      <c r="K121" s="30" t="s">
        <v>38</v>
      </c>
      <c r="L121" s="32">
        <v>106.53541</v>
      </c>
      <c r="M121" s="32">
        <v>10.329190000000001</v>
      </c>
      <c r="N121" s="32" t="s">
        <v>79</v>
      </c>
      <c r="O121" s="33" t="s">
        <v>29</v>
      </c>
      <c r="P121" s="30" t="s">
        <v>41</v>
      </c>
      <c r="Q121" s="30" t="s">
        <v>31</v>
      </c>
      <c r="R121" s="34" t="s">
        <v>32</v>
      </c>
      <c r="S121" s="35">
        <v>48020</v>
      </c>
      <c r="T121" s="36" t="s">
        <v>198</v>
      </c>
      <c r="U121" s="30" t="s">
        <v>198</v>
      </c>
      <c r="V121" s="37" t="e">
        <v>#N/A</v>
      </c>
      <c r="W121" s="31" t="s">
        <v>33</v>
      </c>
      <c r="X121" s="37"/>
      <c r="Y121" s="37">
        <f>COUNTIF(F:F,F121)</f>
        <v>1</v>
      </c>
      <c r="Z121" s="21" t="s">
        <v>1099</v>
      </c>
      <c r="AA121" s="21" t="s">
        <v>198</v>
      </c>
      <c r="AB121" s="21" t="s">
        <v>1120</v>
      </c>
    </row>
    <row r="122" spans="1:28" ht="13.9" customHeight="1" x14ac:dyDescent="0.3">
      <c r="A122" s="30" t="s">
        <v>20</v>
      </c>
      <c r="B122" s="30" t="s">
        <v>21</v>
      </c>
      <c r="C122" s="30" t="s">
        <v>22</v>
      </c>
      <c r="D122" s="30" t="s">
        <v>23</v>
      </c>
      <c r="E122" s="30" t="s">
        <v>200</v>
      </c>
      <c r="F122" s="31" t="s">
        <v>200</v>
      </c>
      <c r="G122" s="30" t="s">
        <v>26</v>
      </c>
      <c r="H122" s="30" t="s">
        <v>27</v>
      </c>
      <c r="I122" s="30">
        <v>3</v>
      </c>
      <c r="J122" s="30"/>
      <c r="K122" s="30"/>
      <c r="L122" s="32">
        <v>106.50693</v>
      </c>
      <c r="M122" s="32">
        <v>10.32258</v>
      </c>
      <c r="N122" s="32" t="s">
        <v>79</v>
      </c>
      <c r="O122" s="33" t="s">
        <v>29</v>
      </c>
      <c r="P122" s="30" t="s">
        <v>30</v>
      </c>
      <c r="Q122" s="30" t="s">
        <v>31</v>
      </c>
      <c r="R122" s="34" t="s">
        <v>32</v>
      </c>
      <c r="S122" s="35">
        <v>48020</v>
      </c>
      <c r="T122" s="36" t="s">
        <v>198</v>
      </c>
      <c r="U122" s="30" t="s">
        <v>198</v>
      </c>
      <c r="V122" s="37" t="e">
        <v>#N/A</v>
      </c>
      <c r="W122" s="31" t="s">
        <v>33</v>
      </c>
      <c r="X122" s="37"/>
      <c r="Y122" s="37">
        <f>COUNTIF(F:F,F122)</f>
        <v>1</v>
      </c>
      <c r="Z122" s="21" t="s">
        <v>1099</v>
      </c>
      <c r="AA122" s="21" t="s">
        <v>198</v>
      </c>
      <c r="AB122" s="21" t="s">
        <v>1120</v>
      </c>
    </row>
    <row r="123" spans="1:28" ht="13.9" customHeight="1" x14ac:dyDescent="0.3">
      <c r="A123" s="30" t="s">
        <v>20</v>
      </c>
      <c r="B123" s="30" t="s">
        <v>21</v>
      </c>
      <c r="C123" s="30" t="s">
        <v>22</v>
      </c>
      <c r="D123" s="30" t="s">
        <v>23</v>
      </c>
      <c r="E123" s="30" t="s">
        <v>220</v>
      </c>
      <c r="F123" s="31" t="s">
        <v>221</v>
      </c>
      <c r="G123" s="30" t="s">
        <v>26</v>
      </c>
      <c r="H123" s="30" t="s">
        <v>27</v>
      </c>
      <c r="I123" s="30">
        <v>3</v>
      </c>
      <c r="J123" s="30"/>
      <c r="K123" s="30"/>
      <c r="L123" s="32">
        <v>106.46590999999999</v>
      </c>
      <c r="M123" s="32">
        <v>10.33013</v>
      </c>
      <c r="N123" s="32" t="s">
        <v>79</v>
      </c>
      <c r="O123" s="33" t="s">
        <v>29</v>
      </c>
      <c r="P123" s="30" t="s">
        <v>60</v>
      </c>
      <c r="Q123" s="30" t="s">
        <v>31</v>
      </c>
      <c r="R123" s="34" t="s">
        <v>32</v>
      </c>
      <c r="S123" s="35">
        <v>48020</v>
      </c>
      <c r="T123" s="36" t="s">
        <v>198</v>
      </c>
      <c r="U123" s="30" t="s">
        <v>198</v>
      </c>
      <c r="V123" s="37" t="e">
        <v>#N/A</v>
      </c>
      <c r="W123" s="31" t="s">
        <v>33</v>
      </c>
      <c r="X123" s="37"/>
      <c r="Y123" s="37">
        <f>COUNTIF(F:F,F123)</f>
        <v>1</v>
      </c>
      <c r="Z123" s="21" t="s">
        <v>1099</v>
      </c>
      <c r="AA123" s="21" t="s">
        <v>198</v>
      </c>
      <c r="AB123" s="21" t="s">
        <v>1120</v>
      </c>
    </row>
    <row r="124" spans="1:28" ht="13.9" customHeight="1" x14ac:dyDescent="0.3">
      <c r="A124" s="30" t="s">
        <v>20</v>
      </c>
      <c r="B124" s="30" t="s">
        <v>21</v>
      </c>
      <c r="C124" s="30" t="s">
        <v>22</v>
      </c>
      <c r="D124" s="30" t="s">
        <v>23</v>
      </c>
      <c r="E124" s="30" t="s">
        <v>201</v>
      </c>
      <c r="F124" s="31" t="s">
        <v>202</v>
      </c>
      <c r="G124" s="30" t="s">
        <v>26</v>
      </c>
      <c r="H124" s="30" t="s">
        <v>36</v>
      </c>
      <c r="I124" s="30">
        <v>4</v>
      </c>
      <c r="J124" s="30" t="s">
        <v>37</v>
      </c>
      <c r="K124" s="30" t="s">
        <v>38</v>
      </c>
      <c r="L124" s="32">
        <v>106.42202</v>
      </c>
      <c r="M124" s="32">
        <v>10.350519999999999</v>
      </c>
      <c r="N124" s="32" t="s">
        <v>79</v>
      </c>
      <c r="O124" s="33" t="s">
        <v>29</v>
      </c>
      <c r="P124" s="30" t="s">
        <v>39</v>
      </c>
      <c r="Q124" s="30" t="s">
        <v>31</v>
      </c>
      <c r="R124" s="34" t="s">
        <v>32</v>
      </c>
      <c r="S124" s="35">
        <v>48020</v>
      </c>
      <c r="T124" s="36" t="s">
        <v>203</v>
      </c>
      <c r="U124" s="30" t="s">
        <v>198</v>
      </c>
      <c r="V124" s="37" t="e">
        <v>#N/A</v>
      </c>
      <c r="W124" s="31" t="s">
        <v>33</v>
      </c>
      <c r="X124" s="37"/>
      <c r="Y124" s="37">
        <f>COUNTIF(F:F,F124)</f>
        <v>1</v>
      </c>
      <c r="Z124" s="21" t="s">
        <v>1099</v>
      </c>
      <c r="AA124" s="21" t="s">
        <v>198</v>
      </c>
      <c r="AB124" s="21" t="s">
        <v>1120</v>
      </c>
    </row>
    <row r="125" spans="1:28" ht="13.9" customHeight="1" x14ac:dyDescent="0.3">
      <c r="A125" s="36" t="s">
        <v>20</v>
      </c>
      <c r="B125" s="36" t="s">
        <v>21</v>
      </c>
      <c r="C125" s="36" t="s">
        <v>22</v>
      </c>
      <c r="D125" s="36" t="s">
        <v>23</v>
      </c>
      <c r="E125" s="61" t="s">
        <v>205</v>
      </c>
      <c r="F125" s="60" t="s">
        <v>204</v>
      </c>
      <c r="G125" s="36" t="s">
        <v>26</v>
      </c>
      <c r="H125" s="36" t="s">
        <v>27</v>
      </c>
      <c r="I125" s="36">
        <v>3</v>
      </c>
      <c r="J125" s="36"/>
      <c r="K125" s="36"/>
      <c r="L125" s="38">
        <v>106.50171</v>
      </c>
      <c r="M125" s="38">
        <v>10.35188</v>
      </c>
      <c r="N125" s="38" t="s">
        <v>79</v>
      </c>
      <c r="O125" s="39" t="s">
        <v>29</v>
      </c>
      <c r="P125" s="36" t="s">
        <v>30</v>
      </c>
      <c r="Q125" s="30" t="s">
        <v>31</v>
      </c>
      <c r="R125" s="40" t="s">
        <v>32</v>
      </c>
      <c r="S125" s="35">
        <v>48020</v>
      </c>
      <c r="T125" s="36" t="s">
        <v>198</v>
      </c>
      <c r="U125" s="30" t="s">
        <v>198</v>
      </c>
      <c r="V125" s="37" t="e">
        <v>#N/A</v>
      </c>
      <c r="W125" s="31" t="s">
        <v>63</v>
      </c>
      <c r="X125" s="37" t="s">
        <v>52</v>
      </c>
      <c r="Y125" s="37">
        <f>COUNTIF(F:F,F125)</f>
        <v>1</v>
      </c>
      <c r="Z125" s="21" t="s">
        <v>1099</v>
      </c>
      <c r="AA125" s="21" t="s">
        <v>198</v>
      </c>
      <c r="AB125" s="21" t="s">
        <v>1120</v>
      </c>
    </row>
    <row r="126" spans="1:28" ht="13.9" customHeight="1" x14ac:dyDescent="0.3">
      <c r="A126" s="30" t="s">
        <v>20</v>
      </c>
      <c r="B126" s="30" t="s">
        <v>21</v>
      </c>
      <c r="C126" s="30" t="s">
        <v>22</v>
      </c>
      <c r="D126" s="30" t="s">
        <v>23</v>
      </c>
      <c r="E126" s="30" t="s">
        <v>222</v>
      </c>
      <c r="F126" s="31" t="s">
        <v>222</v>
      </c>
      <c r="G126" s="30" t="s">
        <v>26</v>
      </c>
      <c r="H126" s="30" t="s">
        <v>27</v>
      </c>
      <c r="I126" s="30">
        <v>4</v>
      </c>
      <c r="J126" s="30"/>
      <c r="K126" s="30"/>
      <c r="L126" s="32">
        <v>106.43335</v>
      </c>
      <c r="M126" s="32">
        <v>10.333</v>
      </c>
      <c r="N126" s="32" t="s">
        <v>79</v>
      </c>
      <c r="O126" s="33" t="s">
        <v>29</v>
      </c>
      <c r="P126" s="30" t="s">
        <v>30</v>
      </c>
      <c r="Q126" s="30" t="s">
        <v>31</v>
      </c>
      <c r="R126" s="34" t="s">
        <v>32</v>
      </c>
      <c r="S126" s="35">
        <v>48020</v>
      </c>
      <c r="T126" s="36" t="s">
        <v>198</v>
      </c>
      <c r="U126" s="30" t="s">
        <v>198</v>
      </c>
      <c r="V126" s="37" t="e">
        <v>#N/A</v>
      </c>
      <c r="W126" s="31" t="s">
        <v>33</v>
      </c>
      <c r="X126" s="37" t="s">
        <v>42</v>
      </c>
      <c r="Y126" s="37">
        <f>COUNTIF(F:F,F126)</f>
        <v>2</v>
      </c>
      <c r="Z126" s="21" t="s">
        <v>1099</v>
      </c>
      <c r="AA126" s="21" t="s">
        <v>198</v>
      </c>
      <c r="AB126" s="21" t="s">
        <v>1120</v>
      </c>
    </row>
    <row r="127" spans="1:28" ht="13.9" customHeight="1" x14ac:dyDescent="0.3">
      <c r="A127" s="41" t="s">
        <v>20</v>
      </c>
      <c r="B127" s="41" t="s">
        <v>21</v>
      </c>
      <c r="C127" s="41" t="s">
        <v>22</v>
      </c>
      <c r="D127" s="41" t="s">
        <v>23</v>
      </c>
      <c r="E127" s="41" t="s">
        <v>223</v>
      </c>
      <c r="F127" s="31" t="s">
        <v>222</v>
      </c>
      <c r="G127" s="41" t="s">
        <v>26</v>
      </c>
      <c r="H127" s="36" t="s">
        <v>27</v>
      </c>
      <c r="I127" s="36">
        <v>3</v>
      </c>
      <c r="J127" s="36"/>
      <c r="K127" s="36"/>
      <c r="L127" s="38">
        <v>106.41168999999999</v>
      </c>
      <c r="M127" s="38">
        <v>10.3361</v>
      </c>
      <c r="N127" s="38" t="s">
        <v>79</v>
      </c>
      <c r="O127" s="39" t="s">
        <v>29</v>
      </c>
      <c r="P127" s="36" t="s">
        <v>30</v>
      </c>
      <c r="Q127" s="41" t="s">
        <v>31</v>
      </c>
      <c r="R127" s="42" t="s">
        <v>32</v>
      </c>
      <c r="S127" s="35">
        <v>48020</v>
      </c>
      <c r="T127" s="36" t="s">
        <v>203</v>
      </c>
      <c r="U127" s="30" t="s">
        <v>198</v>
      </c>
      <c r="V127" s="37" t="e">
        <v>#N/A</v>
      </c>
      <c r="W127" s="31" t="s">
        <v>63</v>
      </c>
      <c r="X127" s="37" t="s">
        <v>52</v>
      </c>
      <c r="Y127" s="37">
        <f>COUNTIF(F:F,F127)</f>
        <v>2</v>
      </c>
      <c r="Z127" s="21" t="s">
        <v>1099</v>
      </c>
      <c r="AA127" s="21" t="s">
        <v>198</v>
      </c>
      <c r="AB127" s="21" t="s">
        <v>1120</v>
      </c>
    </row>
    <row r="128" spans="1:28" ht="13.9" customHeight="1" x14ac:dyDescent="0.3">
      <c r="A128" s="30" t="s">
        <v>20</v>
      </c>
      <c r="B128" s="30" t="s">
        <v>21</v>
      </c>
      <c r="C128" s="30" t="s">
        <v>22</v>
      </c>
      <c r="D128" s="30" t="s">
        <v>23</v>
      </c>
      <c r="E128" s="30" t="s">
        <v>206</v>
      </c>
      <c r="F128" s="31" t="s">
        <v>206</v>
      </c>
      <c r="G128" s="30" t="s">
        <v>26</v>
      </c>
      <c r="H128" s="30" t="s">
        <v>27</v>
      </c>
      <c r="I128" s="30">
        <v>3</v>
      </c>
      <c r="J128" s="30"/>
      <c r="K128" s="30"/>
      <c r="L128" s="32">
        <v>106.44001</v>
      </c>
      <c r="M128" s="32">
        <v>10.339779999999999</v>
      </c>
      <c r="N128" s="32" t="s">
        <v>79</v>
      </c>
      <c r="O128" s="33" t="s">
        <v>29</v>
      </c>
      <c r="P128" s="30" t="s">
        <v>30</v>
      </c>
      <c r="Q128" s="30" t="s">
        <v>31</v>
      </c>
      <c r="R128" s="34" t="s">
        <v>32</v>
      </c>
      <c r="S128" s="35">
        <v>48020</v>
      </c>
      <c r="T128" s="36" t="s">
        <v>198</v>
      </c>
      <c r="U128" s="30" t="s">
        <v>198</v>
      </c>
      <c r="V128" s="37" t="e">
        <v>#N/A</v>
      </c>
      <c r="W128" s="31" t="s">
        <v>33</v>
      </c>
      <c r="X128" s="37"/>
      <c r="Y128" s="37">
        <f>COUNTIF(F:F,F128)</f>
        <v>1</v>
      </c>
      <c r="Z128" s="21" t="s">
        <v>1099</v>
      </c>
      <c r="AA128" s="21" t="s">
        <v>198</v>
      </c>
      <c r="AB128" s="21" t="s">
        <v>1120</v>
      </c>
    </row>
    <row r="129" spans="1:28" ht="13.9" customHeight="1" x14ac:dyDescent="0.3">
      <c r="A129" s="30" t="s">
        <v>20</v>
      </c>
      <c r="B129" s="30" t="s">
        <v>21</v>
      </c>
      <c r="C129" s="30" t="s">
        <v>22</v>
      </c>
      <c r="D129" s="30" t="s">
        <v>23</v>
      </c>
      <c r="E129" s="30" t="s">
        <v>207</v>
      </c>
      <c r="F129" s="31" t="s">
        <v>207</v>
      </c>
      <c r="G129" s="30" t="s">
        <v>26</v>
      </c>
      <c r="H129" s="30" t="s">
        <v>27</v>
      </c>
      <c r="I129" s="30">
        <v>3</v>
      </c>
      <c r="J129" s="30"/>
      <c r="K129" s="30"/>
      <c r="L129" s="32">
        <v>106.53686</v>
      </c>
      <c r="M129" s="32">
        <v>10.31255</v>
      </c>
      <c r="N129" s="32" t="s">
        <v>79</v>
      </c>
      <c r="O129" s="33" t="s">
        <v>29</v>
      </c>
      <c r="P129" s="30" t="s">
        <v>30</v>
      </c>
      <c r="Q129" s="30" t="s">
        <v>31</v>
      </c>
      <c r="R129" s="34" t="s">
        <v>32</v>
      </c>
      <c r="S129" s="35">
        <v>48020</v>
      </c>
      <c r="T129" s="36" t="s">
        <v>198</v>
      </c>
      <c r="U129" s="30" t="s">
        <v>198</v>
      </c>
      <c r="V129" s="37" t="e">
        <v>#N/A</v>
      </c>
      <c r="W129" s="31" t="s">
        <v>33</v>
      </c>
      <c r="X129" s="37"/>
      <c r="Y129" s="37">
        <f>COUNTIF(F:F,F129)</f>
        <v>1</v>
      </c>
      <c r="Z129" s="21" t="s">
        <v>1099</v>
      </c>
      <c r="AA129" s="21" t="s">
        <v>198</v>
      </c>
      <c r="AB129" s="21" t="s">
        <v>1120</v>
      </c>
    </row>
    <row r="130" spans="1:28" ht="13.9" customHeight="1" x14ac:dyDescent="0.3">
      <c r="A130" s="30" t="s">
        <v>20</v>
      </c>
      <c r="B130" s="30" t="s">
        <v>21</v>
      </c>
      <c r="C130" s="30" t="s">
        <v>22</v>
      </c>
      <c r="D130" s="30" t="s">
        <v>23</v>
      </c>
      <c r="E130" s="30" t="s">
        <v>208</v>
      </c>
      <c r="F130" s="31" t="s">
        <v>208</v>
      </c>
      <c r="G130" s="30" t="s">
        <v>26</v>
      </c>
      <c r="H130" s="30" t="s">
        <v>36</v>
      </c>
      <c r="I130" s="30">
        <v>3</v>
      </c>
      <c r="J130" s="30"/>
      <c r="K130" s="30"/>
      <c r="L130" s="32">
        <v>106.47596</v>
      </c>
      <c r="M130" s="32">
        <v>10.350059999999999</v>
      </c>
      <c r="N130" s="32" t="s">
        <v>79</v>
      </c>
      <c r="O130" s="33" t="s">
        <v>29</v>
      </c>
      <c r="P130" s="30" t="s">
        <v>109</v>
      </c>
      <c r="Q130" s="30" t="s">
        <v>31</v>
      </c>
      <c r="R130" s="34" t="s">
        <v>32</v>
      </c>
      <c r="S130" s="35">
        <v>48020</v>
      </c>
      <c r="T130" s="36" t="s">
        <v>198</v>
      </c>
      <c r="U130" s="30" t="s">
        <v>198</v>
      </c>
      <c r="V130" s="37" t="e">
        <v>#N/A</v>
      </c>
      <c r="W130" s="31" t="s">
        <v>33</v>
      </c>
      <c r="X130" s="37"/>
      <c r="Y130" s="37">
        <f>COUNTIF(F:F,F130)</f>
        <v>1</v>
      </c>
      <c r="Z130" s="21" t="s">
        <v>1099</v>
      </c>
      <c r="AA130" s="21" t="s">
        <v>198</v>
      </c>
      <c r="AB130" s="21" t="s">
        <v>1120</v>
      </c>
    </row>
    <row r="131" spans="1:28" ht="13.9" customHeight="1" x14ac:dyDescent="0.3">
      <c r="A131" s="30" t="s">
        <v>20</v>
      </c>
      <c r="B131" s="30" t="s">
        <v>21</v>
      </c>
      <c r="C131" s="30" t="s">
        <v>22</v>
      </c>
      <c r="D131" s="30" t="s">
        <v>23</v>
      </c>
      <c r="E131" s="30" t="s">
        <v>209</v>
      </c>
      <c r="F131" s="31" t="s">
        <v>209</v>
      </c>
      <c r="G131" s="30" t="s">
        <v>26</v>
      </c>
      <c r="H131" s="30" t="s">
        <v>36</v>
      </c>
      <c r="I131" s="30">
        <v>4</v>
      </c>
      <c r="J131" s="30" t="s">
        <v>37</v>
      </c>
      <c r="K131" s="30" t="s">
        <v>38</v>
      </c>
      <c r="L131" s="32">
        <v>106.44280000000001</v>
      </c>
      <c r="M131" s="32">
        <v>10.3512</v>
      </c>
      <c r="N131" s="32" t="s">
        <v>79</v>
      </c>
      <c r="O131" s="33" t="s">
        <v>29</v>
      </c>
      <c r="P131" s="30" t="s">
        <v>39</v>
      </c>
      <c r="Q131" s="30" t="s">
        <v>31</v>
      </c>
      <c r="R131" s="34" t="s">
        <v>32</v>
      </c>
      <c r="S131" s="35">
        <v>48020</v>
      </c>
      <c r="T131" s="36" t="s">
        <v>198</v>
      </c>
      <c r="U131" s="30" t="s">
        <v>198</v>
      </c>
      <c r="V131" s="37" t="e">
        <v>#N/A</v>
      </c>
      <c r="W131" s="31" t="s">
        <v>33</v>
      </c>
      <c r="X131" s="37"/>
      <c r="Y131" s="37">
        <f>COUNTIF(F:F,F131)</f>
        <v>1</v>
      </c>
      <c r="Z131" s="21" t="s">
        <v>1099</v>
      </c>
      <c r="AA131" s="21" t="s">
        <v>198</v>
      </c>
      <c r="AB131" s="21" t="s">
        <v>1120</v>
      </c>
    </row>
    <row r="132" spans="1:28" s="22" customFormat="1" ht="13.9" customHeight="1" x14ac:dyDescent="0.3">
      <c r="A132" s="36" t="s">
        <v>20</v>
      </c>
      <c r="B132" s="36" t="s">
        <v>21</v>
      </c>
      <c r="C132" s="36" t="s">
        <v>22</v>
      </c>
      <c r="D132" s="36" t="s">
        <v>23</v>
      </c>
      <c r="E132" s="61" t="s">
        <v>211</v>
      </c>
      <c r="F132" s="60" t="s">
        <v>210</v>
      </c>
      <c r="G132" s="36" t="s">
        <v>26</v>
      </c>
      <c r="H132" s="36" t="s">
        <v>36</v>
      </c>
      <c r="I132" s="36">
        <v>3</v>
      </c>
      <c r="J132" s="36" t="s">
        <v>37</v>
      </c>
      <c r="K132" s="36" t="s">
        <v>38</v>
      </c>
      <c r="L132" s="38">
        <v>106.52445</v>
      </c>
      <c r="M132" s="38">
        <v>10.3279</v>
      </c>
      <c r="N132" s="38" t="s">
        <v>79</v>
      </c>
      <c r="O132" s="39" t="s">
        <v>29</v>
      </c>
      <c r="P132" s="36" t="s">
        <v>39</v>
      </c>
      <c r="Q132" s="30" t="s">
        <v>31</v>
      </c>
      <c r="R132" s="40" t="s">
        <v>32</v>
      </c>
      <c r="S132" s="35">
        <v>48020</v>
      </c>
      <c r="T132" s="36" t="s">
        <v>198</v>
      </c>
      <c r="U132" s="30" t="s">
        <v>198</v>
      </c>
      <c r="V132" s="37" t="e">
        <v>#N/A</v>
      </c>
      <c r="W132" s="31" t="s">
        <v>63</v>
      </c>
      <c r="X132" s="37" t="s">
        <v>52</v>
      </c>
      <c r="Y132" s="37">
        <f>COUNTIF(F:F,F132)</f>
        <v>1</v>
      </c>
      <c r="Z132" s="21" t="s">
        <v>1099</v>
      </c>
      <c r="AA132" s="21" t="s">
        <v>198</v>
      </c>
      <c r="AB132" s="21" t="s">
        <v>1120</v>
      </c>
    </row>
    <row r="133" spans="1:28" ht="13.9" customHeight="1" x14ac:dyDescent="0.3">
      <c r="A133" s="30" t="s">
        <v>20</v>
      </c>
      <c r="B133" s="30" t="s">
        <v>21</v>
      </c>
      <c r="C133" s="30" t="s">
        <v>22</v>
      </c>
      <c r="D133" s="30" t="s">
        <v>23</v>
      </c>
      <c r="E133" s="30" t="s">
        <v>212</v>
      </c>
      <c r="F133" s="31" t="s">
        <v>212</v>
      </c>
      <c r="G133" s="30" t="s">
        <v>26</v>
      </c>
      <c r="H133" s="30" t="s">
        <v>27</v>
      </c>
      <c r="I133" s="30">
        <v>3</v>
      </c>
      <c r="J133" s="30" t="s">
        <v>37</v>
      </c>
      <c r="K133" s="30" t="s">
        <v>38</v>
      </c>
      <c r="L133" s="32">
        <v>106.465</v>
      </c>
      <c r="M133" s="32">
        <v>10.34652</v>
      </c>
      <c r="N133" s="32" t="s">
        <v>79</v>
      </c>
      <c r="O133" s="33" t="s">
        <v>29</v>
      </c>
      <c r="P133" s="30" t="s">
        <v>41</v>
      </c>
      <c r="Q133" s="30" t="s">
        <v>31</v>
      </c>
      <c r="R133" s="34" t="s">
        <v>32</v>
      </c>
      <c r="S133" s="35">
        <v>48020</v>
      </c>
      <c r="T133" s="36" t="s">
        <v>198</v>
      </c>
      <c r="U133" s="30" t="s">
        <v>198</v>
      </c>
      <c r="V133" s="37" t="e">
        <v>#N/A</v>
      </c>
      <c r="W133" s="31" t="s">
        <v>33</v>
      </c>
      <c r="X133" s="37"/>
      <c r="Y133" s="37">
        <f>COUNTIF(F:F,F133)</f>
        <v>1</v>
      </c>
      <c r="Z133" s="21" t="s">
        <v>1099</v>
      </c>
      <c r="AA133" s="21" t="s">
        <v>198</v>
      </c>
      <c r="AB133" s="21" t="s">
        <v>1120</v>
      </c>
    </row>
    <row r="134" spans="1:28" ht="13.9" customHeight="1" x14ac:dyDescent="0.3">
      <c r="A134" s="30" t="s">
        <v>20</v>
      </c>
      <c r="B134" s="30" t="s">
        <v>21</v>
      </c>
      <c r="C134" s="30" t="s">
        <v>22</v>
      </c>
      <c r="D134" s="30" t="s">
        <v>23</v>
      </c>
      <c r="E134" s="30" t="s">
        <v>213</v>
      </c>
      <c r="F134" s="31" t="s">
        <v>213</v>
      </c>
      <c r="G134" s="30" t="s">
        <v>26</v>
      </c>
      <c r="H134" s="30" t="s">
        <v>27</v>
      </c>
      <c r="I134" s="30">
        <v>3</v>
      </c>
      <c r="J134" s="30"/>
      <c r="K134" s="30"/>
      <c r="L134" s="32">
        <v>106.4629935</v>
      </c>
      <c r="M134" s="32">
        <v>10.3154203</v>
      </c>
      <c r="N134" s="32" t="s">
        <v>79</v>
      </c>
      <c r="O134" s="33" t="s">
        <v>29</v>
      </c>
      <c r="P134" s="30" t="s">
        <v>30</v>
      </c>
      <c r="Q134" s="30" t="s">
        <v>31</v>
      </c>
      <c r="R134" s="34" t="s">
        <v>32</v>
      </c>
      <c r="S134" s="35">
        <v>48020</v>
      </c>
      <c r="T134" s="36" t="s">
        <v>198</v>
      </c>
      <c r="U134" s="30" t="s">
        <v>198</v>
      </c>
      <c r="V134" s="37" t="e">
        <v>#N/A</v>
      </c>
      <c r="W134" s="31" t="s">
        <v>33</v>
      </c>
      <c r="X134" s="37"/>
      <c r="Y134" s="37">
        <f>COUNTIF(F:F,F134)</f>
        <v>1</v>
      </c>
      <c r="Z134" s="21" t="s">
        <v>1099</v>
      </c>
      <c r="AA134" s="21" t="s">
        <v>198</v>
      </c>
      <c r="AB134" s="21" t="s">
        <v>1120</v>
      </c>
    </row>
    <row r="135" spans="1:28" ht="13.9" customHeight="1" x14ac:dyDescent="0.3">
      <c r="A135" s="30" t="s">
        <v>20</v>
      </c>
      <c r="B135" s="30" t="s">
        <v>21</v>
      </c>
      <c r="C135" s="30" t="s">
        <v>22</v>
      </c>
      <c r="D135" s="30" t="s">
        <v>23</v>
      </c>
      <c r="E135" s="30" t="s">
        <v>214</v>
      </c>
      <c r="F135" s="31" t="s">
        <v>214</v>
      </c>
      <c r="G135" s="30" t="s">
        <v>26</v>
      </c>
      <c r="H135" s="30" t="s">
        <v>27</v>
      </c>
      <c r="I135" s="30">
        <v>3</v>
      </c>
      <c r="J135" s="30"/>
      <c r="K135" s="30"/>
      <c r="L135" s="32">
        <v>106.44687</v>
      </c>
      <c r="M135" s="32">
        <v>10.319380000000001</v>
      </c>
      <c r="N135" s="32" t="s">
        <v>79</v>
      </c>
      <c r="O135" s="33" t="s">
        <v>29</v>
      </c>
      <c r="P135" s="30" t="s">
        <v>30</v>
      </c>
      <c r="Q135" s="30" t="s">
        <v>31</v>
      </c>
      <c r="R135" s="34" t="s">
        <v>32</v>
      </c>
      <c r="S135" s="35">
        <v>48020</v>
      </c>
      <c r="T135" s="36" t="s">
        <v>198</v>
      </c>
      <c r="U135" s="30" t="s">
        <v>198</v>
      </c>
      <c r="V135" s="37" t="e">
        <v>#N/A</v>
      </c>
      <c r="W135" s="31" t="s">
        <v>33</v>
      </c>
      <c r="X135" s="37"/>
      <c r="Y135" s="37">
        <f>COUNTIF(F:F,F135)</f>
        <v>1</v>
      </c>
      <c r="Z135" s="21" t="s">
        <v>1099</v>
      </c>
      <c r="AA135" s="21" t="s">
        <v>198</v>
      </c>
      <c r="AB135" s="21" t="s">
        <v>1120</v>
      </c>
    </row>
    <row r="136" spans="1:28" ht="13.9" customHeight="1" x14ac:dyDescent="0.3">
      <c r="A136" s="30" t="s">
        <v>20</v>
      </c>
      <c r="B136" s="30" t="s">
        <v>21</v>
      </c>
      <c r="C136" s="30" t="s">
        <v>22</v>
      </c>
      <c r="D136" s="30" t="s">
        <v>23</v>
      </c>
      <c r="E136" s="30" t="s">
        <v>215</v>
      </c>
      <c r="F136" s="31" t="s">
        <v>215</v>
      </c>
      <c r="G136" s="30" t="s">
        <v>26</v>
      </c>
      <c r="H136" s="30" t="s">
        <v>27</v>
      </c>
      <c r="I136" s="30">
        <v>3</v>
      </c>
      <c r="J136" s="30"/>
      <c r="K136" s="30"/>
      <c r="L136" s="32">
        <v>106.4858</v>
      </c>
      <c r="M136" s="32">
        <v>10.3215</v>
      </c>
      <c r="N136" s="32" t="s">
        <v>79</v>
      </c>
      <c r="O136" s="33" t="s">
        <v>29</v>
      </c>
      <c r="P136" s="30" t="s">
        <v>30</v>
      </c>
      <c r="Q136" s="30" t="s">
        <v>31</v>
      </c>
      <c r="R136" s="34" t="s">
        <v>32</v>
      </c>
      <c r="S136" s="35">
        <v>48020</v>
      </c>
      <c r="T136" s="36" t="s">
        <v>198</v>
      </c>
      <c r="U136" s="30" t="s">
        <v>198</v>
      </c>
      <c r="V136" s="37" t="e">
        <v>#N/A</v>
      </c>
      <c r="W136" s="31" t="s">
        <v>33</v>
      </c>
      <c r="X136" s="37"/>
      <c r="Y136" s="37">
        <f>COUNTIF(F:F,F136)</f>
        <v>1</v>
      </c>
      <c r="Z136" s="21" t="s">
        <v>1099</v>
      </c>
      <c r="AA136" s="21" t="s">
        <v>198</v>
      </c>
      <c r="AB136" s="21" t="s">
        <v>1120</v>
      </c>
    </row>
    <row r="137" spans="1:28" ht="13.9" customHeight="1" x14ac:dyDescent="0.3">
      <c r="A137" s="30" t="s">
        <v>20</v>
      </c>
      <c r="B137" s="30" t="s">
        <v>21</v>
      </c>
      <c r="C137" s="30" t="s">
        <v>22</v>
      </c>
      <c r="D137" s="30" t="s">
        <v>23</v>
      </c>
      <c r="E137" s="30" t="s">
        <v>216</v>
      </c>
      <c r="F137" s="31" t="s">
        <v>216</v>
      </c>
      <c r="G137" s="30" t="s">
        <v>26</v>
      </c>
      <c r="H137" s="30" t="s">
        <v>36</v>
      </c>
      <c r="I137" s="30">
        <v>3</v>
      </c>
      <c r="J137" s="30" t="s">
        <v>37</v>
      </c>
      <c r="K137" s="30" t="s">
        <v>38</v>
      </c>
      <c r="L137" s="32">
        <v>106.45653</v>
      </c>
      <c r="M137" s="32">
        <v>10.35534</v>
      </c>
      <c r="N137" s="32" t="s">
        <v>79</v>
      </c>
      <c r="O137" s="33" t="s">
        <v>29</v>
      </c>
      <c r="P137" s="30" t="s">
        <v>39</v>
      </c>
      <c r="Q137" s="30" t="s">
        <v>31</v>
      </c>
      <c r="R137" s="34" t="s">
        <v>32</v>
      </c>
      <c r="S137" s="35">
        <v>48020</v>
      </c>
      <c r="T137" s="36" t="s">
        <v>198</v>
      </c>
      <c r="U137" s="30" t="s">
        <v>198</v>
      </c>
      <c r="V137" s="37" t="e">
        <v>#N/A</v>
      </c>
      <c r="W137" s="31" t="s">
        <v>33</v>
      </c>
      <c r="X137" s="37"/>
      <c r="Y137" s="37">
        <f>COUNTIF(F:F,F137)</f>
        <v>1</v>
      </c>
      <c r="Z137" s="21" t="s">
        <v>1099</v>
      </c>
      <c r="AA137" s="21" t="s">
        <v>198</v>
      </c>
      <c r="AB137" s="21" t="s">
        <v>1120</v>
      </c>
    </row>
    <row r="138" spans="1:28" ht="13.9" customHeight="1" x14ac:dyDescent="0.3">
      <c r="A138" s="30" t="s">
        <v>20</v>
      </c>
      <c r="B138" s="30" t="s">
        <v>21</v>
      </c>
      <c r="C138" s="30" t="s">
        <v>22</v>
      </c>
      <c r="D138" s="30" t="s">
        <v>23</v>
      </c>
      <c r="E138" s="30" t="s">
        <v>217</v>
      </c>
      <c r="F138" s="31" t="s">
        <v>217</v>
      </c>
      <c r="G138" s="30" t="s">
        <v>26</v>
      </c>
      <c r="H138" s="30" t="s">
        <v>36</v>
      </c>
      <c r="I138" s="30">
        <v>3</v>
      </c>
      <c r="J138" s="30" t="s">
        <v>37</v>
      </c>
      <c r="K138" s="30" t="s">
        <v>38</v>
      </c>
      <c r="L138" s="32">
        <v>106.46720999999999</v>
      </c>
      <c r="M138" s="32">
        <v>10.353730000000001</v>
      </c>
      <c r="N138" s="32" t="s">
        <v>79</v>
      </c>
      <c r="O138" s="33" t="s">
        <v>29</v>
      </c>
      <c r="P138" s="30" t="s">
        <v>39</v>
      </c>
      <c r="Q138" s="30" t="s">
        <v>31</v>
      </c>
      <c r="R138" s="34" t="s">
        <v>32</v>
      </c>
      <c r="S138" s="35">
        <v>48020</v>
      </c>
      <c r="T138" s="36" t="s">
        <v>198</v>
      </c>
      <c r="U138" s="30" t="s">
        <v>198</v>
      </c>
      <c r="V138" s="37" t="e">
        <v>#N/A</v>
      </c>
      <c r="W138" s="31" t="s">
        <v>33</v>
      </c>
      <c r="X138" s="37"/>
      <c r="Y138" s="37">
        <f>COUNTIF(F:F,F138)</f>
        <v>1</v>
      </c>
      <c r="Z138" s="21" t="s">
        <v>1099</v>
      </c>
      <c r="AA138" s="21" t="s">
        <v>198</v>
      </c>
      <c r="AB138" s="21" t="s">
        <v>1120</v>
      </c>
    </row>
    <row r="139" spans="1:28" ht="13.9" customHeight="1" x14ac:dyDescent="0.3">
      <c r="A139" s="30" t="s">
        <v>20</v>
      </c>
      <c r="B139" s="30" t="s">
        <v>21</v>
      </c>
      <c r="C139" s="30" t="s">
        <v>22</v>
      </c>
      <c r="D139" s="30" t="s">
        <v>23</v>
      </c>
      <c r="E139" s="62" t="s">
        <v>204</v>
      </c>
      <c r="F139" s="60" t="s">
        <v>205</v>
      </c>
      <c r="G139" s="30" t="s">
        <v>26</v>
      </c>
      <c r="H139" s="30" t="s">
        <v>27</v>
      </c>
      <c r="I139" s="30">
        <v>3</v>
      </c>
      <c r="J139" s="30" t="s">
        <v>37</v>
      </c>
      <c r="K139" s="30" t="s">
        <v>38</v>
      </c>
      <c r="L139" s="32">
        <v>106.49108</v>
      </c>
      <c r="M139" s="32">
        <v>10.34728</v>
      </c>
      <c r="N139" s="32" t="s">
        <v>79</v>
      </c>
      <c r="O139" s="33" t="s">
        <v>29</v>
      </c>
      <c r="P139" s="30" t="s">
        <v>41</v>
      </c>
      <c r="Q139" s="30" t="s">
        <v>31</v>
      </c>
      <c r="R139" s="34" t="s">
        <v>32</v>
      </c>
      <c r="S139" s="35">
        <v>48020</v>
      </c>
      <c r="T139" s="36" t="s">
        <v>198</v>
      </c>
      <c r="U139" s="30" t="s">
        <v>198</v>
      </c>
      <c r="V139" s="37" t="e">
        <v>#N/A</v>
      </c>
      <c r="W139" s="31" t="s">
        <v>33</v>
      </c>
      <c r="X139" s="37" t="s">
        <v>42</v>
      </c>
      <c r="Y139" s="37">
        <f>COUNTIF(F:F,F139)</f>
        <v>1</v>
      </c>
      <c r="Z139" s="21" t="s">
        <v>1099</v>
      </c>
      <c r="AA139" s="21" t="s">
        <v>198</v>
      </c>
      <c r="AB139" s="21" t="s">
        <v>1120</v>
      </c>
    </row>
    <row r="140" spans="1:28" ht="13.9" customHeight="1" x14ac:dyDescent="0.3">
      <c r="A140" s="30" t="s">
        <v>20</v>
      </c>
      <c r="B140" s="30" t="s">
        <v>21</v>
      </c>
      <c r="C140" s="30" t="s">
        <v>22</v>
      </c>
      <c r="D140" s="30" t="s">
        <v>23</v>
      </c>
      <c r="E140" s="62" t="s">
        <v>210</v>
      </c>
      <c r="F140" s="60" t="s">
        <v>211</v>
      </c>
      <c r="G140" s="30" t="s">
        <v>26</v>
      </c>
      <c r="H140" s="30" t="s">
        <v>27</v>
      </c>
      <c r="I140" s="30">
        <v>3</v>
      </c>
      <c r="J140" s="30"/>
      <c r="K140" s="30"/>
      <c r="L140" s="32">
        <v>106.5186637</v>
      </c>
      <c r="M140" s="32">
        <v>10.3442205</v>
      </c>
      <c r="N140" s="32" t="s">
        <v>79</v>
      </c>
      <c r="O140" s="33" t="s">
        <v>29</v>
      </c>
      <c r="P140" s="30" t="s">
        <v>30</v>
      </c>
      <c r="Q140" s="30" t="s">
        <v>31</v>
      </c>
      <c r="R140" s="34" t="s">
        <v>32</v>
      </c>
      <c r="S140" s="35">
        <v>48020</v>
      </c>
      <c r="T140" s="36" t="s">
        <v>198</v>
      </c>
      <c r="U140" s="30" t="s">
        <v>198</v>
      </c>
      <c r="V140" s="37" t="e">
        <v>#N/A</v>
      </c>
      <c r="W140" s="31" t="s">
        <v>33</v>
      </c>
      <c r="X140" s="37" t="s">
        <v>42</v>
      </c>
      <c r="Y140" s="37">
        <f>COUNTIF(F:F,F140)</f>
        <v>1</v>
      </c>
      <c r="Z140" s="21" t="s">
        <v>1099</v>
      </c>
      <c r="AA140" s="21" t="s">
        <v>198</v>
      </c>
      <c r="AB140" s="21" t="s">
        <v>1120</v>
      </c>
    </row>
    <row r="141" spans="1:28" ht="13.9" customHeight="1" x14ac:dyDescent="0.3">
      <c r="A141" s="30" t="s">
        <v>20</v>
      </c>
      <c r="B141" s="30" t="s">
        <v>21</v>
      </c>
      <c r="C141" s="30" t="s">
        <v>22</v>
      </c>
      <c r="D141" s="30" t="s">
        <v>23</v>
      </c>
      <c r="E141" s="30" t="s">
        <v>218</v>
      </c>
      <c r="F141" s="31" t="s">
        <v>218</v>
      </c>
      <c r="G141" s="30" t="s">
        <v>26</v>
      </c>
      <c r="H141" s="30" t="s">
        <v>36</v>
      </c>
      <c r="I141" s="30">
        <v>3</v>
      </c>
      <c r="J141" s="30" t="s">
        <v>37</v>
      </c>
      <c r="K141" s="30" t="s">
        <v>38</v>
      </c>
      <c r="L141" s="32">
        <v>106.41114</v>
      </c>
      <c r="M141" s="32">
        <v>10.34914</v>
      </c>
      <c r="N141" s="32" t="s">
        <v>79</v>
      </c>
      <c r="O141" s="33" t="s">
        <v>29</v>
      </c>
      <c r="P141" s="30" t="s">
        <v>39</v>
      </c>
      <c r="Q141" s="30" t="s">
        <v>31</v>
      </c>
      <c r="R141" s="34" t="s">
        <v>32</v>
      </c>
      <c r="S141" s="35">
        <v>48020</v>
      </c>
      <c r="T141" s="36" t="s">
        <v>203</v>
      </c>
      <c r="U141" s="30" t="s">
        <v>198</v>
      </c>
      <c r="V141" s="37" t="e">
        <v>#N/A</v>
      </c>
      <c r="W141" s="31" t="s">
        <v>33</v>
      </c>
      <c r="X141" s="37"/>
      <c r="Y141" s="37">
        <f>COUNTIF(F:F,F141)</f>
        <v>1</v>
      </c>
      <c r="Z141" s="21" t="s">
        <v>1099</v>
      </c>
      <c r="AA141" s="21" t="s">
        <v>198</v>
      </c>
      <c r="AB141" s="21" t="s">
        <v>1120</v>
      </c>
    </row>
    <row r="142" spans="1:28" ht="13.9" customHeight="1" x14ac:dyDescent="0.3">
      <c r="A142" s="30" t="s">
        <v>20</v>
      </c>
      <c r="B142" s="30" t="s">
        <v>21</v>
      </c>
      <c r="C142" s="30" t="s">
        <v>22</v>
      </c>
      <c r="D142" s="30" t="s">
        <v>23</v>
      </c>
      <c r="E142" s="30" t="s">
        <v>219</v>
      </c>
      <c r="F142" s="31" t="s">
        <v>219</v>
      </c>
      <c r="G142" s="30" t="s">
        <v>26</v>
      </c>
      <c r="H142" s="30" t="s">
        <v>27</v>
      </c>
      <c r="I142" s="30">
        <v>3</v>
      </c>
      <c r="J142" s="30"/>
      <c r="K142" s="30"/>
      <c r="L142" s="32">
        <v>106.49341389999999</v>
      </c>
      <c r="M142" s="32">
        <v>10.3137553</v>
      </c>
      <c r="N142" s="32" t="s">
        <v>79</v>
      </c>
      <c r="O142" s="33" t="s">
        <v>29</v>
      </c>
      <c r="P142" s="30" t="s">
        <v>30</v>
      </c>
      <c r="Q142" s="30" t="s">
        <v>31</v>
      </c>
      <c r="R142" s="34" t="s">
        <v>32</v>
      </c>
      <c r="S142" s="35">
        <v>48020</v>
      </c>
      <c r="T142" s="36" t="s">
        <v>198</v>
      </c>
      <c r="U142" s="30" t="s">
        <v>198</v>
      </c>
      <c r="V142" s="37" t="e">
        <v>#N/A</v>
      </c>
      <c r="W142" s="31" t="s">
        <v>33</v>
      </c>
      <c r="X142" s="37"/>
      <c r="Y142" s="37">
        <f>COUNTIF(F:F,F142)</f>
        <v>1</v>
      </c>
      <c r="Z142" s="21" t="s">
        <v>1099</v>
      </c>
      <c r="AA142" s="21" t="s">
        <v>198</v>
      </c>
      <c r="AB142" s="21" t="s">
        <v>1120</v>
      </c>
    </row>
    <row r="143" spans="1:28" ht="13.9" customHeight="1" x14ac:dyDescent="0.3">
      <c r="A143" s="30" t="s">
        <v>20</v>
      </c>
      <c r="B143" s="30" t="s">
        <v>21</v>
      </c>
      <c r="C143" s="30" t="s">
        <v>22</v>
      </c>
      <c r="D143" s="30" t="s">
        <v>23</v>
      </c>
      <c r="E143" s="30" t="s">
        <v>227</v>
      </c>
      <c r="F143" s="31" t="s">
        <v>227</v>
      </c>
      <c r="G143" s="30" t="s">
        <v>26</v>
      </c>
      <c r="H143" s="30" t="s">
        <v>36</v>
      </c>
      <c r="I143" s="30">
        <v>3</v>
      </c>
      <c r="J143" s="30" t="s">
        <v>37</v>
      </c>
      <c r="K143" s="30" t="s">
        <v>38</v>
      </c>
      <c r="L143" s="32">
        <v>106.45285</v>
      </c>
      <c r="M143" s="32">
        <v>10.389089999999999</v>
      </c>
      <c r="N143" s="32" t="s">
        <v>79</v>
      </c>
      <c r="O143" s="33" t="s">
        <v>29</v>
      </c>
      <c r="P143" s="30" t="s">
        <v>39</v>
      </c>
      <c r="Q143" s="47" t="s">
        <v>31</v>
      </c>
      <c r="R143" s="34" t="s">
        <v>32</v>
      </c>
      <c r="S143" s="35">
        <v>48020</v>
      </c>
      <c r="T143" s="36" t="s">
        <v>111</v>
      </c>
      <c r="U143" s="30" t="s">
        <v>111</v>
      </c>
      <c r="V143" s="37" t="e">
        <v>#N/A</v>
      </c>
      <c r="W143" s="31" t="s">
        <v>33</v>
      </c>
      <c r="X143" s="37"/>
      <c r="Y143" s="37">
        <f>COUNTIF(F:F,F143)</f>
        <v>1</v>
      </c>
      <c r="Z143" s="21" t="s">
        <v>1099</v>
      </c>
      <c r="AA143" s="21" t="s">
        <v>111</v>
      </c>
      <c r="AB143" s="21" t="s">
        <v>1120</v>
      </c>
    </row>
    <row r="144" spans="1:28" ht="13.9" customHeight="1" x14ac:dyDescent="0.3">
      <c r="A144" s="30" t="s">
        <v>20</v>
      </c>
      <c r="B144" s="30" t="s">
        <v>21</v>
      </c>
      <c r="C144" s="30" t="s">
        <v>22</v>
      </c>
      <c r="D144" s="30" t="s">
        <v>23</v>
      </c>
      <c r="E144" s="30" t="s">
        <v>228</v>
      </c>
      <c r="F144" s="31" t="s">
        <v>228</v>
      </c>
      <c r="G144" s="30" t="s">
        <v>26</v>
      </c>
      <c r="H144" s="30" t="s">
        <v>36</v>
      </c>
      <c r="I144" s="30">
        <v>3</v>
      </c>
      <c r="J144" s="30" t="s">
        <v>37</v>
      </c>
      <c r="K144" s="30" t="s">
        <v>38</v>
      </c>
      <c r="L144" s="32">
        <v>106.51067</v>
      </c>
      <c r="M144" s="32">
        <v>10.39845</v>
      </c>
      <c r="N144" s="32" t="s">
        <v>79</v>
      </c>
      <c r="O144" s="33" t="s">
        <v>29</v>
      </c>
      <c r="P144" s="30" t="s">
        <v>39</v>
      </c>
      <c r="Q144" s="30" t="s">
        <v>31</v>
      </c>
      <c r="R144" s="34" t="s">
        <v>32</v>
      </c>
      <c r="S144" s="35">
        <v>48020</v>
      </c>
      <c r="T144" s="36" t="s">
        <v>226</v>
      </c>
      <c r="U144" s="30" t="s">
        <v>111</v>
      </c>
      <c r="V144" s="37" t="e">
        <v>#N/A</v>
      </c>
      <c r="W144" s="31" t="s">
        <v>33</v>
      </c>
      <c r="X144" s="37"/>
      <c r="Y144" s="37">
        <f>COUNTIF(F:F,F144)</f>
        <v>1</v>
      </c>
      <c r="Z144" s="21" t="s">
        <v>1099</v>
      </c>
      <c r="AA144" s="21" t="s">
        <v>111</v>
      </c>
      <c r="AB144" s="21" t="s">
        <v>1120</v>
      </c>
    </row>
    <row r="145" spans="1:28" ht="13.9" customHeight="1" x14ac:dyDescent="0.3">
      <c r="A145" s="30" t="s">
        <v>20</v>
      </c>
      <c r="B145" s="30" t="s">
        <v>21</v>
      </c>
      <c r="C145" s="30" t="s">
        <v>22</v>
      </c>
      <c r="D145" s="30" t="s">
        <v>23</v>
      </c>
      <c r="E145" s="30" t="s">
        <v>246</v>
      </c>
      <c r="F145" s="31" t="s">
        <v>246</v>
      </c>
      <c r="G145" s="30" t="s">
        <v>26</v>
      </c>
      <c r="H145" s="30" t="s">
        <v>36</v>
      </c>
      <c r="I145" s="30">
        <v>3</v>
      </c>
      <c r="J145" s="30" t="s">
        <v>37</v>
      </c>
      <c r="K145" s="30" t="s">
        <v>38</v>
      </c>
      <c r="L145" s="32">
        <v>106.48647</v>
      </c>
      <c r="M145" s="32">
        <v>10.374919999999999</v>
      </c>
      <c r="N145" s="32" t="s">
        <v>79</v>
      </c>
      <c r="O145" s="33" t="s">
        <v>29</v>
      </c>
      <c r="P145" s="30" t="s">
        <v>39</v>
      </c>
      <c r="Q145" s="30" t="s">
        <v>31</v>
      </c>
      <c r="R145" s="34" t="s">
        <v>32</v>
      </c>
      <c r="S145" s="35">
        <v>48020</v>
      </c>
      <c r="T145" s="36" t="s">
        <v>111</v>
      </c>
      <c r="U145" s="30" t="s">
        <v>111</v>
      </c>
      <c r="V145" s="37" t="e">
        <v>#N/A</v>
      </c>
      <c r="W145" s="31" t="s">
        <v>33</v>
      </c>
      <c r="X145" s="37" t="s">
        <v>42</v>
      </c>
      <c r="Y145" s="37">
        <f>COUNTIF(F:F,F145)</f>
        <v>2</v>
      </c>
      <c r="Z145" s="21" t="s">
        <v>1099</v>
      </c>
      <c r="AA145" s="21" t="s">
        <v>111</v>
      </c>
      <c r="AB145" s="21" t="s">
        <v>1120</v>
      </c>
    </row>
    <row r="146" spans="1:28" ht="13.9" customHeight="1" x14ac:dyDescent="0.3">
      <c r="A146" s="36" t="s">
        <v>20</v>
      </c>
      <c r="B146" s="36" t="s">
        <v>21</v>
      </c>
      <c r="C146" s="36" t="s">
        <v>22</v>
      </c>
      <c r="D146" s="36" t="s">
        <v>23</v>
      </c>
      <c r="E146" s="36" t="s">
        <v>247</v>
      </c>
      <c r="F146" s="31" t="s">
        <v>246</v>
      </c>
      <c r="G146" s="36" t="s">
        <v>26</v>
      </c>
      <c r="H146" s="36" t="s">
        <v>36</v>
      </c>
      <c r="I146" s="36">
        <v>3</v>
      </c>
      <c r="J146" s="36" t="s">
        <v>37</v>
      </c>
      <c r="K146" s="36" t="s">
        <v>38</v>
      </c>
      <c r="L146" s="38">
        <v>106.472984</v>
      </c>
      <c r="M146" s="38">
        <v>10.365474000000001</v>
      </c>
      <c r="N146" s="38" t="s">
        <v>79</v>
      </c>
      <c r="O146" s="39" t="s">
        <v>29</v>
      </c>
      <c r="P146" s="36" t="s">
        <v>39</v>
      </c>
      <c r="Q146" s="30" t="s">
        <v>31</v>
      </c>
      <c r="R146" s="40" t="s">
        <v>32</v>
      </c>
      <c r="S146" s="35">
        <v>48020</v>
      </c>
      <c r="T146" s="36" t="s">
        <v>111</v>
      </c>
      <c r="U146" s="30" t="s">
        <v>111</v>
      </c>
      <c r="V146" s="37" t="e">
        <v>#N/A</v>
      </c>
      <c r="W146" s="31" t="s">
        <v>63</v>
      </c>
      <c r="X146" s="37" t="s">
        <v>52</v>
      </c>
      <c r="Y146" s="37">
        <f>COUNTIF(F:F,F146)</f>
        <v>2</v>
      </c>
      <c r="Z146" s="21" t="s">
        <v>1099</v>
      </c>
      <c r="AA146" s="21" t="s">
        <v>111</v>
      </c>
      <c r="AB146" s="21" t="s">
        <v>1120</v>
      </c>
    </row>
    <row r="147" spans="1:28" ht="13.9" customHeight="1" x14ac:dyDescent="0.3">
      <c r="A147" s="30" t="s">
        <v>20</v>
      </c>
      <c r="B147" s="30" t="s">
        <v>21</v>
      </c>
      <c r="C147" s="30" t="s">
        <v>22</v>
      </c>
      <c r="D147" s="30" t="s">
        <v>23</v>
      </c>
      <c r="E147" s="30" t="s">
        <v>229</v>
      </c>
      <c r="F147" s="31" t="s">
        <v>229</v>
      </c>
      <c r="G147" s="30" t="s">
        <v>26</v>
      </c>
      <c r="H147" s="30" t="s">
        <v>27</v>
      </c>
      <c r="I147" s="30">
        <v>3</v>
      </c>
      <c r="J147" s="30" t="s">
        <v>37</v>
      </c>
      <c r="K147" s="30" t="s">
        <v>38</v>
      </c>
      <c r="L147" s="32">
        <v>106.45180999999999</v>
      </c>
      <c r="M147" s="32">
        <v>10.368840000000001</v>
      </c>
      <c r="N147" s="32" t="s">
        <v>79</v>
      </c>
      <c r="O147" s="33" t="s">
        <v>29</v>
      </c>
      <c r="P147" s="30" t="s">
        <v>41</v>
      </c>
      <c r="Q147" s="30" t="s">
        <v>31</v>
      </c>
      <c r="R147" s="34" t="s">
        <v>32</v>
      </c>
      <c r="S147" s="35">
        <v>48020</v>
      </c>
      <c r="T147" s="36" t="s">
        <v>111</v>
      </c>
      <c r="U147" s="30" t="s">
        <v>111</v>
      </c>
      <c r="V147" s="37" t="e">
        <v>#N/A</v>
      </c>
      <c r="W147" s="31" t="s">
        <v>33</v>
      </c>
      <c r="X147" s="37"/>
      <c r="Y147" s="37">
        <f>COUNTIF(F:F,F147)</f>
        <v>1</v>
      </c>
      <c r="Z147" s="21" t="s">
        <v>1099</v>
      </c>
      <c r="AA147" s="21" t="s">
        <v>111</v>
      </c>
      <c r="AB147" s="21" t="s">
        <v>1120</v>
      </c>
    </row>
    <row r="148" spans="1:28" ht="13.9" customHeight="1" x14ac:dyDescent="0.3">
      <c r="A148" s="30" t="s">
        <v>20</v>
      </c>
      <c r="B148" s="30" t="s">
        <v>21</v>
      </c>
      <c r="C148" s="30" t="s">
        <v>22</v>
      </c>
      <c r="D148" s="30" t="s">
        <v>23</v>
      </c>
      <c r="E148" s="30" t="s">
        <v>230</v>
      </c>
      <c r="F148" s="31" t="s">
        <v>230</v>
      </c>
      <c r="G148" s="30" t="s">
        <v>26</v>
      </c>
      <c r="H148" s="30" t="s">
        <v>27</v>
      </c>
      <c r="I148" s="30">
        <v>3</v>
      </c>
      <c r="J148" s="30"/>
      <c r="K148" s="30"/>
      <c r="L148" s="32">
        <v>106.48502000000001</v>
      </c>
      <c r="M148" s="32">
        <v>10.396739999999999</v>
      </c>
      <c r="N148" s="32" t="s">
        <v>79</v>
      </c>
      <c r="O148" s="33" t="s">
        <v>29</v>
      </c>
      <c r="P148" s="30" t="s">
        <v>30</v>
      </c>
      <c r="Q148" s="30" t="s">
        <v>31</v>
      </c>
      <c r="R148" s="34" t="s">
        <v>32</v>
      </c>
      <c r="S148" s="35">
        <v>48020</v>
      </c>
      <c r="T148" s="36" t="s">
        <v>111</v>
      </c>
      <c r="U148" s="30" t="s">
        <v>111</v>
      </c>
      <c r="V148" s="37" t="e">
        <v>#N/A</v>
      </c>
      <c r="W148" s="31" t="s">
        <v>33</v>
      </c>
      <c r="X148" s="37"/>
      <c r="Y148" s="37">
        <f>COUNTIF(F:F,F148)</f>
        <v>1</v>
      </c>
      <c r="Z148" s="21" t="s">
        <v>1099</v>
      </c>
      <c r="AA148" s="21" t="s">
        <v>111</v>
      </c>
      <c r="AB148" s="21" t="s">
        <v>1120</v>
      </c>
    </row>
    <row r="149" spans="1:28" ht="13.9" customHeight="1" x14ac:dyDescent="0.3">
      <c r="A149" s="30" t="s">
        <v>20</v>
      </c>
      <c r="B149" s="30" t="s">
        <v>21</v>
      </c>
      <c r="C149" s="30" t="s">
        <v>22</v>
      </c>
      <c r="D149" s="30" t="s">
        <v>23</v>
      </c>
      <c r="E149" s="30" t="s">
        <v>231</v>
      </c>
      <c r="F149" s="31" t="s">
        <v>231</v>
      </c>
      <c r="G149" s="30" t="s">
        <v>26</v>
      </c>
      <c r="H149" s="30" t="s">
        <v>36</v>
      </c>
      <c r="I149" s="30">
        <v>3</v>
      </c>
      <c r="J149" s="30" t="s">
        <v>37</v>
      </c>
      <c r="K149" s="30" t="s">
        <v>38</v>
      </c>
      <c r="L149" s="32">
        <v>106.53482</v>
      </c>
      <c r="M149" s="32">
        <v>10.388210000000001</v>
      </c>
      <c r="N149" s="32" t="s">
        <v>79</v>
      </c>
      <c r="O149" s="33" t="s">
        <v>29</v>
      </c>
      <c r="P149" s="30" t="s">
        <v>39</v>
      </c>
      <c r="Q149" s="30" t="s">
        <v>31</v>
      </c>
      <c r="R149" s="34" t="s">
        <v>32</v>
      </c>
      <c r="S149" s="35">
        <v>48020</v>
      </c>
      <c r="T149" s="36" t="s">
        <v>226</v>
      </c>
      <c r="U149" s="30" t="s">
        <v>111</v>
      </c>
      <c r="V149" s="37" t="e">
        <v>#N/A</v>
      </c>
      <c r="W149" s="31" t="s">
        <v>33</v>
      </c>
      <c r="X149" s="37"/>
      <c r="Y149" s="37">
        <f>COUNTIF(F:F,F149)</f>
        <v>1</v>
      </c>
      <c r="Z149" s="21" t="s">
        <v>1099</v>
      </c>
      <c r="AA149" s="21" t="s">
        <v>111</v>
      </c>
      <c r="AB149" s="21" t="s">
        <v>1120</v>
      </c>
    </row>
    <row r="150" spans="1:28" ht="13.9" customHeight="1" x14ac:dyDescent="0.3">
      <c r="A150" s="30" t="s">
        <v>20</v>
      </c>
      <c r="B150" s="30" t="s">
        <v>21</v>
      </c>
      <c r="C150" s="30" t="s">
        <v>22</v>
      </c>
      <c r="D150" s="30" t="s">
        <v>23</v>
      </c>
      <c r="E150" s="30" t="s">
        <v>232</v>
      </c>
      <c r="F150" s="31" t="s">
        <v>232</v>
      </c>
      <c r="G150" s="30" t="s">
        <v>26</v>
      </c>
      <c r="H150" s="30" t="s">
        <v>36</v>
      </c>
      <c r="I150" s="30">
        <v>3</v>
      </c>
      <c r="J150" s="30" t="s">
        <v>37</v>
      </c>
      <c r="K150" s="30" t="s">
        <v>38</v>
      </c>
      <c r="L150" s="32">
        <v>106.51353</v>
      </c>
      <c r="M150" s="32">
        <v>10.376569999999999</v>
      </c>
      <c r="N150" s="32" t="s">
        <v>79</v>
      </c>
      <c r="O150" s="33" t="s">
        <v>29</v>
      </c>
      <c r="P150" s="30" t="s">
        <v>39</v>
      </c>
      <c r="Q150" s="30" t="s">
        <v>31</v>
      </c>
      <c r="R150" s="34" t="s">
        <v>32</v>
      </c>
      <c r="S150" s="35">
        <v>48020</v>
      </c>
      <c r="T150" s="36" t="s">
        <v>226</v>
      </c>
      <c r="U150" s="30" t="s">
        <v>111</v>
      </c>
      <c r="V150" s="37" t="e">
        <v>#N/A</v>
      </c>
      <c r="W150" s="31" t="s">
        <v>33</v>
      </c>
      <c r="X150" s="37"/>
      <c r="Y150" s="37">
        <f>COUNTIF(F:F,F150)</f>
        <v>1</v>
      </c>
      <c r="Z150" s="21" t="s">
        <v>1099</v>
      </c>
      <c r="AA150" s="21" t="s">
        <v>111</v>
      </c>
      <c r="AB150" s="21" t="s">
        <v>1120</v>
      </c>
    </row>
    <row r="151" spans="1:28" ht="13.9" customHeight="1" x14ac:dyDescent="0.3">
      <c r="A151" s="30" t="s">
        <v>20</v>
      </c>
      <c r="B151" s="30" t="s">
        <v>21</v>
      </c>
      <c r="C151" s="30" t="s">
        <v>22</v>
      </c>
      <c r="D151" s="30" t="s">
        <v>23</v>
      </c>
      <c r="E151" s="30" t="s">
        <v>233</v>
      </c>
      <c r="F151" s="31" t="s">
        <v>233</v>
      </c>
      <c r="G151" s="30" t="s">
        <v>26</v>
      </c>
      <c r="H151" s="30" t="s">
        <v>27</v>
      </c>
      <c r="I151" s="30">
        <v>3</v>
      </c>
      <c r="J151" s="30"/>
      <c r="K151" s="30"/>
      <c r="L151" s="32">
        <v>106.428</v>
      </c>
      <c r="M151" s="32">
        <v>10.39015</v>
      </c>
      <c r="N151" s="32" t="s">
        <v>79</v>
      </c>
      <c r="O151" s="33" t="s">
        <v>29</v>
      </c>
      <c r="P151" s="30" t="s">
        <v>30</v>
      </c>
      <c r="Q151" s="30" t="s">
        <v>31</v>
      </c>
      <c r="R151" s="34" t="s">
        <v>32</v>
      </c>
      <c r="S151" s="35">
        <v>48020</v>
      </c>
      <c r="T151" s="36" t="s">
        <v>111</v>
      </c>
      <c r="U151" s="30" t="s">
        <v>111</v>
      </c>
      <c r="V151" s="37" t="e">
        <v>#N/A</v>
      </c>
      <c r="W151" s="31" t="s">
        <v>33</v>
      </c>
      <c r="X151" s="37"/>
      <c r="Y151" s="37">
        <f>COUNTIF(F:F,F151)</f>
        <v>1</v>
      </c>
      <c r="Z151" s="21" t="s">
        <v>1099</v>
      </c>
      <c r="AA151" s="21" t="s">
        <v>111</v>
      </c>
      <c r="AB151" s="21" t="s">
        <v>1120</v>
      </c>
    </row>
    <row r="152" spans="1:28" ht="13.9" customHeight="1" x14ac:dyDescent="0.3">
      <c r="A152" s="30" t="s">
        <v>20</v>
      </c>
      <c r="B152" s="30" t="s">
        <v>21</v>
      </c>
      <c r="C152" s="30" t="s">
        <v>22</v>
      </c>
      <c r="D152" s="30" t="s">
        <v>23</v>
      </c>
      <c r="E152" s="30" t="s">
        <v>225</v>
      </c>
      <c r="F152" s="31" t="s">
        <v>225</v>
      </c>
      <c r="G152" s="30" t="s">
        <v>26</v>
      </c>
      <c r="H152" s="30" t="s">
        <v>27</v>
      </c>
      <c r="I152" s="30">
        <v>3</v>
      </c>
      <c r="J152" s="30" t="s">
        <v>37</v>
      </c>
      <c r="K152" s="30" t="s">
        <v>38</v>
      </c>
      <c r="L152" s="32">
        <v>106.51257649999999</v>
      </c>
      <c r="M152" s="32">
        <v>10.357574899999999</v>
      </c>
      <c r="N152" s="32" t="s">
        <v>79</v>
      </c>
      <c r="O152" s="33" t="s">
        <v>29</v>
      </c>
      <c r="P152" s="30" t="s">
        <v>41</v>
      </c>
      <c r="Q152" s="30" t="s">
        <v>31</v>
      </c>
      <c r="R152" s="34" t="s">
        <v>32</v>
      </c>
      <c r="S152" s="35">
        <v>48020</v>
      </c>
      <c r="T152" s="36" t="s">
        <v>226</v>
      </c>
      <c r="U152" s="30" t="s">
        <v>111</v>
      </c>
      <c r="V152" s="37" t="e">
        <v>#N/A</v>
      </c>
      <c r="W152" s="31" t="s">
        <v>33</v>
      </c>
      <c r="X152" s="37"/>
      <c r="Y152" s="37">
        <f>COUNTIF(F:F,F152)</f>
        <v>1</v>
      </c>
      <c r="Z152" s="21" t="s">
        <v>1099</v>
      </c>
      <c r="AA152" s="21" t="s">
        <v>111</v>
      </c>
      <c r="AB152" s="21" t="s">
        <v>1120</v>
      </c>
    </row>
    <row r="153" spans="1:28" ht="13.9" customHeight="1" x14ac:dyDescent="0.3">
      <c r="A153" s="30" t="s">
        <v>20</v>
      </c>
      <c r="B153" s="30" t="s">
        <v>21</v>
      </c>
      <c r="C153" s="30" t="s">
        <v>22</v>
      </c>
      <c r="D153" s="30" t="s">
        <v>23</v>
      </c>
      <c r="E153" s="30" t="s">
        <v>236</v>
      </c>
      <c r="F153" s="31" t="s">
        <v>236</v>
      </c>
      <c r="G153" s="30" t="s">
        <v>26</v>
      </c>
      <c r="H153" s="30" t="s">
        <v>27</v>
      </c>
      <c r="I153" s="30">
        <v>3</v>
      </c>
      <c r="J153" s="30" t="s">
        <v>37</v>
      </c>
      <c r="K153" s="30" t="s">
        <v>38</v>
      </c>
      <c r="L153" s="32">
        <v>106.42883</v>
      </c>
      <c r="M153" s="32">
        <v>10.37533</v>
      </c>
      <c r="N153" s="32" t="s">
        <v>79</v>
      </c>
      <c r="O153" s="33" t="s">
        <v>29</v>
      </c>
      <c r="P153" s="30" t="s">
        <v>41</v>
      </c>
      <c r="Q153" s="30" t="s">
        <v>31</v>
      </c>
      <c r="R153" s="34" t="s">
        <v>32</v>
      </c>
      <c r="S153" s="35">
        <v>48020</v>
      </c>
      <c r="T153" s="36" t="s">
        <v>111</v>
      </c>
      <c r="U153" s="30" t="s">
        <v>111</v>
      </c>
      <c r="V153" s="37" t="e">
        <v>#N/A</v>
      </c>
      <c r="W153" s="31" t="s">
        <v>33</v>
      </c>
      <c r="X153" s="37"/>
      <c r="Y153" s="37">
        <f>COUNTIF(F:F,F153)</f>
        <v>1</v>
      </c>
      <c r="Z153" s="21" t="s">
        <v>1099</v>
      </c>
      <c r="AA153" s="21" t="s">
        <v>111</v>
      </c>
      <c r="AB153" s="21" t="s">
        <v>1120</v>
      </c>
    </row>
    <row r="154" spans="1:28" ht="13.9" customHeight="1" x14ac:dyDescent="0.3">
      <c r="A154" s="30" t="s">
        <v>20</v>
      </c>
      <c r="B154" s="30" t="s">
        <v>21</v>
      </c>
      <c r="C154" s="30" t="s">
        <v>22</v>
      </c>
      <c r="D154" s="30" t="s">
        <v>23</v>
      </c>
      <c r="E154" s="30" t="s">
        <v>237</v>
      </c>
      <c r="F154" s="31" t="s">
        <v>237</v>
      </c>
      <c r="G154" s="30" t="s">
        <v>26</v>
      </c>
      <c r="H154" s="30" t="s">
        <v>27</v>
      </c>
      <c r="I154" s="30">
        <v>3</v>
      </c>
      <c r="J154" s="30" t="s">
        <v>37</v>
      </c>
      <c r="K154" s="30" t="s">
        <v>38</v>
      </c>
      <c r="L154" s="32">
        <v>106.48909</v>
      </c>
      <c r="M154" s="32">
        <v>10.36265</v>
      </c>
      <c r="N154" s="32" t="s">
        <v>79</v>
      </c>
      <c r="O154" s="33" t="s">
        <v>29</v>
      </c>
      <c r="P154" s="30" t="s">
        <v>41</v>
      </c>
      <c r="Q154" s="30" t="s">
        <v>31</v>
      </c>
      <c r="R154" s="34" t="s">
        <v>32</v>
      </c>
      <c r="S154" s="35">
        <v>48020</v>
      </c>
      <c r="T154" s="36" t="s">
        <v>111</v>
      </c>
      <c r="U154" s="30" t="s">
        <v>111</v>
      </c>
      <c r="V154" s="37" t="e">
        <v>#N/A</v>
      </c>
      <c r="W154" s="31" t="s">
        <v>33</v>
      </c>
      <c r="X154" s="37"/>
      <c r="Y154" s="37">
        <f>COUNTIF(F:F,F154)</f>
        <v>1</v>
      </c>
      <c r="Z154" s="21" t="s">
        <v>1099</v>
      </c>
      <c r="AA154" s="21" t="s">
        <v>111</v>
      </c>
      <c r="AB154" s="21" t="s">
        <v>1120</v>
      </c>
    </row>
    <row r="155" spans="1:28" ht="13.9" customHeight="1" x14ac:dyDescent="0.3">
      <c r="A155" s="30" t="s">
        <v>20</v>
      </c>
      <c r="B155" s="30" t="s">
        <v>21</v>
      </c>
      <c r="C155" s="30" t="s">
        <v>22</v>
      </c>
      <c r="D155" s="30" t="s">
        <v>23</v>
      </c>
      <c r="E155" s="30" t="s">
        <v>238</v>
      </c>
      <c r="F155" s="31" t="s">
        <v>238</v>
      </c>
      <c r="G155" s="30" t="s">
        <v>26</v>
      </c>
      <c r="H155" s="30" t="s">
        <v>27</v>
      </c>
      <c r="I155" s="30">
        <v>3</v>
      </c>
      <c r="J155" s="30"/>
      <c r="K155" s="30"/>
      <c r="L155" s="32">
        <v>106.46913000000001</v>
      </c>
      <c r="M155" s="32">
        <v>10.37834</v>
      </c>
      <c r="N155" s="32" t="s">
        <v>79</v>
      </c>
      <c r="O155" s="33" t="s">
        <v>29</v>
      </c>
      <c r="P155" s="30" t="s">
        <v>30</v>
      </c>
      <c r="Q155" s="30" t="s">
        <v>31</v>
      </c>
      <c r="R155" s="34" t="s">
        <v>32</v>
      </c>
      <c r="S155" s="35">
        <v>48020</v>
      </c>
      <c r="T155" s="36" t="s">
        <v>111</v>
      </c>
      <c r="U155" s="30" t="s">
        <v>111</v>
      </c>
      <c r="V155" s="37" t="e">
        <v>#N/A</v>
      </c>
      <c r="W155" s="31" t="s">
        <v>33</v>
      </c>
      <c r="X155" s="37"/>
      <c r="Y155" s="37">
        <f>COUNTIF(F:F,F155)</f>
        <v>1</v>
      </c>
      <c r="Z155" s="21" t="s">
        <v>1099</v>
      </c>
      <c r="AA155" s="21" t="s">
        <v>111</v>
      </c>
      <c r="AB155" s="21" t="s">
        <v>1120</v>
      </c>
    </row>
    <row r="156" spans="1:28" ht="13.9" customHeight="1" x14ac:dyDescent="0.3">
      <c r="A156" s="30" t="s">
        <v>20</v>
      </c>
      <c r="B156" s="30" t="s">
        <v>21</v>
      </c>
      <c r="C156" s="30" t="s">
        <v>22</v>
      </c>
      <c r="D156" s="30" t="s">
        <v>23</v>
      </c>
      <c r="E156" s="30" t="s">
        <v>239</v>
      </c>
      <c r="F156" s="31" t="s">
        <v>239</v>
      </c>
      <c r="G156" s="30" t="s">
        <v>26</v>
      </c>
      <c r="H156" s="30" t="s">
        <v>27</v>
      </c>
      <c r="I156" s="30">
        <v>3</v>
      </c>
      <c r="J156" s="30"/>
      <c r="K156" s="30"/>
      <c r="L156" s="32">
        <v>106.41088999999999</v>
      </c>
      <c r="M156" s="32">
        <v>10.38401</v>
      </c>
      <c r="N156" s="32" t="s">
        <v>79</v>
      </c>
      <c r="O156" s="33" t="s">
        <v>29</v>
      </c>
      <c r="P156" s="30" t="s">
        <v>30</v>
      </c>
      <c r="Q156" s="30" t="s">
        <v>31</v>
      </c>
      <c r="R156" s="34" t="s">
        <v>32</v>
      </c>
      <c r="S156" s="35">
        <v>48020</v>
      </c>
      <c r="T156" s="36" t="s">
        <v>111</v>
      </c>
      <c r="U156" s="30" t="s">
        <v>111</v>
      </c>
      <c r="V156" s="37" t="e">
        <v>#N/A</v>
      </c>
      <c r="W156" s="31" t="s">
        <v>33</v>
      </c>
      <c r="X156" s="37"/>
      <c r="Y156" s="37">
        <f>COUNTIF(F:F,F156)</f>
        <v>1</v>
      </c>
      <c r="Z156" s="21" t="s">
        <v>1099</v>
      </c>
      <c r="AA156" s="21" t="s">
        <v>111</v>
      </c>
      <c r="AB156" s="21" t="s">
        <v>1120</v>
      </c>
    </row>
    <row r="157" spans="1:28" ht="13.9" customHeight="1" x14ac:dyDescent="0.3">
      <c r="A157" s="30" t="s">
        <v>20</v>
      </c>
      <c r="B157" s="30" t="s">
        <v>21</v>
      </c>
      <c r="C157" s="30" t="s">
        <v>22</v>
      </c>
      <c r="D157" s="30" t="s">
        <v>23</v>
      </c>
      <c r="E157" s="30" t="s">
        <v>110</v>
      </c>
      <c r="F157" s="31" t="s">
        <v>112</v>
      </c>
      <c r="G157" s="30" t="s">
        <v>26</v>
      </c>
      <c r="H157" s="30" t="s">
        <v>27</v>
      </c>
      <c r="I157" s="30">
        <v>3</v>
      </c>
      <c r="J157" s="30"/>
      <c r="K157" s="30"/>
      <c r="L157" s="32">
        <v>106.4345</v>
      </c>
      <c r="M157" s="32">
        <v>10.407539999999999</v>
      </c>
      <c r="N157" s="32" t="s">
        <v>79</v>
      </c>
      <c r="O157" s="33" t="s">
        <v>29</v>
      </c>
      <c r="P157" s="30" t="s">
        <v>30</v>
      </c>
      <c r="Q157" s="30" t="s">
        <v>31</v>
      </c>
      <c r="R157" s="34" t="s">
        <v>32</v>
      </c>
      <c r="S157" s="35">
        <v>48020</v>
      </c>
      <c r="T157" s="36" t="s">
        <v>111</v>
      </c>
      <c r="U157" s="30" t="s">
        <v>111</v>
      </c>
      <c r="V157" s="37" t="s">
        <v>49</v>
      </c>
      <c r="W157" s="31" t="s">
        <v>50</v>
      </c>
      <c r="X157" s="37" t="s">
        <v>52</v>
      </c>
      <c r="Y157" s="37">
        <f>COUNTIF(F:F,F157)</f>
        <v>4</v>
      </c>
      <c r="Z157" s="21" t="s">
        <v>1099</v>
      </c>
      <c r="AA157" s="21" t="s">
        <v>111</v>
      </c>
      <c r="AB157" s="21" t="s">
        <v>1120</v>
      </c>
    </row>
    <row r="158" spans="1:28" ht="13.9" customHeight="1" x14ac:dyDescent="0.3">
      <c r="A158" s="30" t="s">
        <v>20</v>
      </c>
      <c r="B158" s="30" t="s">
        <v>21</v>
      </c>
      <c r="C158" s="30" t="s">
        <v>22</v>
      </c>
      <c r="D158" s="30" t="s">
        <v>23</v>
      </c>
      <c r="E158" s="30" t="s">
        <v>112</v>
      </c>
      <c r="F158" s="31" t="s">
        <v>112</v>
      </c>
      <c r="G158" s="30" t="s">
        <v>26</v>
      </c>
      <c r="H158" s="30" t="s">
        <v>27</v>
      </c>
      <c r="I158" s="30">
        <v>3</v>
      </c>
      <c r="J158" s="30"/>
      <c r="K158" s="30"/>
      <c r="L158" s="32">
        <v>106.44213000000001</v>
      </c>
      <c r="M158" s="32">
        <v>10.3919</v>
      </c>
      <c r="N158" s="32" t="s">
        <v>79</v>
      </c>
      <c r="O158" s="33" t="s">
        <v>29</v>
      </c>
      <c r="P158" s="30" t="s">
        <v>30</v>
      </c>
      <c r="Q158" s="30" t="s">
        <v>31</v>
      </c>
      <c r="R158" s="34" t="s">
        <v>32</v>
      </c>
      <c r="S158" s="35">
        <v>48020</v>
      </c>
      <c r="T158" s="36" t="s">
        <v>111</v>
      </c>
      <c r="U158" s="30" t="s">
        <v>111</v>
      </c>
      <c r="V158" s="37" t="e">
        <v>#N/A</v>
      </c>
      <c r="W158" s="31" t="s">
        <v>33</v>
      </c>
      <c r="X158" s="37" t="s">
        <v>42</v>
      </c>
      <c r="Y158" s="37">
        <f>COUNTIF(F:F,F158)</f>
        <v>4</v>
      </c>
      <c r="Z158" s="21" t="s">
        <v>1099</v>
      </c>
      <c r="AA158" s="21" t="s">
        <v>111</v>
      </c>
      <c r="AB158" s="21" t="s">
        <v>1120</v>
      </c>
    </row>
    <row r="159" spans="1:28" ht="13.9" customHeight="1" x14ac:dyDescent="0.3">
      <c r="A159" s="30" t="s">
        <v>20</v>
      </c>
      <c r="B159" s="30" t="s">
        <v>21</v>
      </c>
      <c r="C159" s="30" t="s">
        <v>22</v>
      </c>
      <c r="D159" s="30" t="s">
        <v>23</v>
      </c>
      <c r="E159" s="30" t="s">
        <v>136</v>
      </c>
      <c r="F159" s="31" t="s">
        <v>112</v>
      </c>
      <c r="G159" s="30" t="s">
        <v>26</v>
      </c>
      <c r="H159" s="30" t="s">
        <v>27</v>
      </c>
      <c r="I159" s="30">
        <v>3</v>
      </c>
      <c r="J159" s="30"/>
      <c r="K159" s="30"/>
      <c r="L159" s="32">
        <v>106.46892</v>
      </c>
      <c r="M159" s="32">
        <v>10.39371</v>
      </c>
      <c r="N159" s="32" t="s">
        <v>79</v>
      </c>
      <c r="O159" s="33" t="s">
        <v>29</v>
      </c>
      <c r="P159" s="30" t="s">
        <v>30</v>
      </c>
      <c r="Q159" s="30" t="s">
        <v>31</v>
      </c>
      <c r="R159" s="34" t="s">
        <v>32</v>
      </c>
      <c r="S159" s="35">
        <v>48020</v>
      </c>
      <c r="T159" s="36" t="s">
        <v>111</v>
      </c>
      <c r="U159" s="30" t="s">
        <v>111</v>
      </c>
      <c r="V159" s="37" t="s">
        <v>49</v>
      </c>
      <c r="W159" s="31" t="s">
        <v>50</v>
      </c>
      <c r="X159" s="37" t="s">
        <v>52</v>
      </c>
      <c r="Y159" s="37">
        <f>COUNTIF(F:F,F159)</f>
        <v>4</v>
      </c>
      <c r="Z159" s="21" t="s">
        <v>1099</v>
      </c>
      <c r="AA159" s="21" t="s">
        <v>111</v>
      </c>
      <c r="AB159" s="21" t="s">
        <v>1120</v>
      </c>
    </row>
    <row r="160" spans="1:28" ht="13.9" customHeight="1" x14ac:dyDescent="0.3">
      <c r="A160" s="30" t="s">
        <v>20</v>
      </c>
      <c r="B160" s="30" t="s">
        <v>21</v>
      </c>
      <c r="C160" s="30" t="s">
        <v>22</v>
      </c>
      <c r="D160" s="30" t="s">
        <v>23</v>
      </c>
      <c r="E160" s="30" t="s">
        <v>263</v>
      </c>
      <c r="F160" s="31" t="s">
        <v>112</v>
      </c>
      <c r="G160" s="30" t="s">
        <v>26</v>
      </c>
      <c r="H160" s="30" t="s">
        <v>27</v>
      </c>
      <c r="I160" s="30">
        <v>3</v>
      </c>
      <c r="J160" s="30"/>
      <c r="K160" s="30"/>
      <c r="L160" s="32">
        <v>106.41509000000001</v>
      </c>
      <c r="M160" s="32">
        <v>10.40212</v>
      </c>
      <c r="N160" s="32" t="s">
        <v>79</v>
      </c>
      <c r="O160" s="33" t="s">
        <v>29</v>
      </c>
      <c r="P160" s="30" t="s">
        <v>30</v>
      </c>
      <c r="Q160" s="30" t="s">
        <v>31</v>
      </c>
      <c r="R160" s="34" t="s">
        <v>32</v>
      </c>
      <c r="S160" s="35">
        <v>48020</v>
      </c>
      <c r="T160" s="36" t="s">
        <v>80</v>
      </c>
      <c r="U160" s="30" t="s">
        <v>111</v>
      </c>
      <c r="V160" s="37" t="e">
        <v>#N/A</v>
      </c>
      <c r="W160" s="31" t="s">
        <v>63</v>
      </c>
      <c r="X160" s="37" t="s">
        <v>52</v>
      </c>
      <c r="Y160" s="37">
        <f>COUNTIF(F:F,F160)</f>
        <v>4</v>
      </c>
      <c r="Z160" s="21" t="s">
        <v>1099</v>
      </c>
      <c r="AA160" s="21" t="s">
        <v>111</v>
      </c>
      <c r="AB160" s="21" t="s">
        <v>1120</v>
      </c>
    </row>
    <row r="161" spans="1:28" ht="13.9" customHeight="1" x14ac:dyDescent="0.3">
      <c r="A161" s="30" t="s">
        <v>20</v>
      </c>
      <c r="B161" s="30" t="s">
        <v>21</v>
      </c>
      <c r="C161" s="30" t="s">
        <v>22</v>
      </c>
      <c r="D161" s="30" t="s">
        <v>23</v>
      </c>
      <c r="E161" s="30" t="s">
        <v>240</v>
      </c>
      <c r="F161" s="31" t="s">
        <v>240</v>
      </c>
      <c r="G161" s="30" t="s">
        <v>26</v>
      </c>
      <c r="H161" s="30" t="s">
        <v>27</v>
      </c>
      <c r="I161" s="30">
        <v>3</v>
      </c>
      <c r="J161" s="30"/>
      <c r="K161" s="30"/>
      <c r="L161" s="32">
        <v>106.4436748</v>
      </c>
      <c r="M161" s="32">
        <v>10.379390600000001</v>
      </c>
      <c r="N161" s="32" t="s">
        <v>79</v>
      </c>
      <c r="O161" s="33" t="s">
        <v>29</v>
      </c>
      <c r="P161" s="30" t="s">
        <v>30</v>
      </c>
      <c r="Q161" s="30" t="s">
        <v>31</v>
      </c>
      <c r="R161" s="34" t="s">
        <v>32</v>
      </c>
      <c r="S161" s="35">
        <v>48020</v>
      </c>
      <c r="T161" s="36" t="s">
        <v>111</v>
      </c>
      <c r="U161" s="30" t="s">
        <v>111</v>
      </c>
      <c r="V161" s="37" t="e">
        <v>#N/A</v>
      </c>
      <c r="W161" s="31" t="s">
        <v>33</v>
      </c>
      <c r="X161" s="37"/>
      <c r="Y161" s="37">
        <f>COUNTIF(F:F,F161)</f>
        <v>1</v>
      </c>
      <c r="Z161" s="21" t="s">
        <v>1099</v>
      </c>
      <c r="AA161" s="21" t="s">
        <v>111</v>
      </c>
      <c r="AB161" s="21" t="s">
        <v>1120</v>
      </c>
    </row>
    <row r="162" spans="1:28" ht="13.9" customHeight="1" x14ac:dyDescent="0.3">
      <c r="A162" s="30" t="s">
        <v>20</v>
      </c>
      <c r="B162" s="30" t="s">
        <v>21</v>
      </c>
      <c r="C162" s="30" t="s">
        <v>22</v>
      </c>
      <c r="D162" s="30" t="s">
        <v>23</v>
      </c>
      <c r="E162" s="30" t="s">
        <v>244</v>
      </c>
      <c r="F162" s="31" t="s">
        <v>244</v>
      </c>
      <c r="G162" s="30" t="s">
        <v>26</v>
      </c>
      <c r="H162" s="30" t="s">
        <v>27</v>
      </c>
      <c r="I162" s="30">
        <v>3</v>
      </c>
      <c r="J162" s="30"/>
      <c r="K162" s="30"/>
      <c r="L162" s="32">
        <v>106.50283</v>
      </c>
      <c r="M162" s="32">
        <v>10.406677999999999</v>
      </c>
      <c r="N162" s="32" t="s">
        <v>79</v>
      </c>
      <c r="O162" s="33" t="s">
        <v>29</v>
      </c>
      <c r="P162" s="30" t="s">
        <v>30</v>
      </c>
      <c r="Q162" s="30" t="s">
        <v>31</v>
      </c>
      <c r="R162" s="34" t="s">
        <v>32</v>
      </c>
      <c r="S162" s="35">
        <v>48020</v>
      </c>
      <c r="T162" s="36" t="s">
        <v>226</v>
      </c>
      <c r="U162" s="30" t="s">
        <v>111</v>
      </c>
      <c r="V162" s="37" t="e">
        <v>#N/A</v>
      </c>
      <c r="W162" s="31" t="s">
        <v>33</v>
      </c>
      <c r="X162" s="37"/>
      <c r="Y162" s="37">
        <f>COUNTIF(F:F,F162)</f>
        <v>1</v>
      </c>
      <c r="Z162" s="21" t="s">
        <v>1099</v>
      </c>
      <c r="AA162" s="21" t="s">
        <v>111</v>
      </c>
      <c r="AB162" s="21" t="s">
        <v>1120</v>
      </c>
    </row>
    <row r="163" spans="1:28" ht="13.9" customHeight="1" x14ac:dyDescent="0.3">
      <c r="A163" s="30" t="s">
        <v>20</v>
      </c>
      <c r="B163" s="30" t="s">
        <v>21</v>
      </c>
      <c r="C163" s="30" t="s">
        <v>22</v>
      </c>
      <c r="D163" s="30" t="s">
        <v>23</v>
      </c>
      <c r="E163" s="30" t="s">
        <v>245</v>
      </c>
      <c r="F163" s="31" t="s">
        <v>245</v>
      </c>
      <c r="G163" s="30" t="s">
        <v>26</v>
      </c>
      <c r="H163" s="30" t="s">
        <v>27</v>
      </c>
      <c r="I163" s="30">
        <v>3</v>
      </c>
      <c r="J163" s="30"/>
      <c r="K163" s="30"/>
      <c r="L163" s="32">
        <v>106.52760000000001</v>
      </c>
      <c r="M163" s="32">
        <v>10.3703</v>
      </c>
      <c r="N163" s="32" t="s">
        <v>79</v>
      </c>
      <c r="O163" s="33" t="s">
        <v>29</v>
      </c>
      <c r="P163" s="30" t="s">
        <v>30</v>
      </c>
      <c r="Q163" s="30" t="s">
        <v>31</v>
      </c>
      <c r="R163" s="34" t="s">
        <v>32</v>
      </c>
      <c r="S163" s="35">
        <v>48020</v>
      </c>
      <c r="T163" s="36" t="s">
        <v>226</v>
      </c>
      <c r="U163" s="30" t="s">
        <v>111</v>
      </c>
      <c r="V163" s="37" t="e">
        <v>#N/A</v>
      </c>
      <c r="W163" s="31" t="s">
        <v>33</v>
      </c>
      <c r="X163" s="37"/>
      <c r="Y163" s="37">
        <f>COUNTIF(F:F,F163)</f>
        <v>1</v>
      </c>
      <c r="Z163" s="21" t="s">
        <v>1099</v>
      </c>
      <c r="AA163" s="21" t="s">
        <v>111</v>
      </c>
      <c r="AB163" s="21" t="s">
        <v>1120</v>
      </c>
    </row>
    <row r="164" spans="1:28" ht="13.9" customHeight="1" x14ac:dyDescent="0.3">
      <c r="A164" s="30" t="s">
        <v>20</v>
      </c>
      <c r="B164" s="30" t="s">
        <v>21</v>
      </c>
      <c r="C164" s="30" t="s">
        <v>22</v>
      </c>
      <c r="D164" s="30" t="s">
        <v>23</v>
      </c>
      <c r="E164" s="30" t="s">
        <v>250</v>
      </c>
      <c r="F164" s="31" t="s">
        <v>250</v>
      </c>
      <c r="G164" s="30" t="s">
        <v>26</v>
      </c>
      <c r="H164" s="30" t="s">
        <v>27</v>
      </c>
      <c r="I164" s="30">
        <v>3</v>
      </c>
      <c r="J164" s="30" t="s">
        <v>37</v>
      </c>
      <c r="K164" s="30" t="s">
        <v>38</v>
      </c>
      <c r="L164" s="32">
        <v>106.3528774</v>
      </c>
      <c r="M164" s="32">
        <v>10.4171472</v>
      </c>
      <c r="N164" s="32" t="s">
        <v>79</v>
      </c>
      <c r="O164" s="33" t="s">
        <v>29</v>
      </c>
      <c r="P164" s="30" t="s">
        <v>41</v>
      </c>
      <c r="Q164" s="30" t="s">
        <v>31</v>
      </c>
      <c r="R164" s="34" t="s">
        <v>32</v>
      </c>
      <c r="S164" s="35">
        <v>48020</v>
      </c>
      <c r="T164" s="36" t="s">
        <v>80</v>
      </c>
      <c r="U164" s="30" t="s">
        <v>80</v>
      </c>
      <c r="V164" s="37" t="e">
        <v>#N/A</v>
      </c>
      <c r="W164" s="31" t="s">
        <v>33</v>
      </c>
      <c r="X164" s="37"/>
      <c r="Y164" s="37">
        <f>COUNTIF(F:F,F164)</f>
        <v>1</v>
      </c>
      <c r="Z164" s="21" t="s">
        <v>1099</v>
      </c>
      <c r="AA164" s="21" t="s">
        <v>80</v>
      </c>
      <c r="AB164" s="21" t="s">
        <v>1120</v>
      </c>
    </row>
    <row r="165" spans="1:28" ht="13.9" customHeight="1" x14ac:dyDescent="0.3">
      <c r="A165" s="30" t="s">
        <v>20</v>
      </c>
      <c r="B165" s="30" t="s">
        <v>21</v>
      </c>
      <c r="C165" s="30" t="s">
        <v>22</v>
      </c>
      <c r="D165" s="30" t="s">
        <v>23</v>
      </c>
      <c r="E165" s="30" t="s">
        <v>251</v>
      </c>
      <c r="F165" s="31" t="s">
        <v>251</v>
      </c>
      <c r="G165" s="30" t="s">
        <v>26</v>
      </c>
      <c r="H165" s="30" t="s">
        <v>36</v>
      </c>
      <c r="I165" s="30">
        <v>3</v>
      </c>
      <c r="J165" s="30" t="s">
        <v>37</v>
      </c>
      <c r="K165" s="30" t="s">
        <v>38</v>
      </c>
      <c r="L165" s="32">
        <v>106.36767999999999</v>
      </c>
      <c r="M165" s="32">
        <v>10.439819999999999</v>
      </c>
      <c r="N165" s="32" t="s">
        <v>79</v>
      </c>
      <c r="O165" s="33" t="s">
        <v>29</v>
      </c>
      <c r="P165" s="30" t="s">
        <v>39</v>
      </c>
      <c r="Q165" s="30" t="s">
        <v>31</v>
      </c>
      <c r="R165" s="34" t="s">
        <v>32</v>
      </c>
      <c r="S165" s="35">
        <v>48020</v>
      </c>
      <c r="T165" s="36" t="s">
        <v>80</v>
      </c>
      <c r="U165" s="30" t="s">
        <v>80</v>
      </c>
      <c r="V165" s="37" t="e">
        <v>#N/A</v>
      </c>
      <c r="W165" s="31" t="s">
        <v>33</v>
      </c>
      <c r="X165" s="37"/>
      <c r="Y165" s="37">
        <f>COUNTIF(F:F,F165)</f>
        <v>1</v>
      </c>
      <c r="Z165" s="21" t="s">
        <v>1099</v>
      </c>
      <c r="AA165" s="21" t="s">
        <v>80</v>
      </c>
      <c r="AB165" s="21" t="s">
        <v>1120</v>
      </c>
    </row>
    <row r="166" spans="1:28" ht="13.9" customHeight="1" x14ac:dyDescent="0.3">
      <c r="A166" s="30" t="s">
        <v>20</v>
      </c>
      <c r="B166" s="30" t="s">
        <v>21</v>
      </c>
      <c r="C166" s="30" t="s">
        <v>22</v>
      </c>
      <c r="D166" s="30" t="s">
        <v>23</v>
      </c>
      <c r="E166" s="30" t="s">
        <v>253</v>
      </c>
      <c r="F166" s="31" t="s">
        <v>253</v>
      </c>
      <c r="G166" s="30" t="s">
        <v>26</v>
      </c>
      <c r="H166" s="30" t="s">
        <v>27</v>
      </c>
      <c r="I166" s="30">
        <v>3</v>
      </c>
      <c r="J166" s="30"/>
      <c r="K166" s="30"/>
      <c r="L166" s="32">
        <v>106.42116</v>
      </c>
      <c r="M166" s="32">
        <v>10.435129999999999</v>
      </c>
      <c r="N166" s="32" t="s">
        <v>79</v>
      </c>
      <c r="O166" s="33" t="s">
        <v>29</v>
      </c>
      <c r="P166" s="30" t="s">
        <v>30</v>
      </c>
      <c r="Q166" s="30" t="s">
        <v>31</v>
      </c>
      <c r="R166" s="34" t="s">
        <v>32</v>
      </c>
      <c r="S166" s="35">
        <v>48020</v>
      </c>
      <c r="T166" s="36" t="s">
        <v>80</v>
      </c>
      <c r="U166" s="30" t="s">
        <v>80</v>
      </c>
      <c r="V166" s="37" t="e">
        <v>#N/A</v>
      </c>
      <c r="W166" s="31" t="s">
        <v>33</v>
      </c>
      <c r="X166" s="37"/>
      <c r="Y166" s="37">
        <f>COUNTIF(F:F,F166)</f>
        <v>1</v>
      </c>
      <c r="Z166" s="21" t="s">
        <v>1099</v>
      </c>
      <c r="AA166" s="21" t="s">
        <v>80</v>
      </c>
      <c r="AB166" s="21" t="s">
        <v>1120</v>
      </c>
    </row>
    <row r="167" spans="1:28" ht="13.9" customHeight="1" x14ac:dyDescent="0.3">
      <c r="A167" s="30" t="s">
        <v>20</v>
      </c>
      <c r="B167" s="30" t="s">
        <v>21</v>
      </c>
      <c r="C167" s="30" t="s">
        <v>22</v>
      </c>
      <c r="D167" s="30" t="s">
        <v>23</v>
      </c>
      <c r="E167" s="30" t="s">
        <v>254</v>
      </c>
      <c r="F167" s="31" t="s">
        <v>254</v>
      </c>
      <c r="G167" s="30" t="s">
        <v>26</v>
      </c>
      <c r="H167" s="30" t="s">
        <v>27</v>
      </c>
      <c r="I167" s="30">
        <v>3</v>
      </c>
      <c r="J167" s="30" t="s">
        <v>37</v>
      </c>
      <c r="K167" s="30" t="s">
        <v>38</v>
      </c>
      <c r="L167" s="32">
        <v>106.38326000000001</v>
      </c>
      <c r="M167" s="32">
        <v>10.423220000000001</v>
      </c>
      <c r="N167" s="32" t="s">
        <v>79</v>
      </c>
      <c r="O167" s="33" t="s">
        <v>29</v>
      </c>
      <c r="P167" s="30" t="s">
        <v>41</v>
      </c>
      <c r="Q167" s="30" t="s">
        <v>31</v>
      </c>
      <c r="R167" s="34" t="s">
        <v>32</v>
      </c>
      <c r="S167" s="35">
        <v>48020</v>
      </c>
      <c r="T167" s="36" t="s">
        <v>80</v>
      </c>
      <c r="U167" s="30" t="s">
        <v>80</v>
      </c>
      <c r="V167" s="37" t="e">
        <v>#N/A</v>
      </c>
      <c r="W167" s="31" t="s">
        <v>33</v>
      </c>
      <c r="X167" s="37"/>
      <c r="Y167" s="37">
        <f>COUNTIF(F:F,F167)</f>
        <v>1</v>
      </c>
      <c r="Z167" s="21" t="s">
        <v>1099</v>
      </c>
      <c r="AA167" s="21" t="s">
        <v>80</v>
      </c>
      <c r="AB167" s="21" t="s">
        <v>1120</v>
      </c>
    </row>
    <row r="168" spans="1:28" ht="13.9" customHeight="1" x14ac:dyDescent="0.3">
      <c r="A168" s="30" t="s">
        <v>20</v>
      </c>
      <c r="B168" s="30" t="s">
        <v>21</v>
      </c>
      <c r="C168" s="30" t="s">
        <v>22</v>
      </c>
      <c r="D168" s="30" t="s">
        <v>23</v>
      </c>
      <c r="E168" s="30" t="s">
        <v>78</v>
      </c>
      <c r="F168" s="31" t="s">
        <v>81</v>
      </c>
      <c r="G168" s="30" t="s">
        <v>26</v>
      </c>
      <c r="H168" s="30" t="s">
        <v>27</v>
      </c>
      <c r="I168" s="30">
        <v>3</v>
      </c>
      <c r="J168" s="30" t="s">
        <v>37</v>
      </c>
      <c r="K168" s="30" t="s">
        <v>38</v>
      </c>
      <c r="L168" s="32">
        <v>106.4135</v>
      </c>
      <c r="M168" s="32">
        <v>10.416729999999999</v>
      </c>
      <c r="N168" s="32" t="s">
        <v>79</v>
      </c>
      <c r="O168" s="33" t="s">
        <v>29</v>
      </c>
      <c r="P168" s="30" t="s">
        <v>41</v>
      </c>
      <c r="Q168" s="30" t="s">
        <v>31</v>
      </c>
      <c r="R168" s="34" t="s">
        <v>32</v>
      </c>
      <c r="S168" s="35">
        <v>48020</v>
      </c>
      <c r="T168" s="36" t="s">
        <v>80</v>
      </c>
      <c r="U168" s="30" t="s">
        <v>80</v>
      </c>
      <c r="V168" s="37" t="s">
        <v>49</v>
      </c>
      <c r="W168" s="31" t="s">
        <v>50</v>
      </c>
      <c r="X168" s="37" t="s">
        <v>52</v>
      </c>
      <c r="Y168" s="37">
        <f>COUNTIF(F:F,F168)</f>
        <v>3</v>
      </c>
      <c r="Z168" s="21" t="s">
        <v>1099</v>
      </c>
      <c r="AA168" s="21" t="s">
        <v>80</v>
      </c>
      <c r="AB168" s="21" t="s">
        <v>1120</v>
      </c>
    </row>
    <row r="169" spans="1:28" ht="13.9" customHeight="1" x14ac:dyDescent="0.3">
      <c r="A169" s="30" t="s">
        <v>20</v>
      </c>
      <c r="B169" s="30" t="s">
        <v>21</v>
      </c>
      <c r="C169" s="30" t="s">
        <v>22</v>
      </c>
      <c r="D169" s="30" t="s">
        <v>23</v>
      </c>
      <c r="E169" s="30" t="s">
        <v>81</v>
      </c>
      <c r="F169" s="31" t="s">
        <v>81</v>
      </c>
      <c r="G169" s="30" t="s">
        <v>26</v>
      </c>
      <c r="H169" s="30" t="s">
        <v>27</v>
      </c>
      <c r="I169" s="30">
        <v>3</v>
      </c>
      <c r="J169" s="30"/>
      <c r="K169" s="30"/>
      <c r="L169" s="32">
        <v>106.37967999999999</v>
      </c>
      <c r="M169" s="32">
        <v>10.406319999999999</v>
      </c>
      <c r="N169" s="32" t="s">
        <v>79</v>
      </c>
      <c r="O169" s="33" t="s">
        <v>29</v>
      </c>
      <c r="P169" s="30" t="s">
        <v>30</v>
      </c>
      <c r="Q169" s="30" t="s">
        <v>31</v>
      </c>
      <c r="R169" s="34" t="s">
        <v>32</v>
      </c>
      <c r="S169" s="35">
        <v>48020</v>
      </c>
      <c r="T169" s="36" t="s">
        <v>80</v>
      </c>
      <c r="U169" s="30" t="s">
        <v>80</v>
      </c>
      <c r="V169" s="37" t="e">
        <v>#N/A</v>
      </c>
      <c r="W169" s="31" t="s">
        <v>33</v>
      </c>
      <c r="X169" s="37" t="s">
        <v>42</v>
      </c>
      <c r="Y169" s="37">
        <f>COUNTIF(F:F,F169)</f>
        <v>3</v>
      </c>
      <c r="Z169" s="21" t="s">
        <v>1099</v>
      </c>
      <c r="AA169" s="21" t="s">
        <v>80</v>
      </c>
      <c r="AB169" s="21" t="s">
        <v>1120</v>
      </c>
    </row>
    <row r="170" spans="1:28" ht="13.9" customHeight="1" x14ac:dyDescent="0.3">
      <c r="A170" s="36" t="s">
        <v>20</v>
      </c>
      <c r="B170" s="36" t="s">
        <v>21</v>
      </c>
      <c r="C170" s="36" t="s">
        <v>22</v>
      </c>
      <c r="D170" s="36" t="s">
        <v>23</v>
      </c>
      <c r="E170" s="36" t="s">
        <v>259</v>
      </c>
      <c r="F170" s="31" t="s">
        <v>81</v>
      </c>
      <c r="G170" s="36" t="s">
        <v>26</v>
      </c>
      <c r="H170" s="36" t="s">
        <v>27</v>
      </c>
      <c r="I170" s="36">
        <v>3</v>
      </c>
      <c r="J170" s="36"/>
      <c r="K170" s="36"/>
      <c r="L170" s="38">
        <v>106.39591</v>
      </c>
      <c r="M170" s="38">
        <v>10.40929</v>
      </c>
      <c r="N170" s="38" t="s">
        <v>79</v>
      </c>
      <c r="O170" s="39" t="s">
        <v>29</v>
      </c>
      <c r="P170" s="36" t="s">
        <v>30</v>
      </c>
      <c r="Q170" s="30" t="s">
        <v>31</v>
      </c>
      <c r="R170" s="40" t="s">
        <v>32</v>
      </c>
      <c r="S170" s="35">
        <v>48020</v>
      </c>
      <c r="T170" s="36" t="s">
        <v>80</v>
      </c>
      <c r="U170" s="30" t="s">
        <v>80</v>
      </c>
      <c r="V170" s="37" t="e">
        <v>#N/A</v>
      </c>
      <c r="W170" s="31" t="s">
        <v>63</v>
      </c>
      <c r="X170" s="37" t="s">
        <v>52</v>
      </c>
      <c r="Y170" s="37">
        <f>COUNTIF(F:F,F170)</f>
        <v>3</v>
      </c>
      <c r="Z170" s="21" t="s">
        <v>1099</v>
      </c>
      <c r="AA170" s="21" t="s">
        <v>80</v>
      </c>
      <c r="AB170" s="21" t="s">
        <v>1120</v>
      </c>
    </row>
    <row r="171" spans="1:28" ht="13.9" customHeight="1" x14ac:dyDescent="0.3">
      <c r="A171" s="30" t="s">
        <v>20</v>
      </c>
      <c r="B171" s="30" t="s">
        <v>21</v>
      </c>
      <c r="C171" s="30" t="s">
        <v>22</v>
      </c>
      <c r="D171" s="30" t="s">
        <v>23</v>
      </c>
      <c r="E171" s="30" t="s">
        <v>255</v>
      </c>
      <c r="F171" s="31" t="s">
        <v>255</v>
      </c>
      <c r="G171" s="30" t="s">
        <v>26</v>
      </c>
      <c r="H171" s="30" t="s">
        <v>27</v>
      </c>
      <c r="I171" s="30">
        <v>3</v>
      </c>
      <c r="J171" s="30"/>
      <c r="K171" s="30"/>
      <c r="L171" s="32">
        <v>106.39722</v>
      </c>
      <c r="M171" s="32">
        <v>10.44112</v>
      </c>
      <c r="N171" s="32" t="s">
        <v>79</v>
      </c>
      <c r="O171" s="33" t="s">
        <v>29</v>
      </c>
      <c r="P171" s="30" t="s">
        <v>30</v>
      </c>
      <c r="Q171" s="30" t="s">
        <v>31</v>
      </c>
      <c r="R171" s="34" t="s">
        <v>32</v>
      </c>
      <c r="S171" s="35">
        <v>48020</v>
      </c>
      <c r="T171" s="36" t="s">
        <v>80</v>
      </c>
      <c r="U171" s="30" t="s">
        <v>80</v>
      </c>
      <c r="V171" s="37" t="e">
        <v>#N/A</v>
      </c>
      <c r="W171" s="31" t="s">
        <v>33</v>
      </c>
      <c r="X171" s="37"/>
      <c r="Y171" s="37">
        <f>COUNTIF(F:F,F171)</f>
        <v>1</v>
      </c>
      <c r="Z171" s="21" t="s">
        <v>1099</v>
      </c>
      <c r="AA171" s="21" t="s">
        <v>80</v>
      </c>
      <c r="AB171" s="21" t="s">
        <v>1120</v>
      </c>
    </row>
    <row r="172" spans="1:28" ht="13.9" customHeight="1" x14ac:dyDescent="0.3">
      <c r="A172" s="30" t="s">
        <v>20</v>
      </c>
      <c r="B172" s="30" t="s">
        <v>21</v>
      </c>
      <c r="C172" s="30" t="s">
        <v>22</v>
      </c>
      <c r="D172" s="30" t="s">
        <v>23</v>
      </c>
      <c r="E172" s="30" t="s">
        <v>260</v>
      </c>
      <c r="F172" s="31" t="s">
        <v>260</v>
      </c>
      <c r="G172" s="30" t="s">
        <v>26</v>
      </c>
      <c r="H172" s="30" t="s">
        <v>36</v>
      </c>
      <c r="I172" s="30">
        <v>3</v>
      </c>
      <c r="J172" s="30" t="s">
        <v>37</v>
      </c>
      <c r="K172" s="30" t="s">
        <v>38</v>
      </c>
      <c r="L172" s="32">
        <v>106.38343</v>
      </c>
      <c r="M172" s="32">
        <v>10.45964</v>
      </c>
      <c r="N172" s="32" t="s">
        <v>79</v>
      </c>
      <c r="O172" s="33" t="s">
        <v>29</v>
      </c>
      <c r="P172" s="30" t="s">
        <v>39</v>
      </c>
      <c r="Q172" s="30" t="s">
        <v>31</v>
      </c>
      <c r="R172" s="34" t="s">
        <v>32</v>
      </c>
      <c r="S172" s="35">
        <v>48020</v>
      </c>
      <c r="T172" s="36" t="s">
        <v>80</v>
      </c>
      <c r="U172" s="30" t="s">
        <v>80</v>
      </c>
      <c r="V172" s="37" t="e">
        <v>#N/A</v>
      </c>
      <c r="W172" s="31" t="s">
        <v>33</v>
      </c>
      <c r="X172" s="37" t="s">
        <v>42</v>
      </c>
      <c r="Y172" s="37">
        <f>COUNTIF(F:F,F172)</f>
        <v>3</v>
      </c>
      <c r="Z172" s="21" t="s">
        <v>1099</v>
      </c>
      <c r="AA172" s="21" t="s">
        <v>80</v>
      </c>
      <c r="AB172" s="21" t="s">
        <v>1120</v>
      </c>
    </row>
    <row r="173" spans="1:28" ht="13.9" customHeight="1" x14ac:dyDescent="0.3">
      <c r="A173" s="36" t="s">
        <v>20</v>
      </c>
      <c r="B173" s="36" t="s">
        <v>21</v>
      </c>
      <c r="C173" s="36" t="s">
        <v>22</v>
      </c>
      <c r="D173" s="36" t="s">
        <v>23</v>
      </c>
      <c r="E173" s="36" t="s">
        <v>261</v>
      </c>
      <c r="F173" s="31" t="s">
        <v>260</v>
      </c>
      <c r="G173" s="36" t="s">
        <v>26</v>
      </c>
      <c r="H173" s="36" t="s">
        <v>27</v>
      </c>
      <c r="I173" s="36">
        <v>3</v>
      </c>
      <c r="J173" s="36"/>
      <c r="K173" s="36"/>
      <c r="L173" s="38">
        <v>106.39102</v>
      </c>
      <c r="M173" s="38">
        <v>10.476660000000001</v>
      </c>
      <c r="N173" s="38" t="s">
        <v>79</v>
      </c>
      <c r="O173" s="39" t="s">
        <v>29</v>
      </c>
      <c r="P173" s="36" t="s">
        <v>30</v>
      </c>
      <c r="Q173" s="30" t="s">
        <v>31</v>
      </c>
      <c r="R173" s="40" t="s">
        <v>32</v>
      </c>
      <c r="S173" s="35">
        <v>48020</v>
      </c>
      <c r="T173" s="36" t="s">
        <v>80</v>
      </c>
      <c r="U173" s="30" t="s">
        <v>80</v>
      </c>
      <c r="V173" s="37" t="e">
        <v>#N/A</v>
      </c>
      <c r="W173" s="31" t="s">
        <v>63</v>
      </c>
      <c r="X173" s="37" t="s">
        <v>52</v>
      </c>
      <c r="Y173" s="37">
        <f>COUNTIF(F:F,F173)</f>
        <v>3</v>
      </c>
      <c r="Z173" s="21" t="s">
        <v>1099</v>
      </c>
      <c r="AA173" s="21" t="s">
        <v>80</v>
      </c>
      <c r="AB173" s="21" t="s">
        <v>1120</v>
      </c>
    </row>
    <row r="174" spans="1:28" ht="13.9" customHeight="1" x14ac:dyDescent="0.3">
      <c r="A174" s="36" t="s">
        <v>20</v>
      </c>
      <c r="B174" s="36" t="s">
        <v>21</v>
      </c>
      <c r="C174" s="36" t="s">
        <v>22</v>
      </c>
      <c r="D174" s="36" t="s">
        <v>23</v>
      </c>
      <c r="E174" s="36" t="s">
        <v>262</v>
      </c>
      <c r="F174" s="31" t="s">
        <v>260</v>
      </c>
      <c r="G174" s="36" t="s">
        <v>26</v>
      </c>
      <c r="H174" s="36" t="s">
        <v>27</v>
      </c>
      <c r="I174" s="36">
        <v>3</v>
      </c>
      <c r="J174" s="36" t="s">
        <v>37</v>
      </c>
      <c r="K174" s="36" t="s">
        <v>38</v>
      </c>
      <c r="L174" s="38">
        <v>106.40535</v>
      </c>
      <c r="M174" s="38">
        <v>10.452680000000001</v>
      </c>
      <c r="N174" s="38" t="s">
        <v>79</v>
      </c>
      <c r="O174" s="39" t="s">
        <v>29</v>
      </c>
      <c r="P174" s="36" t="s">
        <v>41</v>
      </c>
      <c r="Q174" s="30" t="s">
        <v>31</v>
      </c>
      <c r="R174" s="40" t="s">
        <v>32</v>
      </c>
      <c r="S174" s="35">
        <v>48020</v>
      </c>
      <c r="T174" s="36" t="s">
        <v>80</v>
      </c>
      <c r="U174" s="30" t="s">
        <v>80</v>
      </c>
      <c r="V174" s="37" t="e">
        <v>#N/A</v>
      </c>
      <c r="W174" s="31" t="s">
        <v>63</v>
      </c>
      <c r="X174" s="37" t="s">
        <v>52</v>
      </c>
      <c r="Y174" s="37">
        <f>COUNTIF(F:F,F174)</f>
        <v>3</v>
      </c>
      <c r="Z174" s="21" t="s">
        <v>1099</v>
      </c>
      <c r="AA174" s="21" t="s">
        <v>80</v>
      </c>
      <c r="AB174" s="21" t="s">
        <v>1120</v>
      </c>
    </row>
    <row r="175" spans="1:28" ht="13.9" customHeight="1" x14ac:dyDescent="0.3">
      <c r="A175" s="30" t="s">
        <v>20</v>
      </c>
      <c r="B175" s="30" t="s">
        <v>21</v>
      </c>
      <c r="C175" s="30" t="s">
        <v>22</v>
      </c>
      <c r="D175" s="30" t="s">
        <v>23</v>
      </c>
      <c r="E175" s="30" t="s">
        <v>256</v>
      </c>
      <c r="F175" s="31" t="s">
        <v>256</v>
      </c>
      <c r="G175" s="30" t="s">
        <v>26</v>
      </c>
      <c r="H175" s="30" t="s">
        <v>27</v>
      </c>
      <c r="I175" s="30">
        <v>3</v>
      </c>
      <c r="J175" s="30"/>
      <c r="K175" s="30"/>
      <c r="L175" s="32">
        <v>106.4404</v>
      </c>
      <c r="M175" s="32">
        <v>10.4514</v>
      </c>
      <c r="N175" s="32" t="s">
        <v>79</v>
      </c>
      <c r="O175" s="33" t="s">
        <v>29</v>
      </c>
      <c r="P175" s="30" t="s">
        <v>30</v>
      </c>
      <c r="Q175" s="30" t="s">
        <v>31</v>
      </c>
      <c r="R175" s="34" t="s">
        <v>32</v>
      </c>
      <c r="S175" s="35">
        <v>48020</v>
      </c>
      <c r="T175" s="36" t="s">
        <v>80</v>
      </c>
      <c r="U175" s="30" t="s">
        <v>80</v>
      </c>
      <c r="V175" s="37" t="e">
        <v>#N/A</v>
      </c>
      <c r="W175" s="31" t="s">
        <v>33</v>
      </c>
      <c r="X175" s="37"/>
      <c r="Y175" s="37">
        <f>COUNTIF(F:F,F175)</f>
        <v>1</v>
      </c>
      <c r="Z175" s="21" t="s">
        <v>1099</v>
      </c>
      <c r="AA175" s="21" t="s">
        <v>80</v>
      </c>
      <c r="AB175" s="21" t="s">
        <v>1120</v>
      </c>
    </row>
    <row r="176" spans="1:28" ht="13.9" customHeight="1" x14ac:dyDescent="0.3">
      <c r="A176" s="30" t="s">
        <v>20</v>
      </c>
      <c r="B176" s="30" t="s">
        <v>21</v>
      </c>
      <c r="C176" s="30" t="s">
        <v>22</v>
      </c>
      <c r="D176" s="30" t="s">
        <v>23</v>
      </c>
      <c r="E176" s="30" t="s">
        <v>257</v>
      </c>
      <c r="F176" s="31" t="s">
        <v>257</v>
      </c>
      <c r="G176" s="30" t="s">
        <v>26</v>
      </c>
      <c r="H176" s="30" t="s">
        <v>27</v>
      </c>
      <c r="I176" s="30">
        <v>3</v>
      </c>
      <c r="J176" s="30"/>
      <c r="K176" s="30"/>
      <c r="L176" s="32">
        <v>106.41562999999999</v>
      </c>
      <c r="M176" s="32">
        <v>10.464119999999999</v>
      </c>
      <c r="N176" s="32" t="s">
        <v>79</v>
      </c>
      <c r="O176" s="33" t="s">
        <v>29</v>
      </c>
      <c r="P176" s="30" t="s">
        <v>30</v>
      </c>
      <c r="Q176" s="30" t="s">
        <v>31</v>
      </c>
      <c r="R176" s="34" t="s">
        <v>32</v>
      </c>
      <c r="S176" s="35">
        <v>48020</v>
      </c>
      <c r="T176" s="36" t="s">
        <v>80</v>
      </c>
      <c r="U176" s="30" t="s">
        <v>80</v>
      </c>
      <c r="V176" s="37" t="e">
        <v>#N/A</v>
      </c>
      <c r="W176" s="31" t="s">
        <v>33</v>
      </c>
      <c r="X176" s="37"/>
      <c r="Y176" s="37">
        <f>COUNTIF(F:F,F176)</f>
        <v>1</v>
      </c>
      <c r="Z176" s="21" t="s">
        <v>1099</v>
      </c>
      <c r="AA176" s="21" t="s">
        <v>80</v>
      </c>
      <c r="AB176" s="21" t="s">
        <v>1120</v>
      </c>
    </row>
    <row r="177" spans="1:28" ht="13.9" customHeight="1" x14ac:dyDescent="0.3">
      <c r="A177" s="30" t="s">
        <v>20</v>
      </c>
      <c r="B177" s="30" t="s">
        <v>21</v>
      </c>
      <c r="C177" s="30" t="s">
        <v>22</v>
      </c>
      <c r="D177" s="30" t="s">
        <v>23</v>
      </c>
      <c r="E177" s="30" t="s">
        <v>258</v>
      </c>
      <c r="F177" s="31" t="s">
        <v>258</v>
      </c>
      <c r="G177" s="30" t="s">
        <v>26</v>
      </c>
      <c r="H177" s="30" t="s">
        <v>27</v>
      </c>
      <c r="I177" s="30">
        <v>3</v>
      </c>
      <c r="J177" s="30"/>
      <c r="K177" s="30"/>
      <c r="L177" s="32">
        <v>106.35383</v>
      </c>
      <c r="M177" s="32">
        <v>10.400449999999999</v>
      </c>
      <c r="N177" s="32" t="s">
        <v>79</v>
      </c>
      <c r="O177" s="33" t="s">
        <v>29</v>
      </c>
      <c r="P177" s="30" t="s">
        <v>30</v>
      </c>
      <c r="Q177" s="30" t="s">
        <v>31</v>
      </c>
      <c r="R177" s="34" t="s">
        <v>32</v>
      </c>
      <c r="S177" s="35">
        <v>48020</v>
      </c>
      <c r="T177" s="36" t="s">
        <v>80</v>
      </c>
      <c r="U177" s="30" t="s">
        <v>80</v>
      </c>
      <c r="V177" s="37" t="e">
        <v>#N/A</v>
      </c>
      <c r="W177" s="31" t="s">
        <v>33</v>
      </c>
      <c r="X177" s="37"/>
      <c r="Y177" s="37">
        <f>COUNTIF(F:F,F177)</f>
        <v>1</v>
      </c>
      <c r="Z177" s="21" t="s">
        <v>1099</v>
      </c>
      <c r="AA177" s="21" t="s">
        <v>80</v>
      </c>
      <c r="AB177" s="21" t="s">
        <v>1120</v>
      </c>
    </row>
    <row r="178" spans="1:28" ht="13.9" customHeight="1" x14ac:dyDescent="0.3">
      <c r="A178" s="30" t="s">
        <v>20</v>
      </c>
      <c r="B178" s="30" t="s">
        <v>21</v>
      </c>
      <c r="C178" s="30" t="s">
        <v>22</v>
      </c>
      <c r="D178" s="30" t="s">
        <v>23</v>
      </c>
      <c r="E178" s="30" t="s">
        <v>273</v>
      </c>
      <c r="F178" s="31" t="s">
        <v>273</v>
      </c>
      <c r="G178" s="30" t="s">
        <v>26</v>
      </c>
      <c r="H178" s="30" t="s">
        <v>36</v>
      </c>
      <c r="I178" s="30">
        <v>3</v>
      </c>
      <c r="J178" s="30" t="s">
        <v>37</v>
      </c>
      <c r="K178" s="30" t="s">
        <v>38</v>
      </c>
      <c r="L178" s="32">
        <v>106.38806</v>
      </c>
      <c r="M178" s="32">
        <v>10.36833</v>
      </c>
      <c r="N178" s="32" t="s">
        <v>79</v>
      </c>
      <c r="O178" s="33" t="s">
        <v>29</v>
      </c>
      <c r="P178" s="30" t="s">
        <v>39</v>
      </c>
      <c r="Q178" s="30" t="s">
        <v>31</v>
      </c>
      <c r="R178" s="34" t="s">
        <v>32</v>
      </c>
      <c r="S178" s="35">
        <v>48020</v>
      </c>
      <c r="T178" s="36" t="s">
        <v>272</v>
      </c>
      <c r="U178" s="30" t="s">
        <v>272</v>
      </c>
      <c r="V178" s="37" t="e">
        <v>#N/A</v>
      </c>
      <c r="W178" s="31" t="s">
        <v>33</v>
      </c>
      <c r="X178" s="37"/>
      <c r="Y178" s="37">
        <f>COUNTIF(F:F,F178)</f>
        <v>1</v>
      </c>
      <c r="Z178" s="21" t="s">
        <v>1100</v>
      </c>
      <c r="AA178" s="21" t="s">
        <v>272</v>
      </c>
      <c r="AB178" s="21" t="s">
        <v>1120</v>
      </c>
    </row>
    <row r="179" spans="1:28" ht="13.9" customHeight="1" x14ac:dyDescent="0.3">
      <c r="A179" s="30" t="s">
        <v>20</v>
      </c>
      <c r="B179" s="30" t="s">
        <v>21</v>
      </c>
      <c r="C179" s="30" t="s">
        <v>22</v>
      </c>
      <c r="D179" s="30" t="s">
        <v>23</v>
      </c>
      <c r="E179" s="30" t="s">
        <v>248</v>
      </c>
      <c r="F179" s="31" t="s">
        <v>249</v>
      </c>
      <c r="G179" s="30" t="s">
        <v>26</v>
      </c>
      <c r="H179" s="30" t="s">
        <v>27</v>
      </c>
      <c r="I179" s="30">
        <v>3</v>
      </c>
      <c r="J179" s="30"/>
      <c r="K179" s="30"/>
      <c r="L179" s="32">
        <v>106.4323</v>
      </c>
      <c r="M179" s="32">
        <v>10.3621</v>
      </c>
      <c r="N179" s="32" t="s">
        <v>79</v>
      </c>
      <c r="O179" s="33" t="s">
        <v>29</v>
      </c>
      <c r="P179" s="30" t="s">
        <v>30</v>
      </c>
      <c r="Q179" s="30" t="s">
        <v>31</v>
      </c>
      <c r="R179" s="34" t="s">
        <v>32</v>
      </c>
      <c r="S179" s="35">
        <v>48020</v>
      </c>
      <c r="T179" s="36" t="s">
        <v>111</v>
      </c>
      <c r="U179" s="30" t="s">
        <v>272</v>
      </c>
      <c r="V179" s="37" t="e">
        <v>#N/A</v>
      </c>
      <c r="W179" s="31" t="s">
        <v>63</v>
      </c>
      <c r="X179" s="37" t="s">
        <v>52</v>
      </c>
      <c r="Y179" s="37">
        <f>COUNTIF(F:F,F179)</f>
        <v>3</v>
      </c>
      <c r="Z179" s="21" t="s">
        <v>1100</v>
      </c>
      <c r="AA179" s="21" t="s">
        <v>272</v>
      </c>
      <c r="AB179" s="21" t="s">
        <v>1120</v>
      </c>
    </row>
    <row r="180" spans="1:28" ht="13.9" customHeight="1" x14ac:dyDescent="0.3">
      <c r="A180" s="30" t="s">
        <v>20</v>
      </c>
      <c r="B180" s="30" t="s">
        <v>21</v>
      </c>
      <c r="C180" s="30" t="s">
        <v>22</v>
      </c>
      <c r="D180" s="30" t="s">
        <v>23</v>
      </c>
      <c r="E180" s="30" t="s">
        <v>289</v>
      </c>
      <c r="F180" s="31" t="s">
        <v>249</v>
      </c>
      <c r="G180" s="30" t="s">
        <v>26</v>
      </c>
      <c r="H180" s="30" t="s">
        <v>27</v>
      </c>
      <c r="I180" s="30">
        <v>3</v>
      </c>
      <c r="J180" s="30" t="s">
        <v>37</v>
      </c>
      <c r="K180" s="30" t="s">
        <v>38</v>
      </c>
      <c r="L180" s="32">
        <v>106.40965</v>
      </c>
      <c r="M180" s="32">
        <v>10.367240000000001</v>
      </c>
      <c r="N180" s="32" t="s">
        <v>270</v>
      </c>
      <c r="O180" s="33" t="s">
        <v>29</v>
      </c>
      <c r="P180" s="30" t="s">
        <v>41</v>
      </c>
      <c r="Q180" s="30" t="s">
        <v>31</v>
      </c>
      <c r="R180" s="34" t="s">
        <v>32</v>
      </c>
      <c r="S180" s="35">
        <v>48050</v>
      </c>
      <c r="T180" s="36" t="s">
        <v>290</v>
      </c>
      <c r="U180" s="30" t="s">
        <v>272</v>
      </c>
      <c r="V180" s="37" t="e">
        <v>#N/A</v>
      </c>
      <c r="W180" s="31" t="s">
        <v>33</v>
      </c>
      <c r="X180" s="37" t="s">
        <v>42</v>
      </c>
      <c r="Y180" s="37">
        <f>COUNTIF(F:F,F180)</f>
        <v>3</v>
      </c>
      <c r="Z180" s="21" t="s">
        <v>1100</v>
      </c>
      <c r="AA180" s="21" t="s">
        <v>272</v>
      </c>
      <c r="AB180" s="21" t="s">
        <v>1120</v>
      </c>
    </row>
    <row r="181" spans="1:28" ht="13.9" customHeight="1" x14ac:dyDescent="0.3">
      <c r="A181" s="30" t="s">
        <v>20</v>
      </c>
      <c r="B181" s="30" t="s">
        <v>21</v>
      </c>
      <c r="C181" s="30" t="s">
        <v>22</v>
      </c>
      <c r="D181" s="30" t="s">
        <v>23</v>
      </c>
      <c r="E181" s="30" t="s">
        <v>641</v>
      </c>
      <c r="F181" s="31" t="s">
        <v>249</v>
      </c>
      <c r="G181" s="30" t="s">
        <v>26</v>
      </c>
      <c r="H181" s="30" t="s">
        <v>27</v>
      </c>
      <c r="I181" s="30">
        <v>3</v>
      </c>
      <c r="J181" s="30"/>
      <c r="K181" s="30"/>
      <c r="L181" s="32">
        <v>106.3997</v>
      </c>
      <c r="M181" s="32">
        <v>10.371</v>
      </c>
      <c r="N181" s="32" t="s">
        <v>270</v>
      </c>
      <c r="O181" s="33" t="s">
        <v>29</v>
      </c>
      <c r="P181" s="30" t="s">
        <v>30</v>
      </c>
      <c r="Q181" s="47" t="s">
        <v>31</v>
      </c>
      <c r="R181" s="34" t="s">
        <v>32</v>
      </c>
      <c r="S181" s="35">
        <v>48050</v>
      </c>
      <c r="T181" s="36" t="s">
        <v>272</v>
      </c>
      <c r="U181" s="30" t="s">
        <v>272</v>
      </c>
      <c r="V181" s="37" t="s">
        <v>49</v>
      </c>
      <c r="W181" s="31" t="s">
        <v>50</v>
      </c>
      <c r="X181" s="37" t="s">
        <v>52</v>
      </c>
      <c r="Y181" s="37">
        <f>COUNTIF(F:F,F181)</f>
        <v>3</v>
      </c>
      <c r="Z181" s="21" t="s">
        <v>1100</v>
      </c>
      <c r="AA181" s="21" t="s">
        <v>272</v>
      </c>
      <c r="AB181" s="21" t="s">
        <v>1120</v>
      </c>
    </row>
    <row r="182" spans="1:28" ht="13.9" customHeight="1" x14ac:dyDescent="0.3">
      <c r="A182" s="30" t="s">
        <v>20</v>
      </c>
      <c r="B182" s="30" t="s">
        <v>21</v>
      </c>
      <c r="C182" s="30" t="s">
        <v>22</v>
      </c>
      <c r="D182" s="30" t="s">
        <v>23</v>
      </c>
      <c r="E182" s="30" t="s">
        <v>276</v>
      </c>
      <c r="F182" s="31" t="s">
        <v>276</v>
      </c>
      <c r="G182" s="30" t="s">
        <v>26</v>
      </c>
      <c r="H182" s="30" t="s">
        <v>27</v>
      </c>
      <c r="I182" s="30">
        <v>3</v>
      </c>
      <c r="J182" s="30"/>
      <c r="K182" s="30"/>
      <c r="L182" s="32">
        <v>106.39865</v>
      </c>
      <c r="M182" s="32">
        <v>10.38984</v>
      </c>
      <c r="N182" s="32" t="s">
        <v>270</v>
      </c>
      <c r="O182" s="33" t="s">
        <v>29</v>
      </c>
      <c r="P182" s="30" t="s">
        <v>30</v>
      </c>
      <c r="Q182" s="30" t="s">
        <v>31</v>
      </c>
      <c r="R182" s="34" t="s">
        <v>32</v>
      </c>
      <c r="S182" s="35">
        <v>48050</v>
      </c>
      <c r="T182" s="36" t="s">
        <v>272</v>
      </c>
      <c r="U182" s="30" t="s">
        <v>272</v>
      </c>
      <c r="V182" s="37" t="e">
        <v>#N/A</v>
      </c>
      <c r="W182" s="31" t="s">
        <v>33</v>
      </c>
      <c r="X182" s="37"/>
      <c r="Y182" s="37">
        <f>COUNTIF(F:F,F182)</f>
        <v>1</v>
      </c>
      <c r="Z182" s="21" t="s">
        <v>1100</v>
      </c>
      <c r="AA182" s="21" t="s">
        <v>272</v>
      </c>
      <c r="AB182" s="21" t="s">
        <v>1120</v>
      </c>
    </row>
    <row r="183" spans="1:28" ht="13.9" customHeight="1" x14ac:dyDescent="0.3">
      <c r="A183" s="30" t="s">
        <v>20</v>
      </c>
      <c r="B183" s="30" t="s">
        <v>21</v>
      </c>
      <c r="C183" s="30" t="s">
        <v>22</v>
      </c>
      <c r="D183" s="30" t="s">
        <v>23</v>
      </c>
      <c r="E183" s="30" t="s">
        <v>291</v>
      </c>
      <c r="F183" s="31" t="s">
        <v>291</v>
      </c>
      <c r="G183" s="30" t="s">
        <v>26</v>
      </c>
      <c r="H183" s="30" t="s">
        <v>27</v>
      </c>
      <c r="I183" s="30">
        <v>3</v>
      </c>
      <c r="J183" s="30"/>
      <c r="K183" s="30"/>
      <c r="L183" s="32">
        <v>106.37797</v>
      </c>
      <c r="M183" s="32">
        <v>10.380380000000001</v>
      </c>
      <c r="N183" s="32" t="s">
        <v>270</v>
      </c>
      <c r="O183" s="33" t="s">
        <v>29</v>
      </c>
      <c r="P183" s="30" t="s">
        <v>30</v>
      </c>
      <c r="Q183" s="30" t="s">
        <v>31</v>
      </c>
      <c r="R183" s="34" t="s">
        <v>32</v>
      </c>
      <c r="S183" s="35">
        <v>48050</v>
      </c>
      <c r="T183" s="36" t="s">
        <v>272</v>
      </c>
      <c r="U183" s="30" t="s">
        <v>272</v>
      </c>
      <c r="V183" s="37" t="e">
        <v>#N/A</v>
      </c>
      <c r="W183" s="31" t="s">
        <v>33</v>
      </c>
      <c r="X183" s="37" t="s">
        <v>42</v>
      </c>
      <c r="Y183" s="37">
        <f>COUNTIF(F:F,F183)</f>
        <v>2</v>
      </c>
      <c r="Z183" s="21" t="s">
        <v>1100</v>
      </c>
      <c r="AA183" s="21" t="s">
        <v>272</v>
      </c>
      <c r="AB183" s="21" t="s">
        <v>1120</v>
      </c>
    </row>
    <row r="184" spans="1:28" s="22" customFormat="1" ht="13.9" customHeight="1" x14ac:dyDescent="0.3">
      <c r="A184" s="30" t="s">
        <v>20</v>
      </c>
      <c r="B184" s="30" t="s">
        <v>21</v>
      </c>
      <c r="C184" s="30" t="s">
        <v>22</v>
      </c>
      <c r="D184" s="30" t="s">
        <v>23</v>
      </c>
      <c r="E184" s="30" t="s">
        <v>292</v>
      </c>
      <c r="F184" s="31" t="s">
        <v>291</v>
      </c>
      <c r="G184" s="30" t="s">
        <v>26</v>
      </c>
      <c r="H184" s="30" t="s">
        <v>27</v>
      </c>
      <c r="I184" s="30">
        <v>3</v>
      </c>
      <c r="J184" s="30"/>
      <c r="K184" s="30"/>
      <c r="L184" s="32">
        <v>106.38402000000001</v>
      </c>
      <c r="M184" s="32">
        <v>10.39213</v>
      </c>
      <c r="N184" s="32" t="s">
        <v>270</v>
      </c>
      <c r="O184" s="33" t="s">
        <v>29</v>
      </c>
      <c r="P184" s="30" t="s">
        <v>30</v>
      </c>
      <c r="Q184" s="30" t="s">
        <v>31</v>
      </c>
      <c r="R184" s="34" t="s">
        <v>32</v>
      </c>
      <c r="S184" s="35">
        <v>48050</v>
      </c>
      <c r="T184" s="36" t="s">
        <v>272</v>
      </c>
      <c r="U184" s="30" t="s">
        <v>272</v>
      </c>
      <c r="V184" s="37" t="e">
        <v>#N/A</v>
      </c>
      <c r="W184" s="31" t="s">
        <v>63</v>
      </c>
      <c r="X184" s="37" t="s">
        <v>52</v>
      </c>
      <c r="Y184" s="37">
        <f>COUNTIF(F:F,F184)</f>
        <v>2</v>
      </c>
      <c r="Z184" s="21" t="s">
        <v>1100</v>
      </c>
      <c r="AA184" s="21" t="s">
        <v>272</v>
      </c>
      <c r="AB184" s="21" t="s">
        <v>1120</v>
      </c>
    </row>
    <row r="185" spans="1:28" ht="13.9" customHeight="1" x14ac:dyDescent="0.3">
      <c r="A185" s="30" t="s">
        <v>20</v>
      </c>
      <c r="B185" s="30" t="s">
        <v>21</v>
      </c>
      <c r="C185" s="30" t="s">
        <v>22</v>
      </c>
      <c r="D185" s="30" t="s">
        <v>23</v>
      </c>
      <c r="E185" s="30" t="s">
        <v>281</v>
      </c>
      <c r="F185" s="31" t="s">
        <v>281</v>
      </c>
      <c r="G185" s="30" t="s">
        <v>26</v>
      </c>
      <c r="H185" s="30" t="s">
        <v>36</v>
      </c>
      <c r="I185" s="30">
        <v>3</v>
      </c>
      <c r="J185" s="30" t="s">
        <v>37</v>
      </c>
      <c r="K185" s="30" t="s">
        <v>282</v>
      </c>
      <c r="L185" s="32">
        <v>106.38822999999999</v>
      </c>
      <c r="M185" s="32">
        <v>10.361470000000001</v>
      </c>
      <c r="N185" s="32" t="s">
        <v>270</v>
      </c>
      <c r="O185" s="33" t="s">
        <v>29</v>
      </c>
      <c r="P185" s="30" t="s">
        <v>39</v>
      </c>
      <c r="Q185" s="30" t="s">
        <v>31</v>
      </c>
      <c r="R185" s="34" t="s">
        <v>32</v>
      </c>
      <c r="S185" s="35">
        <v>48050</v>
      </c>
      <c r="T185" s="36" t="s">
        <v>272</v>
      </c>
      <c r="U185" s="30" t="s">
        <v>272</v>
      </c>
      <c r="V185" s="37" t="e">
        <v>#N/A</v>
      </c>
      <c r="W185" s="31" t="s">
        <v>33</v>
      </c>
      <c r="X185" s="37"/>
      <c r="Y185" s="37">
        <f>COUNTIF(F:F,F185)</f>
        <v>1</v>
      </c>
      <c r="Z185" s="21" t="s">
        <v>1100</v>
      </c>
      <c r="AA185" s="21" t="s">
        <v>272</v>
      </c>
      <c r="AB185" s="21" t="s">
        <v>1120</v>
      </c>
    </row>
    <row r="186" spans="1:28" ht="13.9" customHeight="1" x14ac:dyDescent="0.3">
      <c r="A186" s="30" t="s">
        <v>20</v>
      </c>
      <c r="B186" s="30" t="s">
        <v>21</v>
      </c>
      <c r="C186" s="30" t="s">
        <v>22</v>
      </c>
      <c r="D186" s="30" t="s">
        <v>23</v>
      </c>
      <c r="E186" s="30" t="s">
        <v>283</v>
      </c>
      <c r="F186" s="31" t="s">
        <v>283</v>
      </c>
      <c r="G186" s="30" t="s">
        <v>26</v>
      </c>
      <c r="H186" s="30" t="s">
        <v>36</v>
      </c>
      <c r="I186" s="30">
        <v>3</v>
      </c>
      <c r="J186" s="30"/>
      <c r="K186" s="30"/>
      <c r="L186" s="32">
        <v>106.36091999999999</v>
      </c>
      <c r="M186" s="32">
        <v>10.385160000000001</v>
      </c>
      <c r="N186" s="32" t="s">
        <v>270</v>
      </c>
      <c r="O186" s="33" t="s">
        <v>29</v>
      </c>
      <c r="P186" s="30" t="s">
        <v>109</v>
      </c>
      <c r="Q186" s="30" t="s">
        <v>31</v>
      </c>
      <c r="R186" s="34" t="s">
        <v>32</v>
      </c>
      <c r="S186" s="35">
        <v>48050</v>
      </c>
      <c r="T186" s="36" t="s">
        <v>272</v>
      </c>
      <c r="U186" s="30" t="s">
        <v>272</v>
      </c>
      <c r="V186" s="37" t="e">
        <v>#N/A</v>
      </c>
      <c r="W186" s="31" t="s">
        <v>33</v>
      </c>
      <c r="X186" s="37"/>
      <c r="Y186" s="37">
        <f>COUNTIF(F:F,F186)</f>
        <v>1</v>
      </c>
      <c r="Z186" s="21" t="s">
        <v>1100</v>
      </c>
      <c r="AA186" s="21" t="s">
        <v>272</v>
      </c>
      <c r="AB186" s="21" t="s">
        <v>1120</v>
      </c>
    </row>
    <row r="187" spans="1:28" ht="13.9" customHeight="1" x14ac:dyDescent="0.3">
      <c r="A187" s="30" t="s">
        <v>20</v>
      </c>
      <c r="B187" s="30" t="s">
        <v>21</v>
      </c>
      <c r="C187" s="30" t="s">
        <v>22</v>
      </c>
      <c r="D187" s="30" t="s">
        <v>23</v>
      </c>
      <c r="E187" s="30" t="s">
        <v>284</v>
      </c>
      <c r="F187" s="31" t="s">
        <v>284</v>
      </c>
      <c r="G187" s="30" t="s">
        <v>26</v>
      </c>
      <c r="H187" s="30" t="s">
        <v>36</v>
      </c>
      <c r="I187" s="30">
        <v>3</v>
      </c>
      <c r="J187" s="30" t="s">
        <v>37</v>
      </c>
      <c r="K187" s="30" t="s">
        <v>282</v>
      </c>
      <c r="L187" s="32">
        <v>106.38086</v>
      </c>
      <c r="M187" s="32">
        <v>10.370939999999999</v>
      </c>
      <c r="N187" s="32" t="s">
        <v>270</v>
      </c>
      <c r="O187" s="33" t="s">
        <v>29</v>
      </c>
      <c r="P187" s="30" t="s">
        <v>39</v>
      </c>
      <c r="Q187" s="30" t="s">
        <v>31</v>
      </c>
      <c r="R187" s="34" t="s">
        <v>32</v>
      </c>
      <c r="S187" s="35">
        <v>48050</v>
      </c>
      <c r="T187" s="36" t="s">
        <v>272</v>
      </c>
      <c r="U187" s="30" t="s">
        <v>272</v>
      </c>
      <c r="V187" s="37" t="e">
        <v>#N/A</v>
      </c>
      <c r="W187" s="31" t="s">
        <v>33</v>
      </c>
      <c r="X187" s="37"/>
      <c r="Y187" s="37">
        <f>COUNTIF(F:F,F187)</f>
        <v>1</v>
      </c>
      <c r="Z187" s="21" t="s">
        <v>1100</v>
      </c>
      <c r="AA187" s="21" t="s">
        <v>272</v>
      </c>
      <c r="AB187" s="21" t="s">
        <v>1120</v>
      </c>
    </row>
    <row r="188" spans="1:28" ht="13.9" customHeight="1" x14ac:dyDescent="0.3">
      <c r="A188" s="30" t="s">
        <v>20</v>
      </c>
      <c r="B188" s="30" t="s">
        <v>21</v>
      </c>
      <c r="C188" s="30" t="s">
        <v>22</v>
      </c>
      <c r="D188" s="30" t="s">
        <v>23</v>
      </c>
      <c r="E188" s="30" t="s">
        <v>285</v>
      </c>
      <c r="F188" s="31" t="s">
        <v>285</v>
      </c>
      <c r="G188" s="30" t="s">
        <v>26</v>
      </c>
      <c r="H188" s="30" t="s">
        <v>36</v>
      </c>
      <c r="I188" s="30">
        <v>4</v>
      </c>
      <c r="J188" s="30" t="s">
        <v>37</v>
      </c>
      <c r="K188" s="30" t="s">
        <v>275</v>
      </c>
      <c r="L188" s="32">
        <v>106.3682</v>
      </c>
      <c r="M188" s="32">
        <v>10.375859999999999</v>
      </c>
      <c r="N188" s="32" t="s">
        <v>270</v>
      </c>
      <c r="O188" s="33" t="s">
        <v>29</v>
      </c>
      <c r="P188" s="30" t="s">
        <v>271</v>
      </c>
      <c r="Q188" s="30" t="s">
        <v>31</v>
      </c>
      <c r="R188" s="34" t="s">
        <v>32</v>
      </c>
      <c r="S188" s="35">
        <v>48050</v>
      </c>
      <c r="T188" s="36" t="s">
        <v>272</v>
      </c>
      <c r="U188" s="30" t="s">
        <v>272</v>
      </c>
      <c r="V188" s="37" t="e">
        <v>#N/A</v>
      </c>
      <c r="W188" s="31" t="s">
        <v>33</v>
      </c>
      <c r="X188" s="37"/>
      <c r="Y188" s="37">
        <f>COUNTIF(F:F,F188)</f>
        <v>1</v>
      </c>
      <c r="Z188" s="21" t="s">
        <v>1100</v>
      </c>
      <c r="AA188" s="21" t="s">
        <v>272</v>
      </c>
      <c r="AB188" s="21" t="s">
        <v>1120</v>
      </c>
    </row>
    <row r="189" spans="1:28" ht="13.9" customHeight="1" x14ac:dyDescent="0.3">
      <c r="A189" s="30" t="s">
        <v>20</v>
      </c>
      <c r="B189" s="30" t="s">
        <v>21</v>
      </c>
      <c r="C189" s="30" t="s">
        <v>22</v>
      </c>
      <c r="D189" s="30" t="s">
        <v>23</v>
      </c>
      <c r="E189" s="30" t="s">
        <v>268</v>
      </c>
      <c r="F189" s="31" t="s">
        <v>268</v>
      </c>
      <c r="G189" s="30" t="s">
        <v>26</v>
      </c>
      <c r="H189" s="30" t="s">
        <v>36</v>
      </c>
      <c r="I189" s="30">
        <v>3</v>
      </c>
      <c r="J189" s="30" t="s">
        <v>26</v>
      </c>
      <c r="K189" s="30" t="s">
        <v>269</v>
      </c>
      <c r="L189" s="32">
        <v>106.36450000000001</v>
      </c>
      <c r="M189" s="32">
        <v>10.3797</v>
      </c>
      <c r="N189" s="32" t="s">
        <v>270</v>
      </c>
      <c r="O189" s="33" t="s">
        <v>29</v>
      </c>
      <c r="P189" s="30" t="s">
        <v>271</v>
      </c>
      <c r="Q189" s="30" t="s">
        <v>31</v>
      </c>
      <c r="R189" s="34" t="s">
        <v>32</v>
      </c>
      <c r="S189" s="35">
        <v>48050</v>
      </c>
      <c r="T189" s="36" t="s">
        <v>272</v>
      </c>
      <c r="U189" s="30" t="s">
        <v>272</v>
      </c>
      <c r="V189" s="37" t="e">
        <v>#N/A</v>
      </c>
      <c r="W189" s="31" t="s">
        <v>33</v>
      </c>
      <c r="X189" s="37"/>
      <c r="Y189" s="37">
        <f>COUNTIF(F:F,F189)</f>
        <v>1</v>
      </c>
      <c r="Z189" s="21" t="s">
        <v>1100</v>
      </c>
      <c r="AA189" s="21" t="s">
        <v>272</v>
      </c>
      <c r="AB189" s="21" t="s">
        <v>1120</v>
      </c>
    </row>
    <row r="190" spans="1:28" ht="13.9" customHeight="1" x14ac:dyDescent="0.3">
      <c r="A190" s="30" t="s">
        <v>20</v>
      </c>
      <c r="B190" s="30" t="s">
        <v>21</v>
      </c>
      <c r="C190" s="30" t="s">
        <v>22</v>
      </c>
      <c r="D190" s="30" t="s">
        <v>23</v>
      </c>
      <c r="E190" s="30" t="s">
        <v>266</v>
      </c>
      <c r="F190" s="31" t="s">
        <v>267</v>
      </c>
      <c r="G190" s="30" t="s">
        <v>26</v>
      </c>
      <c r="H190" s="30" t="s">
        <v>27</v>
      </c>
      <c r="I190" s="30">
        <v>3</v>
      </c>
      <c r="J190" s="30"/>
      <c r="K190" s="30"/>
      <c r="L190" s="32">
        <v>106.36518</v>
      </c>
      <c r="M190" s="32">
        <v>10.40484</v>
      </c>
      <c r="N190" s="32" t="s">
        <v>79</v>
      </c>
      <c r="O190" s="33" t="s">
        <v>29</v>
      </c>
      <c r="P190" s="30" t="s">
        <v>60</v>
      </c>
      <c r="Q190" s="30" t="s">
        <v>31</v>
      </c>
      <c r="R190" s="34" t="s">
        <v>32</v>
      </c>
      <c r="S190" s="35">
        <v>48020</v>
      </c>
      <c r="T190" s="36" t="s">
        <v>80</v>
      </c>
      <c r="U190" s="30" t="s">
        <v>272</v>
      </c>
      <c r="V190" s="37" t="e">
        <v>#N/A</v>
      </c>
      <c r="W190" s="31" t="s">
        <v>63</v>
      </c>
      <c r="X190" s="37" t="s">
        <v>52</v>
      </c>
      <c r="Y190" s="37">
        <f>COUNTIF(F:F,F190)</f>
        <v>3</v>
      </c>
      <c r="Z190" s="21" t="s">
        <v>1100</v>
      </c>
      <c r="AA190" s="21" t="s">
        <v>272</v>
      </c>
      <c r="AB190" s="21" t="s">
        <v>1120</v>
      </c>
    </row>
    <row r="191" spans="1:28" ht="13.9" customHeight="1" x14ac:dyDescent="0.3">
      <c r="A191" s="54" t="s">
        <v>20</v>
      </c>
      <c r="B191" s="54" t="s">
        <v>21</v>
      </c>
      <c r="C191" s="54" t="s">
        <v>22</v>
      </c>
      <c r="D191" s="54" t="s">
        <v>23</v>
      </c>
      <c r="E191" s="30" t="s">
        <v>293</v>
      </c>
      <c r="F191" s="31" t="s">
        <v>267</v>
      </c>
      <c r="G191" s="54" t="s">
        <v>26</v>
      </c>
      <c r="H191" s="54" t="s">
        <v>36</v>
      </c>
      <c r="I191" s="54">
        <v>3</v>
      </c>
      <c r="J191" s="54" t="s">
        <v>37</v>
      </c>
      <c r="K191" s="54" t="s">
        <v>38</v>
      </c>
      <c r="L191" s="55">
        <v>106.3691</v>
      </c>
      <c r="M191" s="55">
        <v>10.382999999999999</v>
      </c>
      <c r="N191" s="55" t="s">
        <v>270</v>
      </c>
      <c r="O191" s="56" t="s">
        <v>29</v>
      </c>
      <c r="P191" s="54" t="s">
        <v>39</v>
      </c>
      <c r="Q191" s="54" t="s">
        <v>31</v>
      </c>
      <c r="R191" s="57" t="s">
        <v>32</v>
      </c>
      <c r="S191" s="35">
        <v>48050</v>
      </c>
      <c r="T191" s="58" t="s">
        <v>272</v>
      </c>
      <c r="U191" s="30" t="s">
        <v>272</v>
      </c>
      <c r="V191" s="37" t="e">
        <v>#N/A</v>
      </c>
      <c r="W191" s="31" t="s">
        <v>63</v>
      </c>
      <c r="X191" s="37" t="s">
        <v>52</v>
      </c>
      <c r="Y191" s="37">
        <f>COUNTIF(F:F,F191)</f>
        <v>3</v>
      </c>
      <c r="Z191" s="21" t="s">
        <v>1100</v>
      </c>
      <c r="AA191" s="21" t="s">
        <v>272</v>
      </c>
      <c r="AB191" s="21" t="s">
        <v>1120</v>
      </c>
    </row>
    <row r="192" spans="1:28" ht="13.9" customHeight="1" x14ac:dyDescent="0.3">
      <c r="A192" s="30" t="s">
        <v>20</v>
      </c>
      <c r="B192" s="30" t="s">
        <v>21</v>
      </c>
      <c r="C192" s="30" t="s">
        <v>22</v>
      </c>
      <c r="D192" s="30" t="s">
        <v>23</v>
      </c>
      <c r="E192" s="30" t="s">
        <v>267</v>
      </c>
      <c r="F192" s="31" t="s">
        <v>267</v>
      </c>
      <c r="G192" s="30" t="s">
        <v>26</v>
      </c>
      <c r="H192" s="30" t="s">
        <v>27</v>
      </c>
      <c r="I192" s="30">
        <v>3</v>
      </c>
      <c r="J192" s="30"/>
      <c r="K192" s="30"/>
      <c r="L192" s="32">
        <v>106.36732000000001</v>
      </c>
      <c r="M192" s="32">
        <v>10.391590000000001</v>
      </c>
      <c r="N192" s="32" t="s">
        <v>270</v>
      </c>
      <c r="O192" s="33" t="s">
        <v>29</v>
      </c>
      <c r="P192" s="30" t="s">
        <v>30</v>
      </c>
      <c r="Q192" s="30" t="s">
        <v>31</v>
      </c>
      <c r="R192" s="34" t="s">
        <v>32</v>
      </c>
      <c r="S192" s="35">
        <v>48050</v>
      </c>
      <c r="T192" s="36" t="s">
        <v>272</v>
      </c>
      <c r="U192" s="30" t="s">
        <v>272</v>
      </c>
      <c r="V192" s="37" t="e">
        <v>#N/A</v>
      </c>
      <c r="W192" s="31" t="s">
        <v>33</v>
      </c>
      <c r="X192" s="37" t="s">
        <v>42</v>
      </c>
      <c r="Y192" s="37">
        <f>COUNTIF(F:F,F192)</f>
        <v>3</v>
      </c>
      <c r="Z192" s="21" t="s">
        <v>1100</v>
      </c>
      <c r="AA192" s="21" t="s">
        <v>272</v>
      </c>
      <c r="AB192" s="21" t="s">
        <v>1120</v>
      </c>
    </row>
    <row r="193" spans="1:28" ht="13.9" customHeight="1" x14ac:dyDescent="0.3">
      <c r="A193" s="30" t="s">
        <v>20</v>
      </c>
      <c r="B193" s="30" t="s">
        <v>21</v>
      </c>
      <c r="C193" s="30" t="s">
        <v>22</v>
      </c>
      <c r="D193" s="30" t="s">
        <v>23</v>
      </c>
      <c r="E193" s="30" t="s">
        <v>307</v>
      </c>
      <c r="F193" s="31" t="s">
        <v>307</v>
      </c>
      <c r="G193" s="30" t="s">
        <v>26</v>
      </c>
      <c r="H193" s="30" t="s">
        <v>27</v>
      </c>
      <c r="I193" s="30">
        <v>3</v>
      </c>
      <c r="J193" s="30" t="s">
        <v>26</v>
      </c>
      <c r="K193" s="30" t="s">
        <v>269</v>
      </c>
      <c r="L193" s="32">
        <v>106.36602000000001</v>
      </c>
      <c r="M193" s="32">
        <v>10.35324</v>
      </c>
      <c r="N193" s="32" t="s">
        <v>270</v>
      </c>
      <c r="O193" s="33" t="s">
        <v>29</v>
      </c>
      <c r="P193" s="30" t="s">
        <v>304</v>
      </c>
      <c r="Q193" s="30" t="s">
        <v>31</v>
      </c>
      <c r="R193" s="34" t="s">
        <v>32</v>
      </c>
      <c r="S193" s="35">
        <v>48050</v>
      </c>
      <c r="T193" s="36" t="s">
        <v>301</v>
      </c>
      <c r="U193" s="30" t="s">
        <v>301</v>
      </c>
      <c r="V193" s="37" t="e">
        <v>#N/A</v>
      </c>
      <c r="W193" s="31" t="s">
        <v>33</v>
      </c>
      <c r="X193" s="37" t="s">
        <v>42</v>
      </c>
      <c r="Y193" s="37">
        <f>COUNTIF(F:F,F193)</f>
        <v>3</v>
      </c>
      <c r="Z193" s="21" t="s">
        <v>1100</v>
      </c>
      <c r="AA193" s="21" t="s">
        <v>301</v>
      </c>
      <c r="AB193" s="21" t="s">
        <v>1120</v>
      </c>
    </row>
    <row r="194" spans="1:28" ht="13.9" customHeight="1" x14ac:dyDescent="0.3">
      <c r="A194" s="30" t="s">
        <v>20</v>
      </c>
      <c r="B194" s="30" t="s">
        <v>21</v>
      </c>
      <c r="C194" s="30" t="s">
        <v>22</v>
      </c>
      <c r="D194" s="30" t="s">
        <v>23</v>
      </c>
      <c r="E194" s="30" t="s">
        <v>305</v>
      </c>
      <c r="F194" s="31" t="s">
        <v>307</v>
      </c>
      <c r="G194" s="30" t="s">
        <v>26</v>
      </c>
      <c r="H194" s="30" t="s">
        <v>36</v>
      </c>
      <c r="I194" s="30">
        <v>3</v>
      </c>
      <c r="J194" s="30" t="s">
        <v>37</v>
      </c>
      <c r="K194" s="30" t="s">
        <v>275</v>
      </c>
      <c r="L194" s="32">
        <v>106.36672</v>
      </c>
      <c r="M194" s="32">
        <v>10.360910000000001</v>
      </c>
      <c r="N194" s="32" t="s">
        <v>270</v>
      </c>
      <c r="O194" s="33" t="s">
        <v>29</v>
      </c>
      <c r="P194" s="30" t="s">
        <v>271</v>
      </c>
      <c r="Q194" s="30" t="s">
        <v>31</v>
      </c>
      <c r="R194" s="34" t="s">
        <v>32</v>
      </c>
      <c r="S194" s="35">
        <v>48050</v>
      </c>
      <c r="T194" s="36" t="s">
        <v>301</v>
      </c>
      <c r="U194" s="30" t="s">
        <v>301</v>
      </c>
      <c r="V194" s="37" t="s">
        <v>306</v>
      </c>
      <c r="W194" s="31" t="s">
        <v>50</v>
      </c>
      <c r="X194" s="37" t="s">
        <v>52</v>
      </c>
      <c r="Y194" s="37">
        <f>COUNTIF(F:F,F194)</f>
        <v>3</v>
      </c>
      <c r="Z194" s="21" t="s">
        <v>1100</v>
      </c>
      <c r="AA194" s="21" t="s">
        <v>301</v>
      </c>
      <c r="AB194" s="21" t="s">
        <v>1120</v>
      </c>
    </row>
    <row r="195" spans="1:28" ht="13.9" customHeight="1" x14ac:dyDescent="0.3">
      <c r="A195" s="36" t="s">
        <v>20</v>
      </c>
      <c r="B195" s="36" t="s">
        <v>21</v>
      </c>
      <c r="C195" s="36" t="s">
        <v>22</v>
      </c>
      <c r="D195" s="36" t="s">
        <v>23</v>
      </c>
      <c r="E195" s="36" t="s">
        <v>315</v>
      </c>
      <c r="F195" s="31" t="s">
        <v>307</v>
      </c>
      <c r="G195" s="36" t="s">
        <v>26</v>
      </c>
      <c r="H195" s="36" t="s">
        <v>36</v>
      </c>
      <c r="I195" s="36">
        <v>3</v>
      </c>
      <c r="J195" s="36" t="s">
        <v>37</v>
      </c>
      <c r="K195" s="36" t="s">
        <v>275</v>
      </c>
      <c r="L195" s="38">
        <v>106.36767</v>
      </c>
      <c r="M195" s="38">
        <v>10.356579999999999</v>
      </c>
      <c r="N195" s="38" t="s">
        <v>270</v>
      </c>
      <c r="O195" s="39" t="s">
        <v>29</v>
      </c>
      <c r="P195" s="36" t="s">
        <v>271</v>
      </c>
      <c r="Q195" s="30" t="s">
        <v>31</v>
      </c>
      <c r="R195" s="40" t="s">
        <v>32</v>
      </c>
      <c r="S195" s="35">
        <v>48050</v>
      </c>
      <c r="T195" s="36" t="s">
        <v>301</v>
      </c>
      <c r="U195" s="30" t="s">
        <v>301</v>
      </c>
      <c r="V195" s="37" t="e">
        <v>#N/A</v>
      </c>
      <c r="W195" s="31" t="s">
        <v>63</v>
      </c>
      <c r="X195" s="37" t="s">
        <v>52</v>
      </c>
      <c r="Y195" s="37">
        <f>COUNTIF(F:F,F195)</f>
        <v>3</v>
      </c>
      <c r="Z195" s="21" t="s">
        <v>1100</v>
      </c>
      <c r="AA195" s="21" t="s">
        <v>301</v>
      </c>
      <c r="AB195" s="21" t="s">
        <v>1120</v>
      </c>
    </row>
    <row r="196" spans="1:28" ht="13.9" customHeight="1" x14ac:dyDescent="0.3">
      <c r="A196" s="30" t="s">
        <v>20</v>
      </c>
      <c r="B196" s="30" t="s">
        <v>21</v>
      </c>
      <c r="C196" s="30" t="s">
        <v>22</v>
      </c>
      <c r="D196" s="30" t="s">
        <v>23</v>
      </c>
      <c r="E196" s="30" t="s">
        <v>302</v>
      </c>
      <c r="F196" s="31" t="s">
        <v>302</v>
      </c>
      <c r="G196" s="30" t="s">
        <v>26</v>
      </c>
      <c r="H196" s="30" t="s">
        <v>36</v>
      </c>
      <c r="I196" s="30">
        <v>4</v>
      </c>
      <c r="J196" s="30" t="s">
        <v>26</v>
      </c>
      <c r="K196" s="30" t="s">
        <v>269</v>
      </c>
      <c r="L196" s="32">
        <v>106.36257000000001</v>
      </c>
      <c r="M196" s="32">
        <v>10.35797</v>
      </c>
      <c r="N196" s="32" t="s">
        <v>270</v>
      </c>
      <c r="O196" s="33" t="s">
        <v>29</v>
      </c>
      <c r="P196" s="30" t="s">
        <v>271</v>
      </c>
      <c r="Q196" s="30" t="s">
        <v>31</v>
      </c>
      <c r="R196" s="34" t="s">
        <v>32</v>
      </c>
      <c r="S196" s="35">
        <v>48050</v>
      </c>
      <c r="T196" s="36" t="s">
        <v>301</v>
      </c>
      <c r="U196" s="30" t="s">
        <v>301</v>
      </c>
      <c r="V196" s="37" t="e">
        <v>#N/A</v>
      </c>
      <c r="W196" s="31" t="s">
        <v>33</v>
      </c>
      <c r="X196" s="37"/>
      <c r="Y196" s="37">
        <f>COUNTIF(F:F,F196)</f>
        <v>1</v>
      </c>
      <c r="Z196" s="21" t="s">
        <v>1100</v>
      </c>
      <c r="AA196" s="21" t="s">
        <v>301</v>
      </c>
      <c r="AB196" s="21" t="s">
        <v>1120</v>
      </c>
    </row>
    <row r="197" spans="1:28" s="22" customFormat="1" ht="13.9" customHeight="1" x14ac:dyDescent="0.3">
      <c r="A197" s="45" t="s">
        <v>20</v>
      </c>
      <c r="B197" s="45" t="s">
        <v>21</v>
      </c>
      <c r="C197" s="45" t="s">
        <v>22</v>
      </c>
      <c r="D197" s="45" t="s">
        <v>23</v>
      </c>
      <c r="E197" s="45" t="s">
        <v>294</v>
      </c>
      <c r="F197" s="31" t="s">
        <v>295</v>
      </c>
      <c r="G197" s="30" t="s">
        <v>26</v>
      </c>
      <c r="H197" s="30" t="s">
        <v>36</v>
      </c>
      <c r="I197" s="30">
        <v>3</v>
      </c>
      <c r="J197" s="30" t="s">
        <v>37</v>
      </c>
      <c r="K197" s="30" t="s">
        <v>275</v>
      </c>
      <c r="L197" s="32">
        <v>106.38921000000001</v>
      </c>
      <c r="M197" s="32">
        <v>10.35153</v>
      </c>
      <c r="N197" s="32" t="s">
        <v>270</v>
      </c>
      <c r="O197" s="33" t="s">
        <v>29</v>
      </c>
      <c r="P197" s="30" t="s">
        <v>271</v>
      </c>
      <c r="Q197" s="30" t="s">
        <v>31</v>
      </c>
      <c r="R197" s="34" t="s">
        <v>32</v>
      </c>
      <c r="S197" s="35">
        <v>48050</v>
      </c>
      <c r="T197" s="36" t="s">
        <v>296</v>
      </c>
      <c r="U197" s="30" t="s">
        <v>301</v>
      </c>
      <c r="V197" s="37" t="e">
        <v>#N/A</v>
      </c>
      <c r="W197" s="31" t="s">
        <v>33</v>
      </c>
      <c r="X197" s="37"/>
      <c r="Y197" s="37">
        <f>COUNTIF(F:F,F197)</f>
        <v>1</v>
      </c>
      <c r="Z197" s="21" t="s">
        <v>1100</v>
      </c>
      <c r="AA197" s="21" t="s">
        <v>301</v>
      </c>
      <c r="AB197" s="21" t="s">
        <v>1120</v>
      </c>
    </row>
    <row r="198" spans="1:28" ht="13.9" customHeight="1" x14ac:dyDescent="0.3">
      <c r="A198" s="30" t="s">
        <v>20</v>
      </c>
      <c r="B198" s="30" t="s">
        <v>21</v>
      </c>
      <c r="C198" s="30" t="s">
        <v>22</v>
      </c>
      <c r="D198" s="30" t="s">
        <v>23</v>
      </c>
      <c r="E198" s="30" t="s">
        <v>316</v>
      </c>
      <c r="F198" s="31" t="s">
        <v>316</v>
      </c>
      <c r="G198" s="30" t="s">
        <v>26</v>
      </c>
      <c r="H198" s="30" t="s">
        <v>36</v>
      </c>
      <c r="I198" s="30">
        <v>3</v>
      </c>
      <c r="J198" s="30" t="s">
        <v>37</v>
      </c>
      <c r="K198" s="30" t="s">
        <v>275</v>
      </c>
      <c r="L198" s="32">
        <v>106.38173999999999</v>
      </c>
      <c r="M198" s="32">
        <v>10.358890000000001</v>
      </c>
      <c r="N198" s="32" t="s">
        <v>270</v>
      </c>
      <c r="O198" s="33" t="s">
        <v>29</v>
      </c>
      <c r="P198" s="30" t="s">
        <v>271</v>
      </c>
      <c r="Q198" s="30" t="s">
        <v>31</v>
      </c>
      <c r="R198" s="34" t="s">
        <v>32</v>
      </c>
      <c r="S198" s="35">
        <v>48050</v>
      </c>
      <c r="T198" s="36" t="s">
        <v>301</v>
      </c>
      <c r="U198" s="30" t="s">
        <v>301</v>
      </c>
      <c r="V198" s="37" t="e">
        <v>#N/A</v>
      </c>
      <c r="W198" s="31" t="s">
        <v>33</v>
      </c>
      <c r="X198" s="37" t="s">
        <v>42</v>
      </c>
      <c r="Y198" s="37">
        <f>COUNTIF(F:F,F198)</f>
        <v>2</v>
      </c>
      <c r="Z198" s="21" t="s">
        <v>1100</v>
      </c>
      <c r="AA198" s="21" t="s">
        <v>301</v>
      </c>
      <c r="AB198" s="21" t="s">
        <v>1120</v>
      </c>
    </row>
    <row r="199" spans="1:28" ht="13.9" customHeight="1" x14ac:dyDescent="0.3">
      <c r="A199" s="36" t="s">
        <v>20</v>
      </c>
      <c r="B199" s="36" t="s">
        <v>21</v>
      </c>
      <c r="C199" s="36" t="s">
        <v>22</v>
      </c>
      <c r="D199" s="36" t="s">
        <v>23</v>
      </c>
      <c r="E199" s="36" t="s">
        <v>317</v>
      </c>
      <c r="F199" s="31" t="s">
        <v>316</v>
      </c>
      <c r="G199" s="36" t="s">
        <v>26</v>
      </c>
      <c r="H199" s="36" t="s">
        <v>27</v>
      </c>
      <c r="I199" s="36">
        <v>3</v>
      </c>
      <c r="J199" s="36" t="s">
        <v>37</v>
      </c>
      <c r="K199" s="36" t="s">
        <v>275</v>
      </c>
      <c r="L199" s="38">
        <v>106.37645999999999</v>
      </c>
      <c r="M199" s="38">
        <v>10.35488</v>
      </c>
      <c r="N199" s="38" t="s">
        <v>270</v>
      </c>
      <c r="O199" s="39" t="s">
        <v>29</v>
      </c>
      <c r="P199" s="36" t="s">
        <v>311</v>
      </c>
      <c r="Q199" s="30" t="s">
        <v>31</v>
      </c>
      <c r="R199" s="40" t="s">
        <v>32</v>
      </c>
      <c r="S199" s="35">
        <v>48050</v>
      </c>
      <c r="T199" s="36" t="s">
        <v>301</v>
      </c>
      <c r="U199" s="30" t="s">
        <v>301</v>
      </c>
      <c r="V199" s="37" t="e">
        <v>#N/A</v>
      </c>
      <c r="W199" s="31" t="s">
        <v>63</v>
      </c>
      <c r="X199" s="37" t="s">
        <v>52</v>
      </c>
      <c r="Y199" s="37">
        <f>COUNTIF(F:F,F199)</f>
        <v>2</v>
      </c>
      <c r="Z199" s="21" t="s">
        <v>1100</v>
      </c>
      <c r="AA199" s="21" t="s">
        <v>301</v>
      </c>
      <c r="AB199" s="21" t="s">
        <v>1120</v>
      </c>
    </row>
    <row r="200" spans="1:28" s="22" customFormat="1" ht="13.9" customHeight="1" x14ac:dyDescent="0.3">
      <c r="A200" s="30" t="s">
        <v>20</v>
      </c>
      <c r="B200" s="30" t="s">
        <v>21</v>
      </c>
      <c r="C200" s="30" t="s">
        <v>22</v>
      </c>
      <c r="D200" s="30" t="s">
        <v>23</v>
      </c>
      <c r="E200" s="30" t="s">
        <v>318</v>
      </c>
      <c r="F200" s="31" t="s">
        <v>318</v>
      </c>
      <c r="G200" s="30" t="s">
        <v>26</v>
      </c>
      <c r="H200" s="30" t="s">
        <v>27</v>
      </c>
      <c r="I200" s="30">
        <v>3</v>
      </c>
      <c r="J200" s="30" t="s">
        <v>37</v>
      </c>
      <c r="K200" s="30" t="s">
        <v>275</v>
      </c>
      <c r="L200" s="32">
        <v>106.37463</v>
      </c>
      <c r="M200" s="32">
        <v>10.35181</v>
      </c>
      <c r="N200" s="32" t="s">
        <v>270</v>
      </c>
      <c r="O200" s="33" t="s">
        <v>29</v>
      </c>
      <c r="P200" s="30" t="s">
        <v>311</v>
      </c>
      <c r="Q200" s="30" t="s">
        <v>31</v>
      </c>
      <c r="R200" s="34" t="s">
        <v>32</v>
      </c>
      <c r="S200" s="35">
        <v>48050</v>
      </c>
      <c r="T200" s="36" t="s">
        <v>301</v>
      </c>
      <c r="U200" s="30" t="s">
        <v>301</v>
      </c>
      <c r="V200" s="37" t="e">
        <v>#N/A</v>
      </c>
      <c r="W200" s="31" t="s">
        <v>33</v>
      </c>
      <c r="X200" s="37" t="s">
        <v>42</v>
      </c>
      <c r="Y200" s="37">
        <f>COUNTIF(F:F,F200)</f>
        <v>2</v>
      </c>
      <c r="Z200" s="21" t="s">
        <v>1100</v>
      </c>
      <c r="AA200" s="21" t="s">
        <v>301</v>
      </c>
      <c r="AB200" s="21" t="s">
        <v>1120</v>
      </c>
    </row>
    <row r="201" spans="1:28" ht="13.9" customHeight="1" x14ac:dyDescent="0.3">
      <c r="A201" s="36" t="s">
        <v>20</v>
      </c>
      <c r="B201" s="36" t="s">
        <v>21</v>
      </c>
      <c r="C201" s="36" t="s">
        <v>22</v>
      </c>
      <c r="D201" s="36" t="s">
        <v>23</v>
      </c>
      <c r="E201" s="36" t="s">
        <v>319</v>
      </c>
      <c r="F201" s="31" t="s">
        <v>318</v>
      </c>
      <c r="G201" s="36" t="s">
        <v>26</v>
      </c>
      <c r="H201" s="36" t="s">
        <v>36</v>
      </c>
      <c r="I201" s="36">
        <v>3</v>
      </c>
      <c r="J201" s="36" t="s">
        <v>37</v>
      </c>
      <c r="K201" s="36" t="s">
        <v>275</v>
      </c>
      <c r="L201" s="38">
        <v>106.371803</v>
      </c>
      <c r="M201" s="38">
        <v>10.361242000000001</v>
      </c>
      <c r="N201" s="38" t="s">
        <v>270</v>
      </c>
      <c r="O201" s="39" t="s">
        <v>29</v>
      </c>
      <c r="P201" s="36" t="s">
        <v>271</v>
      </c>
      <c r="Q201" s="30" t="s">
        <v>31</v>
      </c>
      <c r="R201" s="40" t="s">
        <v>32</v>
      </c>
      <c r="S201" s="35">
        <v>48050</v>
      </c>
      <c r="T201" s="36" t="s">
        <v>301</v>
      </c>
      <c r="U201" s="30" t="s">
        <v>301</v>
      </c>
      <c r="V201" s="37" t="e">
        <v>#N/A</v>
      </c>
      <c r="W201" s="31" t="s">
        <v>63</v>
      </c>
      <c r="X201" s="37" t="s">
        <v>52</v>
      </c>
      <c r="Y201" s="37">
        <f>COUNTIF(F:F,F201)</f>
        <v>2</v>
      </c>
      <c r="Z201" s="21" t="s">
        <v>1100</v>
      </c>
      <c r="AA201" s="21" t="s">
        <v>301</v>
      </c>
      <c r="AB201" s="21" t="s">
        <v>1120</v>
      </c>
    </row>
    <row r="202" spans="1:28" ht="13.9" customHeight="1" x14ac:dyDescent="0.3">
      <c r="A202" s="30" t="s">
        <v>20</v>
      </c>
      <c r="B202" s="30" t="s">
        <v>21</v>
      </c>
      <c r="C202" s="30" t="s">
        <v>22</v>
      </c>
      <c r="D202" s="30" t="s">
        <v>23</v>
      </c>
      <c r="E202" s="30" t="s">
        <v>274</v>
      </c>
      <c r="F202" s="31" t="s">
        <v>274</v>
      </c>
      <c r="G202" s="30" t="s">
        <v>26</v>
      </c>
      <c r="H202" s="30" t="s">
        <v>36</v>
      </c>
      <c r="I202" s="30">
        <v>3</v>
      </c>
      <c r="J202" s="30" t="s">
        <v>37</v>
      </c>
      <c r="K202" s="30" t="s">
        <v>275</v>
      </c>
      <c r="L202" s="32">
        <v>106.39848000000001</v>
      </c>
      <c r="M202" s="32">
        <v>10.35294</v>
      </c>
      <c r="N202" s="32" t="s">
        <v>270</v>
      </c>
      <c r="O202" s="33" t="s">
        <v>29</v>
      </c>
      <c r="P202" s="30" t="s">
        <v>271</v>
      </c>
      <c r="Q202" s="47" t="s">
        <v>31</v>
      </c>
      <c r="R202" s="34" t="s">
        <v>32</v>
      </c>
      <c r="S202" s="35">
        <v>48050</v>
      </c>
      <c r="T202" s="80" t="s">
        <v>1084</v>
      </c>
      <c r="U202" s="30" t="s">
        <v>301</v>
      </c>
      <c r="V202" s="37" t="e">
        <v>#N/A</v>
      </c>
      <c r="W202" s="31" t="s">
        <v>33</v>
      </c>
      <c r="X202" s="37"/>
      <c r="Y202" s="37">
        <f>COUNTIF(F:F,F202)</f>
        <v>1</v>
      </c>
      <c r="Z202" s="21" t="s">
        <v>1100</v>
      </c>
      <c r="AA202" s="21" t="s">
        <v>301</v>
      </c>
      <c r="AB202" s="21" t="s">
        <v>1120</v>
      </c>
    </row>
    <row r="203" spans="1:28" ht="13.9" customHeight="1" x14ac:dyDescent="0.3">
      <c r="A203" s="30" t="s">
        <v>20</v>
      </c>
      <c r="B203" s="30" t="s">
        <v>21</v>
      </c>
      <c r="C203" s="30" t="s">
        <v>22</v>
      </c>
      <c r="D203" s="30" t="s">
        <v>23</v>
      </c>
      <c r="E203" s="30" t="s">
        <v>320</v>
      </c>
      <c r="F203" s="31" t="s">
        <v>320</v>
      </c>
      <c r="G203" s="30" t="s">
        <v>26</v>
      </c>
      <c r="H203" s="30" t="s">
        <v>27</v>
      </c>
      <c r="I203" s="30">
        <v>3</v>
      </c>
      <c r="J203" s="30" t="s">
        <v>37</v>
      </c>
      <c r="K203" s="30" t="s">
        <v>282</v>
      </c>
      <c r="L203" s="32">
        <v>106.38564</v>
      </c>
      <c r="M203" s="32">
        <v>10.355460000000001</v>
      </c>
      <c r="N203" s="32" t="s">
        <v>270</v>
      </c>
      <c r="O203" s="33" t="s">
        <v>29</v>
      </c>
      <c r="P203" s="30" t="s">
        <v>311</v>
      </c>
      <c r="Q203" s="30" t="s">
        <v>31</v>
      </c>
      <c r="R203" s="34" t="s">
        <v>32</v>
      </c>
      <c r="S203" s="35">
        <v>48050</v>
      </c>
      <c r="T203" s="36" t="s">
        <v>301</v>
      </c>
      <c r="U203" s="30" t="s">
        <v>301</v>
      </c>
      <c r="V203" s="37" t="e">
        <v>#N/A</v>
      </c>
      <c r="W203" s="31" t="s">
        <v>33</v>
      </c>
      <c r="X203" s="37" t="s">
        <v>42</v>
      </c>
      <c r="Y203" s="37">
        <f>COUNTIF(F:F,F203)</f>
        <v>3</v>
      </c>
      <c r="Z203" s="21" t="s">
        <v>1100</v>
      </c>
      <c r="AA203" s="21" t="s">
        <v>301</v>
      </c>
      <c r="AB203" s="21" t="s">
        <v>1120</v>
      </c>
    </row>
    <row r="204" spans="1:28" ht="13.9" customHeight="1" x14ac:dyDescent="0.3">
      <c r="A204" s="30" t="s">
        <v>20</v>
      </c>
      <c r="B204" s="30" t="s">
        <v>21</v>
      </c>
      <c r="C204" s="30" t="s">
        <v>22</v>
      </c>
      <c r="D204" s="30" t="s">
        <v>23</v>
      </c>
      <c r="E204" s="30" t="s">
        <v>640</v>
      </c>
      <c r="F204" s="31" t="s">
        <v>320</v>
      </c>
      <c r="G204" s="30" t="s">
        <v>26</v>
      </c>
      <c r="H204" s="30" t="s">
        <v>27</v>
      </c>
      <c r="I204" s="30">
        <v>3</v>
      </c>
      <c r="J204" s="30"/>
      <c r="K204" s="30"/>
      <c r="L204" s="32">
        <v>106.39532</v>
      </c>
      <c r="M204" s="32">
        <v>10.360049999999999</v>
      </c>
      <c r="N204" s="32" t="s">
        <v>270</v>
      </c>
      <c r="O204" s="33" t="s">
        <v>29</v>
      </c>
      <c r="P204" s="30" t="s">
        <v>30</v>
      </c>
      <c r="Q204" s="30" t="s">
        <v>31</v>
      </c>
      <c r="R204" s="34" t="s">
        <v>32</v>
      </c>
      <c r="S204" s="35">
        <v>48050</v>
      </c>
      <c r="T204" s="36" t="s">
        <v>272</v>
      </c>
      <c r="U204" s="30" t="s">
        <v>301</v>
      </c>
      <c r="V204" s="37" t="s">
        <v>49</v>
      </c>
      <c r="W204" s="31" t="s">
        <v>50</v>
      </c>
      <c r="X204" s="37" t="s">
        <v>52</v>
      </c>
      <c r="Y204" s="37">
        <f>COUNTIF(F:F,F204)</f>
        <v>3</v>
      </c>
      <c r="Z204" s="21" t="s">
        <v>1100</v>
      </c>
      <c r="AA204" s="21" t="s">
        <v>301</v>
      </c>
      <c r="AB204" s="21" t="s">
        <v>1120</v>
      </c>
    </row>
    <row r="205" spans="1:28" ht="13.9" customHeight="1" x14ac:dyDescent="0.3">
      <c r="A205" s="30" t="s">
        <v>20</v>
      </c>
      <c r="B205" s="30" t="s">
        <v>21</v>
      </c>
      <c r="C205" s="30" t="s">
        <v>22</v>
      </c>
      <c r="D205" s="30" t="s">
        <v>23</v>
      </c>
      <c r="E205" s="30" t="s">
        <v>321</v>
      </c>
      <c r="F205" s="31" t="s">
        <v>320</v>
      </c>
      <c r="G205" s="30" t="s">
        <v>26</v>
      </c>
      <c r="H205" s="30" t="s">
        <v>36</v>
      </c>
      <c r="I205" s="30">
        <v>3</v>
      </c>
      <c r="J205" s="30" t="s">
        <v>37</v>
      </c>
      <c r="K205" s="30" t="s">
        <v>282</v>
      </c>
      <c r="L205" s="32">
        <v>106.3823</v>
      </c>
      <c r="M205" s="32">
        <v>10.352399999999999</v>
      </c>
      <c r="N205" s="32" t="s">
        <v>270</v>
      </c>
      <c r="O205" s="33" t="s">
        <v>29</v>
      </c>
      <c r="P205" s="30" t="s">
        <v>39</v>
      </c>
      <c r="Q205" s="30" t="s">
        <v>31</v>
      </c>
      <c r="R205" s="34" t="s">
        <v>32</v>
      </c>
      <c r="S205" s="35">
        <v>48050</v>
      </c>
      <c r="T205" s="36" t="s">
        <v>301</v>
      </c>
      <c r="U205" s="30" t="s">
        <v>301</v>
      </c>
      <c r="V205" s="37" t="e">
        <v>#N/A</v>
      </c>
      <c r="W205" s="31" t="s">
        <v>63</v>
      </c>
      <c r="X205" s="37" t="s">
        <v>52</v>
      </c>
      <c r="Y205" s="37">
        <f>COUNTIF(F:F,F205)</f>
        <v>3</v>
      </c>
      <c r="Z205" s="21" t="s">
        <v>1100</v>
      </c>
      <c r="AA205" s="21" t="s">
        <v>301</v>
      </c>
      <c r="AB205" s="21" t="s">
        <v>1120</v>
      </c>
    </row>
    <row r="206" spans="1:28" ht="13.9" customHeight="1" x14ac:dyDescent="0.3">
      <c r="A206" s="30" t="s">
        <v>20</v>
      </c>
      <c r="B206" s="30" t="s">
        <v>21</v>
      </c>
      <c r="C206" s="30" t="s">
        <v>22</v>
      </c>
      <c r="D206" s="30" t="s">
        <v>23</v>
      </c>
      <c r="E206" s="30" t="s">
        <v>308</v>
      </c>
      <c r="F206" s="31" t="s">
        <v>308</v>
      </c>
      <c r="G206" s="30" t="s">
        <v>26</v>
      </c>
      <c r="H206" s="30" t="s">
        <v>36</v>
      </c>
      <c r="I206" s="30">
        <v>3</v>
      </c>
      <c r="J206" s="30" t="s">
        <v>37</v>
      </c>
      <c r="K206" s="30" t="s">
        <v>275</v>
      </c>
      <c r="L206" s="32">
        <v>106.37242999999999</v>
      </c>
      <c r="M206" s="32">
        <v>10.35772</v>
      </c>
      <c r="N206" s="32" t="s">
        <v>270</v>
      </c>
      <c r="O206" s="33" t="s">
        <v>29</v>
      </c>
      <c r="P206" s="30" t="s">
        <v>271</v>
      </c>
      <c r="Q206" s="30" t="s">
        <v>31</v>
      </c>
      <c r="R206" s="34" t="s">
        <v>32</v>
      </c>
      <c r="S206" s="35">
        <v>48050</v>
      </c>
      <c r="T206" s="36" t="s">
        <v>301</v>
      </c>
      <c r="U206" s="30" t="s">
        <v>301</v>
      </c>
      <c r="V206" s="37" t="e">
        <v>#N/A</v>
      </c>
      <c r="W206" s="31" t="s">
        <v>33</v>
      </c>
      <c r="X206" s="37"/>
      <c r="Y206" s="37">
        <f>COUNTIF(F:F,F206)</f>
        <v>1</v>
      </c>
      <c r="Z206" s="21" t="s">
        <v>1100</v>
      </c>
      <c r="AA206" s="21" t="s">
        <v>301</v>
      </c>
      <c r="AB206" s="21" t="s">
        <v>1120</v>
      </c>
    </row>
    <row r="207" spans="1:28" ht="13.9" customHeight="1" x14ac:dyDescent="0.3">
      <c r="A207" s="30" t="s">
        <v>20</v>
      </c>
      <c r="B207" s="30" t="s">
        <v>21</v>
      </c>
      <c r="C207" s="30" t="s">
        <v>22</v>
      </c>
      <c r="D207" s="30" t="s">
        <v>23</v>
      </c>
      <c r="E207" s="30" t="s">
        <v>309</v>
      </c>
      <c r="F207" s="31" t="s">
        <v>309</v>
      </c>
      <c r="G207" s="30" t="s">
        <v>26</v>
      </c>
      <c r="H207" s="30" t="s">
        <v>36</v>
      </c>
      <c r="I207" s="30">
        <v>4</v>
      </c>
      <c r="J207" s="30" t="s">
        <v>37</v>
      </c>
      <c r="K207" s="30" t="s">
        <v>38</v>
      </c>
      <c r="L207" s="32">
        <v>106.362061</v>
      </c>
      <c r="M207" s="32">
        <v>10.35366</v>
      </c>
      <c r="N207" s="32" t="s">
        <v>270</v>
      </c>
      <c r="O207" s="33" t="s">
        <v>29</v>
      </c>
      <c r="P207" s="30" t="s">
        <v>271</v>
      </c>
      <c r="Q207" s="30" t="s">
        <v>31</v>
      </c>
      <c r="R207" s="34" t="s">
        <v>32</v>
      </c>
      <c r="S207" s="35">
        <v>48050</v>
      </c>
      <c r="T207" s="36" t="s">
        <v>301</v>
      </c>
      <c r="U207" s="30" t="s">
        <v>301</v>
      </c>
      <c r="V207" s="37" t="e">
        <v>#N/A</v>
      </c>
      <c r="W207" s="31" t="s">
        <v>33</v>
      </c>
      <c r="X207" s="37"/>
      <c r="Y207" s="37">
        <f>COUNTIF(F:F,F207)</f>
        <v>1</v>
      </c>
      <c r="Z207" s="21" t="s">
        <v>1100</v>
      </c>
      <c r="AA207" s="21" t="s">
        <v>301</v>
      </c>
      <c r="AB207" s="21" t="s">
        <v>1120</v>
      </c>
    </row>
    <row r="208" spans="1:28" ht="13.9" customHeight="1" x14ac:dyDescent="0.3">
      <c r="A208" s="30" t="s">
        <v>20</v>
      </c>
      <c r="B208" s="30" t="s">
        <v>21</v>
      </c>
      <c r="C208" s="30" t="s">
        <v>22</v>
      </c>
      <c r="D208" s="30" t="s">
        <v>23</v>
      </c>
      <c r="E208" s="30" t="s">
        <v>310</v>
      </c>
      <c r="F208" s="31" t="s">
        <v>310</v>
      </c>
      <c r="G208" s="30" t="s">
        <v>26</v>
      </c>
      <c r="H208" s="30" t="s">
        <v>27</v>
      </c>
      <c r="I208" s="30">
        <v>3</v>
      </c>
      <c r="J208" s="30" t="s">
        <v>37</v>
      </c>
      <c r="K208" s="30" t="s">
        <v>275</v>
      </c>
      <c r="L208" s="32">
        <v>106.36960000000001</v>
      </c>
      <c r="M208" s="32">
        <v>10.348520000000001</v>
      </c>
      <c r="N208" s="32" t="s">
        <v>270</v>
      </c>
      <c r="O208" s="33" t="s">
        <v>29</v>
      </c>
      <c r="P208" s="30" t="s">
        <v>311</v>
      </c>
      <c r="Q208" s="30" t="s">
        <v>31</v>
      </c>
      <c r="R208" s="34" t="s">
        <v>32</v>
      </c>
      <c r="S208" s="35">
        <v>48050</v>
      </c>
      <c r="T208" s="36" t="s">
        <v>301</v>
      </c>
      <c r="U208" s="30" t="s">
        <v>301</v>
      </c>
      <c r="V208" s="37" t="e">
        <v>#N/A</v>
      </c>
      <c r="W208" s="31" t="s">
        <v>33</v>
      </c>
      <c r="X208" s="37"/>
      <c r="Y208" s="37">
        <f>COUNTIF(F:F,F208)</f>
        <v>1</v>
      </c>
      <c r="Z208" s="21" t="s">
        <v>1100</v>
      </c>
      <c r="AA208" s="21" t="s">
        <v>301</v>
      </c>
      <c r="AB208" s="21" t="s">
        <v>1120</v>
      </c>
    </row>
    <row r="209" spans="1:28" s="22" customFormat="1" ht="13.9" customHeight="1" x14ac:dyDescent="0.3">
      <c r="A209" s="30" t="s">
        <v>20</v>
      </c>
      <c r="B209" s="30" t="s">
        <v>21</v>
      </c>
      <c r="C209" s="30" t="s">
        <v>22</v>
      </c>
      <c r="D209" s="30" t="s">
        <v>23</v>
      </c>
      <c r="E209" s="30" t="s">
        <v>312</v>
      </c>
      <c r="F209" s="31" t="s">
        <v>312</v>
      </c>
      <c r="G209" s="30" t="s">
        <v>26</v>
      </c>
      <c r="H209" s="30" t="s">
        <v>27</v>
      </c>
      <c r="I209" s="30">
        <v>3</v>
      </c>
      <c r="J209" s="30"/>
      <c r="K209" s="30"/>
      <c r="L209" s="32">
        <v>106.36959</v>
      </c>
      <c r="M209" s="32">
        <v>10.353289999999999</v>
      </c>
      <c r="N209" s="32" t="s">
        <v>270</v>
      </c>
      <c r="O209" s="33" t="s">
        <v>29</v>
      </c>
      <c r="P209" s="30" t="s">
        <v>30</v>
      </c>
      <c r="Q209" s="30" t="s">
        <v>31</v>
      </c>
      <c r="R209" s="34" t="s">
        <v>32</v>
      </c>
      <c r="S209" s="35">
        <v>48050</v>
      </c>
      <c r="T209" s="36" t="s">
        <v>301</v>
      </c>
      <c r="U209" s="30" t="s">
        <v>301</v>
      </c>
      <c r="V209" s="37" t="e">
        <v>#N/A</v>
      </c>
      <c r="W209" s="31" t="s">
        <v>33</v>
      </c>
      <c r="X209" s="37"/>
      <c r="Y209" s="37">
        <f>COUNTIF(F:F,F209)</f>
        <v>1</v>
      </c>
      <c r="Z209" s="21" t="s">
        <v>1100</v>
      </c>
      <c r="AA209" s="21" t="s">
        <v>301</v>
      </c>
      <c r="AB209" s="21" t="s">
        <v>1120</v>
      </c>
    </row>
    <row r="210" spans="1:28" ht="13.9" customHeight="1" x14ac:dyDescent="0.3">
      <c r="A210" s="30" t="s">
        <v>20</v>
      </c>
      <c r="B210" s="30" t="s">
        <v>21</v>
      </c>
      <c r="C210" s="30" t="s">
        <v>22</v>
      </c>
      <c r="D210" s="30" t="s">
        <v>23</v>
      </c>
      <c r="E210" s="30" t="s">
        <v>303</v>
      </c>
      <c r="F210" s="31" t="s">
        <v>303</v>
      </c>
      <c r="G210" s="30" t="s">
        <v>26</v>
      </c>
      <c r="H210" s="30" t="s">
        <v>27</v>
      </c>
      <c r="I210" s="30">
        <v>3</v>
      </c>
      <c r="J210" s="30" t="s">
        <v>26</v>
      </c>
      <c r="K210" s="30" t="s">
        <v>269</v>
      </c>
      <c r="L210" s="32">
        <v>106.37161</v>
      </c>
      <c r="M210" s="32">
        <v>10.3644</v>
      </c>
      <c r="N210" s="32" t="s">
        <v>270</v>
      </c>
      <c r="O210" s="33" t="s">
        <v>29</v>
      </c>
      <c r="P210" s="30" t="s">
        <v>304</v>
      </c>
      <c r="Q210" s="30" t="s">
        <v>31</v>
      </c>
      <c r="R210" s="34" t="s">
        <v>32</v>
      </c>
      <c r="S210" s="35">
        <v>48050</v>
      </c>
      <c r="T210" s="36" t="s">
        <v>301</v>
      </c>
      <c r="U210" s="30" t="s">
        <v>301</v>
      </c>
      <c r="V210" s="37" t="e">
        <v>#N/A</v>
      </c>
      <c r="W210" s="31" t="s">
        <v>33</v>
      </c>
      <c r="X210" s="37"/>
      <c r="Y210" s="37">
        <f>COUNTIF(F:F,F210)</f>
        <v>1</v>
      </c>
      <c r="Z210" s="21" t="s">
        <v>1100</v>
      </c>
      <c r="AA210" s="21" t="s">
        <v>301</v>
      </c>
      <c r="AB210" s="21" t="s">
        <v>1120</v>
      </c>
    </row>
    <row r="211" spans="1:28" ht="13.9" customHeight="1" x14ac:dyDescent="0.3">
      <c r="A211" s="30" t="s">
        <v>20</v>
      </c>
      <c r="B211" s="30" t="s">
        <v>21</v>
      </c>
      <c r="C211" s="30" t="s">
        <v>22</v>
      </c>
      <c r="D211" s="30" t="s">
        <v>23</v>
      </c>
      <c r="E211" s="30" t="s">
        <v>639</v>
      </c>
      <c r="F211" s="53" t="s">
        <v>322</v>
      </c>
      <c r="G211" s="30" t="s">
        <v>26</v>
      </c>
      <c r="H211" s="30" t="s">
        <v>36</v>
      </c>
      <c r="I211" s="30">
        <v>3</v>
      </c>
      <c r="J211" s="30" t="s">
        <v>37</v>
      </c>
      <c r="K211" s="30" t="s">
        <v>275</v>
      </c>
      <c r="L211" s="32">
        <v>106.37867</v>
      </c>
      <c r="M211" s="32">
        <v>10.35744</v>
      </c>
      <c r="N211" s="32" t="s">
        <v>270</v>
      </c>
      <c r="O211" s="33" t="s">
        <v>29</v>
      </c>
      <c r="P211" s="30" t="s">
        <v>271</v>
      </c>
      <c r="Q211" s="30" t="s">
        <v>31</v>
      </c>
      <c r="R211" s="34" t="s">
        <v>32</v>
      </c>
      <c r="S211" s="35">
        <v>48050</v>
      </c>
      <c r="T211" s="36" t="s">
        <v>301</v>
      </c>
      <c r="U211" s="30" t="s">
        <v>301</v>
      </c>
      <c r="V211" s="37" t="s">
        <v>49</v>
      </c>
      <c r="W211" s="31" t="s">
        <v>50</v>
      </c>
      <c r="X211" s="37" t="s">
        <v>52</v>
      </c>
      <c r="Y211" s="37">
        <f>COUNTIF(F:F,F211)</f>
        <v>3</v>
      </c>
      <c r="Z211" s="21" t="s">
        <v>1100</v>
      </c>
      <c r="AA211" s="21" t="s">
        <v>301</v>
      </c>
      <c r="AB211" s="21" t="s">
        <v>1120</v>
      </c>
    </row>
    <row r="212" spans="1:28" ht="13.9" customHeight="1" x14ac:dyDescent="0.3">
      <c r="A212" s="30" t="s">
        <v>20</v>
      </c>
      <c r="B212" s="30" t="s">
        <v>21</v>
      </c>
      <c r="C212" s="30" t="s">
        <v>22</v>
      </c>
      <c r="D212" s="30" t="s">
        <v>23</v>
      </c>
      <c r="E212" s="30" t="s">
        <v>322</v>
      </c>
      <c r="F212" s="31" t="s">
        <v>322</v>
      </c>
      <c r="G212" s="30" t="s">
        <v>26</v>
      </c>
      <c r="H212" s="30" t="s">
        <v>36</v>
      </c>
      <c r="I212" s="30">
        <v>4</v>
      </c>
      <c r="J212" s="30" t="s">
        <v>37</v>
      </c>
      <c r="K212" s="30" t="s">
        <v>282</v>
      </c>
      <c r="L212" s="32">
        <v>106.3812667</v>
      </c>
      <c r="M212" s="32">
        <v>10.3516405</v>
      </c>
      <c r="N212" s="32" t="s">
        <v>270</v>
      </c>
      <c r="O212" s="33" t="s">
        <v>29</v>
      </c>
      <c r="P212" s="30" t="s">
        <v>39</v>
      </c>
      <c r="Q212" s="30" t="s">
        <v>31</v>
      </c>
      <c r="R212" s="34" t="s">
        <v>32</v>
      </c>
      <c r="S212" s="35">
        <v>48050</v>
      </c>
      <c r="T212" s="36" t="s">
        <v>301</v>
      </c>
      <c r="U212" s="30" t="s">
        <v>301</v>
      </c>
      <c r="V212" s="37" t="e">
        <v>#N/A</v>
      </c>
      <c r="W212" s="31" t="s">
        <v>33</v>
      </c>
      <c r="X212" s="37" t="s">
        <v>42</v>
      </c>
      <c r="Y212" s="37">
        <f>COUNTIF(F:F,F212)</f>
        <v>3</v>
      </c>
      <c r="Z212" s="21" t="s">
        <v>1100</v>
      </c>
      <c r="AA212" s="21" t="s">
        <v>301</v>
      </c>
      <c r="AB212" s="21" t="s">
        <v>1120</v>
      </c>
    </row>
    <row r="213" spans="1:28" ht="13.9" customHeight="1" x14ac:dyDescent="0.3">
      <c r="A213" s="41" t="s">
        <v>20</v>
      </c>
      <c r="B213" s="41" t="s">
        <v>21</v>
      </c>
      <c r="C213" s="41" t="s">
        <v>22</v>
      </c>
      <c r="D213" s="41" t="s">
        <v>23</v>
      </c>
      <c r="E213" s="41" t="s">
        <v>323</v>
      </c>
      <c r="F213" s="31" t="s">
        <v>322</v>
      </c>
      <c r="G213" s="41" t="s">
        <v>26</v>
      </c>
      <c r="H213" s="36" t="s">
        <v>27</v>
      </c>
      <c r="I213" s="36">
        <v>3</v>
      </c>
      <c r="J213" s="36" t="s">
        <v>37</v>
      </c>
      <c r="K213" s="36" t="s">
        <v>282</v>
      </c>
      <c r="L213" s="38">
        <v>106.3954</v>
      </c>
      <c r="M213" s="38">
        <v>10.350149999999999</v>
      </c>
      <c r="N213" s="38" t="s">
        <v>270</v>
      </c>
      <c r="O213" s="39" t="s">
        <v>29</v>
      </c>
      <c r="P213" s="36" t="s">
        <v>311</v>
      </c>
      <c r="Q213" s="41" t="s">
        <v>31</v>
      </c>
      <c r="R213" s="42" t="s">
        <v>32</v>
      </c>
      <c r="S213" s="35">
        <v>48050</v>
      </c>
      <c r="T213" s="36" t="s">
        <v>296</v>
      </c>
      <c r="U213" s="30" t="s">
        <v>301</v>
      </c>
      <c r="V213" s="37" t="e">
        <v>#N/A</v>
      </c>
      <c r="W213" s="31" t="s">
        <v>63</v>
      </c>
      <c r="X213" s="37" t="s">
        <v>52</v>
      </c>
      <c r="Y213" s="37">
        <f>COUNTIF(F:F,F213)</f>
        <v>3</v>
      </c>
      <c r="Z213" s="21" t="s">
        <v>1100</v>
      </c>
      <c r="AA213" s="21" t="s">
        <v>301</v>
      </c>
      <c r="AB213" s="21" t="s">
        <v>1120</v>
      </c>
    </row>
    <row r="214" spans="1:28" ht="13.9" customHeight="1" x14ac:dyDescent="0.3">
      <c r="A214" s="30" t="s">
        <v>20</v>
      </c>
      <c r="B214" s="30" t="s">
        <v>21</v>
      </c>
      <c r="C214" s="30" t="s">
        <v>22</v>
      </c>
      <c r="D214" s="30" t="s">
        <v>23</v>
      </c>
      <c r="E214" s="30" t="s">
        <v>313</v>
      </c>
      <c r="F214" s="31" t="s">
        <v>313</v>
      </c>
      <c r="G214" s="30" t="s">
        <v>26</v>
      </c>
      <c r="H214" s="30" t="s">
        <v>27</v>
      </c>
      <c r="I214" s="30">
        <v>3</v>
      </c>
      <c r="J214" s="30"/>
      <c r="K214" s="30"/>
      <c r="L214" s="32">
        <v>106.38319</v>
      </c>
      <c r="M214" s="32">
        <v>10.344720000000001</v>
      </c>
      <c r="N214" s="32" t="s">
        <v>270</v>
      </c>
      <c r="O214" s="33" t="s">
        <v>29</v>
      </c>
      <c r="P214" s="30" t="s">
        <v>30</v>
      </c>
      <c r="Q214" s="30" t="s">
        <v>31</v>
      </c>
      <c r="R214" s="34" t="s">
        <v>32</v>
      </c>
      <c r="S214" s="35">
        <v>48050</v>
      </c>
      <c r="T214" s="36" t="s">
        <v>301</v>
      </c>
      <c r="U214" s="30" t="s">
        <v>301</v>
      </c>
      <c r="V214" s="37" t="e">
        <v>#N/A</v>
      </c>
      <c r="W214" s="31" t="s">
        <v>33</v>
      </c>
      <c r="X214" s="37"/>
      <c r="Y214" s="37">
        <f>COUNTIF(F:F,F214)</f>
        <v>1</v>
      </c>
      <c r="Z214" s="21" t="s">
        <v>1100</v>
      </c>
      <c r="AA214" s="21" t="s">
        <v>301</v>
      </c>
      <c r="AB214" s="21" t="s">
        <v>1120</v>
      </c>
    </row>
    <row r="215" spans="1:28" ht="13.9" customHeight="1" x14ac:dyDescent="0.3">
      <c r="A215" s="45" t="s">
        <v>20</v>
      </c>
      <c r="B215" s="45" t="s">
        <v>21</v>
      </c>
      <c r="C215" s="45" t="s">
        <v>22</v>
      </c>
      <c r="D215" s="45" t="s">
        <v>23</v>
      </c>
      <c r="E215" s="45" t="s">
        <v>299</v>
      </c>
      <c r="F215" s="31" t="s">
        <v>299</v>
      </c>
      <c r="G215" s="30" t="s">
        <v>26</v>
      </c>
      <c r="H215" s="30" t="s">
        <v>27</v>
      </c>
      <c r="I215" s="30">
        <v>3</v>
      </c>
      <c r="J215" s="30"/>
      <c r="K215" s="30"/>
      <c r="L215" s="32">
        <v>106.39511</v>
      </c>
      <c r="M215" s="32">
        <v>10.34557</v>
      </c>
      <c r="N215" s="32" t="s">
        <v>270</v>
      </c>
      <c r="O215" s="33" t="s">
        <v>29</v>
      </c>
      <c r="P215" s="30" t="s">
        <v>30</v>
      </c>
      <c r="Q215" s="30" t="s">
        <v>31</v>
      </c>
      <c r="R215" s="34" t="s">
        <v>32</v>
      </c>
      <c r="S215" s="35">
        <v>48050</v>
      </c>
      <c r="T215" s="36" t="s">
        <v>296</v>
      </c>
      <c r="U215" s="30" t="s">
        <v>301</v>
      </c>
      <c r="V215" s="37" t="e">
        <v>#N/A</v>
      </c>
      <c r="W215" s="31" t="s">
        <v>33</v>
      </c>
      <c r="X215" s="37"/>
      <c r="Y215" s="37">
        <f>COUNTIF(F:F,F215)</f>
        <v>1</v>
      </c>
      <c r="Z215" s="21" t="s">
        <v>1100</v>
      </c>
      <c r="AA215" s="21" t="s">
        <v>301</v>
      </c>
      <c r="AB215" s="21" t="s">
        <v>1120</v>
      </c>
    </row>
    <row r="216" spans="1:28" ht="13.9" customHeight="1" x14ac:dyDescent="0.3">
      <c r="A216" s="30" t="s">
        <v>20</v>
      </c>
      <c r="B216" s="30" t="s">
        <v>21</v>
      </c>
      <c r="C216" s="30" t="s">
        <v>22</v>
      </c>
      <c r="D216" s="30" t="s">
        <v>23</v>
      </c>
      <c r="E216" s="30" t="s">
        <v>314</v>
      </c>
      <c r="F216" s="31" t="s">
        <v>314</v>
      </c>
      <c r="G216" s="30" t="s">
        <v>26</v>
      </c>
      <c r="H216" s="30" t="s">
        <v>27</v>
      </c>
      <c r="I216" s="30">
        <v>3</v>
      </c>
      <c r="J216" s="30" t="s">
        <v>37</v>
      </c>
      <c r="K216" s="30" t="s">
        <v>282</v>
      </c>
      <c r="L216" s="32">
        <v>106.3639</v>
      </c>
      <c r="M216" s="32">
        <v>10.357355999999999</v>
      </c>
      <c r="N216" s="32" t="s">
        <v>270</v>
      </c>
      <c r="O216" s="33" t="s">
        <v>29</v>
      </c>
      <c r="P216" s="30" t="s">
        <v>311</v>
      </c>
      <c r="Q216" s="30" t="s">
        <v>31</v>
      </c>
      <c r="R216" s="34" t="s">
        <v>32</v>
      </c>
      <c r="S216" s="35">
        <v>48050</v>
      </c>
      <c r="T216" s="36" t="s">
        <v>301</v>
      </c>
      <c r="U216" s="30" t="s">
        <v>301</v>
      </c>
      <c r="V216" s="37" t="e">
        <v>#N/A</v>
      </c>
      <c r="W216" s="31" t="s">
        <v>33</v>
      </c>
      <c r="X216" s="37"/>
      <c r="Y216" s="37">
        <f>COUNTIF(F:F,F216)</f>
        <v>1</v>
      </c>
      <c r="Z216" s="21" t="s">
        <v>1100</v>
      </c>
      <c r="AA216" s="21" t="s">
        <v>301</v>
      </c>
      <c r="AB216" s="21" t="s">
        <v>1120</v>
      </c>
    </row>
    <row r="217" spans="1:28" ht="13.9" customHeight="1" x14ac:dyDescent="0.3">
      <c r="A217" s="30" t="s">
        <v>20</v>
      </c>
      <c r="B217" s="30" t="s">
        <v>21</v>
      </c>
      <c r="C217" s="30" t="s">
        <v>22</v>
      </c>
      <c r="D217" s="30" t="s">
        <v>23</v>
      </c>
      <c r="E217" s="30" t="s">
        <v>300</v>
      </c>
      <c r="F217" s="31" t="s">
        <v>300</v>
      </c>
      <c r="G217" s="30" t="s">
        <v>26</v>
      </c>
      <c r="H217" s="30" t="s">
        <v>36</v>
      </c>
      <c r="I217" s="30">
        <v>3</v>
      </c>
      <c r="J217" s="30" t="s">
        <v>37</v>
      </c>
      <c r="K217" s="30" t="s">
        <v>97</v>
      </c>
      <c r="L217" s="32">
        <v>106.3831</v>
      </c>
      <c r="M217" s="32">
        <v>10.355499999999999</v>
      </c>
      <c r="N217" s="32" t="s">
        <v>270</v>
      </c>
      <c r="O217" s="33" t="s">
        <v>29</v>
      </c>
      <c r="P217" s="30" t="s">
        <v>39</v>
      </c>
      <c r="Q217" s="30" t="s">
        <v>31</v>
      </c>
      <c r="R217" s="34" t="s">
        <v>32</v>
      </c>
      <c r="S217" s="35">
        <v>48050</v>
      </c>
      <c r="T217" s="36" t="s">
        <v>301</v>
      </c>
      <c r="U217" s="30" t="s">
        <v>301</v>
      </c>
      <c r="V217" s="37" t="e">
        <v>#N/A</v>
      </c>
      <c r="W217" s="31" t="s">
        <v>33</v>
      </c>
      <c r="X217" s="37"/>
      <c r="Y217" s="37">
        <f>COUNTIF(F:F,F217)</f>
        <v>1</v>
      </c>
      <c r="Z217" s="21" t="s">
        <v>1100</v>
      </c>
      <c r="AA217" s="21" t="s">
        <v>301</v>
      </c>
      <c r="AB217" s="21" t="s">
        <v>1120</v>
      </c>
    </row>
    <row r="218" spans="1:28" ht="13.9" customHeight="1" x14ac:dyDescent="0.3">
      <c r="A218" s="30" t="s">
        <v>20</v>
      </c>
      <c r="B218" s="30" t="s">
        <v>21</v>
      </c>
      <c r="C218" s="30" t="s">
        <v>22</v>
      </c>
      <c r="D218" s="30" t="s">
        <v>23</v>
      </c>
      <c r="E218" s="30" t="s">
        <v>326</v>
      </c>
      <c r="F218" s="31" t="s">
        <v>326</v>
      </c>
      <c r="G218" s="30" t="s">
        <v>26</v>
      </c>
      <c r="H218" s="30" t="s">
        <v>36</v>
      </c>
      <c r="I218" s="30">
        <v>3</v>
      </c>
      <c r="J218" s="30" t="s">
        <v>37</v>
      </c>
      <c r="K218" s="30" t="s">
        <v>97</v>
      </c>
      <c r="L218" s="32">
        <v>106.35733999999999</v>
      </c>
      <c r="M218" s="32">
        <v>10.36462</v>
      </c>
      <c r="N218" s="32" t="s">
        <v>270</v>
      </c>
      <c r="O218" s="33" t="s">
        <v>29</v>
      </c>
      <c r="P218" s="30" t="s">
        <v>271</v>
      </c>
      <c r="Q218" s="30" t="s">
        <v>31</v>
      </c>
      <c r="R218" s="34" t="s">
        <v>32</v>
      </c>
      <c r="S218" s="35">
        <v>48050</v>
      </c>
      <c r="T218" s="36" t="s">
        <v>325</v>
      </c>
      <c r="U218" s="30" t="s">
        <v>325</v>
      </c>
      <c r="V218" s="37" t="e">
        <v>#N/A</v>
      </c>
      <c r="W218" s="31" t="s">
        <v>33</v>
      </c>
      <c r="X218" s="37"/>
      <c r="Y218" s="37">
        <f>COUNTIF(F:F,F218)</f>
        <v>1</v>
      </c>
      <c r="Z218" s="21" t="s">
        <v>1101</v>
      </c>
      <c r="AA218" s="21" t="s">
        <v>325</v>
      </c>
      <c r="AB218" s="21" t="s">
        <v>1120</v>
      </c>
    </row>
    <row r="219" spans="1:28" ht="13.9" customHeight="1" x14ac:dyDescent="0.3">
      <c r="A219" s="30" t="s">
        <v>20</v>
      </c>
      <c r="B219" s="30" t="s">
        <v>21</v>
      </c>
      <c r="C219" s="30" t="s">
        <v>22</v>
      </c>
      <c r="D219" s="30" t="s">
        <v>23</v>
      </c>
      <c r="E219" s="30" t="s">
        <v>336</v>
      </c>
      <c r="F219" s="31" t="s">
        <v>337</v>
      </c>
      <c r="G219" s="30" t="s">
        <v>26</v>
      </c>
      <c r="H219" s="30" t="s">
        <v>36</v>
      </c>
      <c r="I219" s="30">
        <v>3</v>
      </c>
      <c r="J219" s="30" t="s">
        <v>37</v>
      </c>
      <c r="K219" s="30" t="s">
        <v>282</v>
      </c>
      <c r="L219" s="32">
        <v>106.34350000000001</v>
      </c>
      <c r="M219" s="32">
        <v>10.37565</v>
      </c>
      <c r="N219" s="32" t="s">
        <v>270</v>
      </c>
      <c r="O219" s="33">
        <v>0</v>
      </c>
      <c r="P219" s="30" t="s">
        <v>39</v>
      </c>
      <c r="Q219" s="30" t="s">
        <v>31</v>
      </c>
      <c r="R219" s="34" t="s">
        <v>47</v>
      </c>
      <c r="S219" s="35">
        <v>48050</v>
      </c>
      <c r="T219" s="36" t="s">
        <v>338</v>
      </c>
      <c r="U219" s="30" t="s">
        <v>325</v>
      </c>
      <c r="V219" s="37" t="e">
        <v>#N/A</v>
      </c>
      <c r="W219" s="31" t="s">
        <v>33</v>
      </c>
      <c r="X219" s="37"/>
      <c r="Y219" s="37">
        <f>COUNTIF(F:F,F219)</f>
        <v>1</v>
      </c>
      <c r="Z219" s="21" t="s">
        <v>1101</v>
      </c>
      <c r="AA219" s="21" t="s">
        <v>325</v>
      </c>
      <c r="AB219" s="21" t="s">
        <v>1120</v>
      </c>
    </row>
    <row r="220" spans="1:28" ht="13.9" customHeight="1" x14ac:dyDescent="0.3">
      <c r="A220" s="30" t="s">
        <v>20</v>
      </c>
      <c r="B220" s="30" t="s">
        <v>21</v>
      </c>
      <c r="C220" s="30" t="s">
        <v>22</v>
      </c>
      <c r="D220" s="30" t="s">
        <v>23</v>
      </c>
      <c r="E220" s="30" t="s">
        <v>327</v>
      </c>
      <c r="F220" s="31" t="s">
        <v>327</v>
      </c>
      <c r="G220" s="30" t="s">
        <v>26</v>
      </c>
      <c r="H220" s="30" t="s">
        <v>36</v>
      </c>
      <c r="I220" s="30">
        <v>3</v>
      </c>
      <c r="J220" s="30" t="s">
        <v>37</v>
      </c>
      <c r="K220" s="30" t="s">
        <v>282</v>
      </c>
      <c r="L220" s="32">
        <v>106.35681</v>
      </c>
      <c r="M220" s="32">
        <v>10.36918</v>
      </c>
      <c r="N220" s="32" t="s">
        <v>270</v>
      </c>
      <c r="O220" s="33" t="s">
        <v>29</v>
      </c>
      <c r="P220" s="30" t="s">
        <v>271</v>
      </c>
      <c r="Q220" s="30" t="s">
        <v>31</v>
      </c>
      <c r="R220" s="34" t="s">
        <v>32</v>
      </c>
      <c r="S220" s="35">
        <v>48050</v>
      </c>
      <c r="T220" s="36" t="s">
        <v>325</v>
      </c>
      <c r="U220" s="30" t="s">
        <v>325</v>
      </c>
      <c r="V220" s="37" t="e">
        <v>#N/A</v>
      </c>
      <c r="W220" s="31" t="s">
        <v>33</v>
      </c>
      <c r="X220" s="37"/>
      <c r="Y220" s="37">
        <f>COUNTIF(F:F,F220)</f>
        <v>1</v>
      </c>
      <c r="Z220" s="21" t="s">
        <v>1101</v>
      </c>
      <c r="AA220" s="21" t="s">
        <v>325</v>
      </c>
      <c r="AB220" s="21" t="s">
        <v>1120</v>
      </c>
    </row>
    <row r="221" spans="1:28" ht="13.9" customHeight="1" x14ac:dyDescent="0.3">
      <c r="A221" s="30" t="s">
        <v>20</v>
      </c>
      <c r="B221" s="30" t="s">
        <v>21</v>
      </c>
      <c r="C221" s="30" t="s">
        <v>22</v>
      </c>
      <c r="D221" s="30" t="s">
        <v>23</v>
      </c>
      <c r="E221" s="30" t="s">
        <v>349</v>
      </c>
      <c r="F221" s="31" t="s">
        <v>349</v>
      </c>
      <c r="G221" s="30" t="s">
        <v>26</v>
      </c>
      <c r="H221" s="30" t="s">
        <v>27</v>
      </c>
      <c r="I221" s="30">
        <v>3</v>
      </c>
      <c r="J221" s="30" t="s">
        <v>37</v>
      </c>
      <c r="K221" s="30" t="s">
        <v>275</v>
      </c>
      <c r="L221" s="32">
        <v>106.34627999999999</v>
      </c>
      <c r="M221" s="32">
        <v>10.356</v>
      </c>
      <c r="N221" s="32" t="s">
        <v>270</v>
      </c>
      <c r="O221" s="33">
        <v>0</v>
      </c>
      <c r="P221" s="30" t="s">
        <v>311</v>
      </c>
      <c r="Q221" s="30" t="s">
        <v>31</v>
      </c>
      <c r="R221" s="34" t="s">
        <v>47</v>
      </c>
      <c r="S221" s="35">
        <v>48050</v>
      </c>
      <c r="T221" s="36" t="s">
        <v>325</v>
      </c>
      <c r="U221" s="30" t="s">
        <v>325</v>
      </c>
      <c r="V221" s="37" t="e">
        <v>#N/A</v>
      </c>
      <c r="W221" s="31" t="s">
        <v>33</v>
      </c>
      <c r="X221" s="37" t="s">
        <v>42</v>
      </c>
      <c r="Y221" s="37">
        <f>COUNTIF(F:F,F221)</f>
        <v>2</v>
      </c>
      <c r="Z221" s="21" t="s">
        <v>1101</v>
      </c>
      <c r="AA221" s="21" t="s">
        <v>325</v>
      </c>
      <c r="AB221" s="21" t="s">
        <v>1120</v>
      </c>
    </row>
    <row r="222" spans="1:28" ht="13.9" customHeight="1" x14ac:dyDescent="0.3">
      <c r="A222" s="36" t="s">
        <v>20</v>
      </c>
      <c r="B222" s="36" t="s">
        <v>21</v>
      </c>
      <c r="C222" s="36" t="s">
        <v>22</v>
      </c>
      <c r="D222" s="36" t="s">
        <v>23</v>
      </c>
      <c r="E222" s="36" t="s">
        <v>348</v>
      </c>
      <c r="F222" s="31" t="s">
        <v>349</v>
      </c>
      <c r="G222" s="36" t="s">
        <v>26</v>
      </c>
      <c r="H222" s="36" t="s">
        <v>27</v>
      </c>
      <c r="I222" s="36">
        <v>3</v>
      </c>
      <c r="J222" s="36" t="s">
        <v>26</v>
      </c>
      <c r="K222" s="36" t="s">
        <v>269</v>
      </c>
      <c r="L222" s="38">
        <v>106.35201000000001</v>
      </c>
      <c r="M222" s="38">
        <v>10.354850000000001</v>
      </c>
      <c r="N222" s="38" t="s">
        <v>270</v>
      </c>
      <c r="O222" s="39" t="s">
        <v>29</v>
      </c>
      <c r="P222" s="36" t="s">
        <v>304</v>
      </c>
      <c r="Q222" s="30" t="s">
        <v>31</v>
      </c>
      <c r="R222" s="40" t="s">
        <v>32</v>
      </c>
      <c r="S222" s="35">
        <v>48050</v>
      </c>
      <c r="T222" s="36" t="s">
        <v>325</v>
      </c>
      <c r="U222" s="30" t="s">
        <v>325</v>
      </c>
      <c r="V222" s="37" t="e">
        <v>#N/A</v>
      </c>
      <c r="W222" s="31" t="s">
        <v>63</v>
      </c>
      <c r="X222" s="37" t="s">
        <v>52</v>
      </c>
      <c r="Y222" s="37">
        <f>COUNTIF(F:F,F222)</f>
        <v>2</v>
      </c>
      <c r="Z222" s="21" t="s">
        <v>1101</v>
      </c>
      <c r="AA222" s="21" t="s">
        <v>325</v>
      </c>
      <c r="AB222" s="21" t="s">
        <v>1120</v>
      </c>
    </row>
    <row r="223" spans="1:28" ht="13.9" customHeight="1" x14ac:dyDescent="0.3">
      <c r="A223" s="30" t="s">
        <v>20</v>
      </c>
      <c r="B223" s="30" t="s">
        <v>21</v>
      </c>
      <c r="C223" s="30" t="s">
        <v>22</v>
      </c>
      <c r="D223" s="30" t="s">
        <v>23</v>
      </c>
      <c r="E223" s="30" t="s">
        <v>324</v>
      </c>
      <c r="F223" s="31" t="s">
        <v>324</v>
      </c>
      <c r="G223" s="30" t="s">
        <v>26</v>
      </c>
      <c r="H223" s="30" t="s">
        <v>27</v>
      </c>
      <c r="I223" s="30">
        <v>3</v>
      </c>
      <c r="J223" s="30" t="s">
        <v>26</v>
      </c>
      <c r="K223" s="30" t="s">
        <v>269</v>
      </c>
      <c r="L223" s="32">
        <v>106.35522</v>
      </c>
      <c r="M223" s="32">
        <v>10.352499999999999</v>
      </c>
      <c r="N223" s="32" t="s">
        <v>270</v>
      </c>
      <c r="O223" s="33" t="s">
        <v>29</v>
      </c>
      <c r="P223" s="30" t="s">
        <v>304</v>
      </c>
      <c r="Q223" s="30" t="s">
        <v>31</v>
      </c>
      <c r="R223" s="34" t="s">
        <v>32</v>
      </c>
      <c r="S223" s="35">
        <v>48050</v>
      </c>
      <c r="T223" s="36" t="s">
        <v>325</v>
      </c>
      <c r="U223" s="30" t="s">
        <v>325</v>
      </c>
      <c r="V223" s="37" t="e">
        <v>#N/A</v>
      </c>
      <c r="W223" s="31" t="s">
        <v>33</v>
      </c>
      <c r="X223" s="37"/>
      <c r="Y223" s="37">
        <f>COUNTIF(F:F,F223)</f>
        <v>1</v>
      </c>
      <c r="Z223" s="21" t="s">
        <v>1101</v>
      </c>
      <c r="AA223" s="21" t="s">
        <v>325</v>
      </c>
      <c r="AB223" s="21" t="s">
        <v>1120</v>
      </c>
    </row>
    <row r="224" spans="1:28" ht="13.9" customHeight="1" x14ac:dyDescent="0.3">
      <c r="A224" s="30" t="s">
        <v>20</v>
      </c>
      <c r="B224" s="30" t="s">
        <v>21</v>
      </c>
      <c r="C224" s="30" t="s">
        <v>22</v>
      </c>
      <c r="D224" s="30" t="s">
        <v>23</v>
      </c>
      <c r="E224" s="30" t="s">
        <v>328</v>
      </c>
      <c r="F224" s="31" t="s">
        <v>328</v>
      </c>
      <c r="G224" s="30" t="s">
        <v>26</v>
      </c>
      <c r="H224" s="30" t="s">
        <v>36</v>
      </c>
      <c r="I224" s="30">
        <v>3</v>
      </c>
      <c r="J224" s="30" t="s">
        <v>37</v>
      </c>
      <c r="K224" s="30" t="s">
        <v>275</v>
      </c>
      <c r="L224" s="32">
        <v>106.35431</v>
      </c>
      <c r="M224" s="32">
        <v>10.359629999999999</v>
      </c>
      <c r="N224" s="32" t="s">
        <v>270</v>
      </c>
      <c r="O224" s="33" t="s">
        <v>29</v>
      </c>
      <c r="P224" s="30" t="s">
        <v>271</v>
      </c>
      <c r="Q224" s="30" t="s">
        <v>31</v>
      </c>
      <c r="R224" s="34" t="s">
        <v>32</v>
      </c>
      <c r="S224" s="35">
        <v>48050</v>
      </c>
      <c r="T224" s="36" t="s">
        <v>325</v>
      </c>
      <c r="U224" s="30" t="s">
        <v>325</v>
      </c>
      <c r="V224" s="37" t="e">
        <v>#N/A</v>
      </c>
      <c r="W224" s="31" t="s">
        <v>33</v>
      </c>
      <c r="X224" s="37"/>
      <c r="Y224" s="37">
        <f>COUNTIF(F:F,F224)</f>
        <v>1</v>
      </c>
      <c r="Z224" s="21" t="s">
        <v>1101</v>
      </c>
      <c r="AA224" s="21" t="s">
        <v>325</v>
      </c>
      <c r="AB224" s="21" t="s">
        <v>1120</v>
      </c>
    </row>
    <row r="225" spans="1:28" ht="13.9" customHeight="1" x14ac:dyDescent="0.3">
      <c r="A225" s="30" t="s">
        <v>20</v>
      </c>
      <c r="B225" s="30" t="s">
        <v>21</v>
      </c>
      <c r="C225" s="30" t="s">
        <v>22</v>
      </c>
      <c r="D225" s="30" t="s">
        <v>23</v>
      </c>
      <c r="E225" s="30" t="s">
        <v>329</v>
      </c>
      <c r="F225" s="31" t="s">
        <v>329</v>
      </c>
      <c r="G225" s="30" t="s">
        <v>26</v>
      </c>
      <c r="H225" s="30" t="s">
        <v>36</v>
      </c>
      <c r="I225" s="30">
        <v>3</v>
      </c>
      <c r="J225" s="30" t="s">
        <v>37</v>
      </c>
      <c r="K225" s="30" t="s">
        <v>275</v>
      </c>
      <c r="L225" s="32">
        <v>106.35702000000001</v>
      </c>
      <c r="M225" s="32">
        <v>10.357570000000001</v>
      </c>
      <c r="N225" s="32" t="s">
        <v>270</v>
      </c>
      <c r="O225" s="33" t="s">
        <v>29</v>
      </c>
      <c r="P225" s="30" t="s">
        <v>271</v>
      </c>
      <c r="Q225" s="30" t="s">
        <v>31</v>
      </c>
      <c r="R225" s="34" t="s">
        <v>32</v>
      </c>
      <c r="S225" s="35">
        <v>48050</v>
      </c>
      <c r="T225" s="36" t="s">
        <v>325</v>
      </c>
      <c r="U225" s="30" t="s">
        <v>325</v>
      </c>
      <c r="V225" s="37" t="e">
        <v>#N/A</v>
      </c>
      <c r="W225" s="31" t="s">
        <v>33</v>
      </c>
      <c r="X225" s="37"/>
      <c r="Y225" s="37">
        <f>COUNTIF(F:F,F225)</f>
        <v>1</v>
      </c>
      <c r="Z225" s="21" t="s">
        <v>1101</v>
      </c>
      <c r="AA225" s="21" t="s">
        <v>325</v>
      </c>
      <c r="AB225" s="21" t="s">
        <v>1120</v>
      </c>
    </row>
    <row r="226" spans="1:28" ht="13.9" customHeight="1" x14ac:dyDescent="0.3">
      <c r="A226" s="30" t="s">
        <v>20</v>
      </c>
      <c r="B226" s="30" t="s">
        <v>21</v>
      </c>
      <c r="C226" s="30" t="s">
        <v>22</v>
      </c>
      <c r="D226" s="30" t="s">
        <v>23</v>
      </c>
      <c r="E226" s="30" t="s">
        <v>346</v>
      </c>
      <c r="F226" s="31" t="s">
        <v>346</v>
      </c>
      <c r="G226" s="30" t="s">
        <v>26</v>
      </c>
      <c r="H226" s="30" t="s">
        <v>36</v>
      </c>
      <c r="I226" s="30">
        <v>3</v>
      </c>
      <c r="J226" s="30" t="s">
        <v>37</v>
      </c>
      <c r="K226" s="30" t="s">
        <v>282</v>
      </c>
      <c r="L226" s="32">
        <v>106.34756</v>
      </c>
      <c r="M226" s="32">
        <v>10.36148</v>
      </c>
      <c r="N226" s="32" t="s">
        <v>270</v>
      </c>
      <c r="O226" s="33">
        <v>0</v>
      </c>
      <c r="P226" s="30" t="s">
        <v>39</v>
      </c>
      <c r="Q226" s="30" t="s">
        <v>31</v>
      </c>
      <c r="R226" s="34" t="s">
        <v>47</v>
      </c>
      <c r="S226" s="35">
        <v>48050</v>
      </c>
      <c r="T226" s="36" t="s">
        <v>325</v>
      </c>
      <c r="U226" s="30" t="s">
        <v>325</v>
      </c>
      <c r="V226" s="37" t="e">
        <v>#N/A</v>
      </c>
      <c r="W226" s="31" t="s">
        <v>33</v>
      </c>
      <c r="X226" s="37"/>
      <c r="Y226" s="37">
        <f>COUNTIF(F:F,F226)</f>
        <v>1</v>
      </c>
      <c r="Z226" s="21" t="s">
        <v>1101</v>
      </c>
      <c r="AA226" s="21" t="s">
        <v>325</v>
      </c>
      <c r="AB226" s="21" t="s">
        <v>1120</v>
      </c>
    </row>
    <row r="227" spans="1:28" ht="13.9" customHeight="1" x14ac:dyDescent="0.3">
      <c r="A227" s="30" t="s">
        <v>20</v>
      </c>
      <c r="B227" s="30" t="s">
        <v>21</v>
      </c>
      <c r="C227" s="30" t="s">
        <v>22</v>
      </c>
      <c r="D227" s="30" t="s">
        <v>23</v>
      </c>
      <c r="E227" s="30" t="s">
        <v>350</v>
      </c>
      <c r="F227" s="52" t="s">
        <v>350</v>
      </c>
      <c r="G227" s="30" t="s">
        <v>26</v>
      </c>
      <c r="H227" s="30" t="s">
        <v>27</v>
      </c>
      <c r="I227" s="30">
        <v>3</v>
      </c>
      <c r="J227" s="30" t="s">
        <v>37</v>
      </c>
      <c r="K227" s="30" t="s">
        <v>282</v>
      </c>
      <c r="L227" s="32">
        <v>106.3335</v>
      </c>
      <c r="M227" s="32">
        <v>10.36468</v>
      </c>
      <c r="N227" s="32" t="s">
        <v>270</v>
      </c>
      <c r="O227" s="33">
        <v>0</v>
      </c>
      <c r="P227" s="30" t="s">
        <v>311</v>
      </c>
      <c r="Q227" s="30" t="s">
        <v>31</v>
      </c>
      <c r="R227" s="34" t="s">
        <v>47</v>
      </c>
      <c r="S227" s="35">
        <v>48050</v>
      </c>
      <c r="T227" s="41" t="s">
        <v>338</v>
      </c>
      <c r="U227" s="30" t="s">
        <v>325</v>
      </c>
      <c r="V227" s="37" t="e">
        <v>#N/A</v>
      </c>
      <c r="W227" s="31" t="s">
        <v>33</v>
      </c>
      <c r="X227" s="37" t="s">
        <v>42</v>
      </c>
      <c r="Y227" s="37">
        <f>COUNTIF(F:F,F227)</f>
        <v>3</v>
      </c>
      <c r="Z227" s="21" t="s">
        <v>1101</v>
      </c>
      <c r="AA227" s="21" t="s">
        <v>325</v>
      </c>
      <c r="AB227" s="21" t="s">
        <v>1120</v>
      </c>
    </row>
    <row r="228" spans="1:28" ht="13.9" customHeight="1" x14ac:dyDescent="0.3">
      <c r="A228" s="41" t="s">
        <v>20</v>
      </c>
      <c r="B228" s="41" t="s">
        <v>21</v>
      </c>
      <c r="C228" s="41" t="s">
        <v>22</v>
      </c>
      <c r="D228" s="41" t="s">
        <v>23</v>
      </c>
      <c r="E228" s="41" t="s">
        <v>351</v>
      </c>
      <c r="F228" s="31" t="s">
        <v>350</v>
      </c>
      <c r="G228" s="41" t="s">
        <v>26</v>
      </c>
      <c r="H228" s="36" t="s">
        <v>27</v>
      </c>
      <c r="I228" s="36">
        <v>3</v>
      </c>
      <c r="J228" s="36" t="s">
        <v>37</v>
      </c>
      <c r="K228" s="36" t="s">
        <v>282</v>
      </c>
      <c r="L228" s="38">
        <v>106.34784999999999</v>
      </c>
      <c r="M228" s="38">
        <v>10.36777</v>
      </c>
      <c r="N228" s="38" t="s">
        <v>270</v>
      </c>
      <c r="O228" s="39">
        <v>0</v>
      </c>
      <c r="P228" s="36" t="s">
        <v>41</v>
      </c>
      <c r="Q228" s="41" t="s">
        <v>31</v>
      </c>
      <c r="R228" s="42" t="s">
        <v>47</v>
      </c>
      <c r="S228" s="35">
        <v>48050</v>
      </c>
      <c r="T228" s="36" t="s">
        <v>338</v>
      </c>
      <c r="U228" s="30" t="s">
        <v>325</v>
      </c>
      <c r="V228" s="37" t="e">
        <v>#N/A</v>
      </c>
      <c r="W228" s="31" t="s">
        <v>63</v>
      </c>
      <c r="X228" s="37" t="s">
        <v>52</v>
      </c>
      <c r="Y228" s="37">
        <f>COUNTIF(F:F,F228)</f>
        <v>3</v>
      </c>
      <c r="Z228" s="21" t="s">
        <v>1101</v>
      </c>
      <c r="AA228" s="21" t="s">
        <v>325</v>
      </c>
      <c r="AB228" s="21" t="s">
        <v>1120</v>
      </c>
    </row>
    <row r="229" spans="1:28" ht="13.9" customHeight="1" x14ac:dyDescent="0.3">
      <c r="A229" s="30" t="s">
        <v>20</v>
      </c>
      <c r="B229" s="30" t="s">
        <v>21</v>
      </c>
      <c r="C229" s="30" t="s">
        <v>22</v>
      </c>
      <c r="D229" s="30" t="s">
        <v>23</v>
      </c>
      <c r="E229" s="30" t="s">
        <v>399</v>
      </c>
      <c r="F229" s="31" t="s">
        <v>350</v>
      </c>
      <c r="G229" s="30" t="s">
        <v>26</v>
      </c>
      <c r="H229" s="30" t="s">
        <v>36</v>
      </c>
      <c r="I229" s="30">
        <v>3</v>
      </c>
      <c r="J229" s="30"/>
      <c r="K229" s="30"/>
      <c r="L229" s="32">
        <v>106.3258</v>
      </c>
      <c r="M229" s="32">
        <v>10.365819999999999</v>
      </c>
      <c r="N229" s="32" t="s">
        <v>270</v>
      </c>
      <c r="O229" s="33">
        <v>0</v>
      </c>
      <c r="P229" s="30" t="s">
        <v>109</v>
      </c>
      <c r="Q229" s="30" t="s">
        <v>31</v>
      </c>
      <c r="R229" s="34" t="s">
        <v>47</v>
      </c>
      <c r="S229" s="35">
        <v>48050</v>
      </c>
      <c r="T229" s="36" t="s">
        <v>384</v>
      </c>
      <c r="U229" s="30" t="s">
        <v>325</v>
      </c>
      <c r="V229" s="37" t="e">
        <v>#N/A</v>
      </c>
      <c r="W229" s="31" t="s">
        <v>63</v>
      </c>
      <c r="X229" s="37" t="s">
        <v>52</v>
      </c>
      <c r="Y229" s="37">
        <f>COUNTIF(F:F,F229)</f>
        <v>3</v>
      </c>
      <c r="Z229" s="21" t="s">
        <v>1101</v>
      </c>
      <c r="AA229" s="21" t="s">
        <v>325</v>
      </c>
      <c r="AB229" s="21" t="s">
        <v>1120</v>
      </c>
    </row>
    <row r="230" spans="1:28" ht="13.9" customHeight="1" x14ac:dyDescent="0.3">
      <c r="A230" s="30" t="s">
        <v>20</v>
      </c>
      <c r="B230" s="30" t="s">
        <v>21</v>
      </c>
      <c r="C230" s="30" t="s">
        <v>22</v>
      </c>
      <c r="D230" s="30" t="s">
        <v>23</v>
      </c>
      <c r="E230" s="30" t="s">
        <v>330</v>
      </c>
      <c r="F230" s="31" t="s">
        <v>330</v>
      </c>
      <c r="G230" s="30" t="s">
        <v>26</v>
      </c>
      <c r="H230" s="30" t="s">
        <v>27</v>
      </c>
      <c r="I230" s="30">
        <v>3</v>
      </c>
      <c r="J230" s="30" t="s">
        <v>37</v>
      </c>
      <c r="K230" s="30" t="s">
        <v>282</v>
      </c>
      <c r="L230" s="32">
        <v>106.36651999999999</v>
      </c>
      <c r="M230" s="32">
        <v>10.371029999999999</v>
      </c>
      <c r="N230" s="32" t="s">
        <v>270</v>
      </c>
      <c r="O230" s="33" t="s">
        <v>29</v>
      </c>
      <c r="P230" s="30" t="s">
        <v>311</v>
      </c>
      <c r="Q230" s="30" t="s">
        <v>31</v>
      </c>
      <c r="R230" s="34" t="s">
        <v>32</v>
      </c>
      <c r="S230" s="35">
        <v>48050</v>
      </c>
      <c r="T230" s="36" t="s">
        <v>325</v>
      </c>
      <c r="U230" s="30" t="s">
        <v>325</v>
      </c>
      <c r="V230" s="37" t="e">
        <v>#N/A</v>
      </c>
      <c r="W230" s="31" t="s">
        <v>33</v>
      </c>
      <c r="X230" s="37"/>
      <c r="Y230" s="37">
        <f>COUNTIF(F:F,F230)</f>
        <v>1</v>
      </c>
      <c r="Z230" s="21" t="s">
        <v>1101</v>
      </c>
      <c r="AA230" s="21" t="s">
        <v>325</v>
      </c>
      <c r="AB230" s="21" t="s">
        <v>1120</v>
      </c>
    </row>
    <row r="231" spans="1:28" ht="13.9" customHeight="1" x14ac:dyDescent="0.3">
      <c r="A231" s="30" t="s">
        <v>20</v>
      </c>
      <c r="B231" s="30" t="s">
        <v>21</v>
      </c>
      <c r="C231" s="30" t="s">
        <v>22</v>
      </c>
      <c r="D231" s="30" t="s">
        <v>23</v>
      </c>
      <c r="E231" s="30" t="s">
        <v>339</v>
      </c>
      <c r="F231" s="31" t="s">
        <v>339</v>
      </c>
      <c r="G231" s="30" t="s">
        <v>26</v>
      </c>
      <c r="H231" s="30" t="s">
        <v>36</v>
      </c>
      <c r="I231" s="30">
        <v>3</v>
      </c>
      <c r="J231" s="30" t="s">
        <v>37</v>
      </c>
      <c r="K231" s="30" t="s">
        <v>282</v>
      </c>
      <c r="L231" s="32">
        <v>106.32458</v>
      </c>
      <c r="M231" s="32">
        <v>10.373810000000001</v>
      </c>
      <c r="N231" s="32" t="s">
        <v>270</v>
      </c>
      <c r="O231" s="33">
        <v>0</v>
      </c>
      <c r="P231" s="30" t="s">
        <v>39</v>
      </c>
      <c r="Q231" s="30" t="s">
        <v>31</v>
      </c>
      <c r="R231" s="34" t="s">
        <v>47</v>
      </c>
      <c r="S231" s="35">
        <v>48050</v>
      </c>
      <c r="T231" s="36" t="s">
        <v>338</v>
      </c>
      <c r="U231" s="30" t="s">
        <v>325</v>
      </c>
      <c r="V231" s="37" t="e">
        <v>#N/A</v>
      </c>
      <c r="W231" s="31" t="s">
        <v>33</v>
      </c>
      <c r="X231" s="37"/>
      <c r="Y231" s="37">
        <f>COUNTIF(F:F,F231)</f>
        <v>1</v>
      </c>
      <c r="Z231" s="21" t="s">
        <v>1101</v>
      </c>
      <c r="AA231" s="21" t="s">
        <v>325</v>
      </c>
      <c r="AB231" s="21" t="s">
        <v>1120</v>
      </c>
    </row>
    <row r="232" spans="1:28" ht="13.9" customHeight="1" x14ac:dyDescent="0.3">
      <c r="A232" s="30" t="s">
        <v>20</v>
      </c>
      <c r="B232" s="30" t="s">
        <v>21</v>
      </c>
      <c r="C232" s="30" t="s">
        <v>22</v>
      </c>
      <c r="D232" s="30" t="s">
        <v>23</v>
      </c>
      <c r="E232" s="30" t="s">
        <v>340</v>
      </c>
      <c r="F232" s="31" t="s">
        <v>340</v>
      </c>
      <c r="G232" s="30" t="s">
        <v>26</v>
      </c>
      <c r="H232" s="30" t="s">
        <v>36</v>
      </c>
      <c r="I232" s="30">
        <v>3</v>
      </c>
      <c r="J232" s="30" t="s">
        <v>37</v>
      </c>
      <c r="K232" s="30" t="s">
        <v>282</v>
      </c>
      <c r="L232" s="32">
        <v>106.34054999999999</v>
      </c>
      <c r="M232" s="32">
        <v>10.38467</v>
      </c>
      <c r="N232" s="32" t="s">
        <v>270</v>
      </c>
      <c r="O232" s="33">
        <v>0</v>
      </c>
      <c r="P232" s="30" t="s">
        <v>39</v>
      </c>
      <c r="Q232" s="30" t="s">
        <v>31</v>
      </c>
      <c r="R232" s="34" t="s">
        <v>47</v>
      </c>
      <c r="S232" s="35">
        <v>48050</v>
      </c>
      <c r="T232" s="36" t="s">
        <v>338</v>
      </c>
      <c r="U232" s="30" t="s">
        <v>325</v>
      </c>
      <c r="V232" s="37" t="e">
        <v>#N/A</v>
      </c>
      <c r="W232" s="31" t="s">
        <v>33</v>
      </c>
      <c r="X232" s="37"/>
      <c r="Y232" s="37">
        <f>COUNTIF(F:F,F232)</f>
        <v>1</v>
      </c>
      <c r="Z232" s="21" t="s">
        <v>1101</v>
      </c>
      <c r="AA232" s="21" t="s">
        <v>325</v>
      </c>
      <c r="AB232" s="21" t="s">
        <v>1120</v>
      </c>
    </row>
    <row r="233" spans="1:28" ht="13.9" customHeight="1" x14ac:dyDescent="0.3">
      <c r="A233" s="41" t="s">
        <v>20</v>
      </c>
      <c r="B233" s="41" t="s">
        <v>21</v>
      </c>
      <c r="C233" s="41" t="s">
        <v>22</v>
      </c>
      <c r="D233" s="41" t="s">
        <v>23</v>
      </c>
      <c r="E233" s="41" t="s">
        <v>352</v>
      </c>
      <c r="F233" s="31" t="s">
        <v>353</v>
      </c>
      <c r="G233" s="41" t="s">
        <v>26</v>
      </c>
      <c r="H233" s="36" t="s">
        <v>27</v>
      </c>
      <c r="I233" s="36">
        <v>3</v>
      </c>
      <c r="J233" s="36"/>
      <c r="K233" s="36"/>
      <c r="L233" s="38">
        <v>106.349592</v>
      </c>
      <c r="M233" s="38">
        <v>10.379813</v>
      </c>
      <c r="N233" s="38" t="s">
        <v>270</v>
      </c>
      <c r="O233" s="39">
        <v>0</v>
      </c>
      <c r="P233" s="36" t="s">
        <v>30</v>
      </c>
      <c r="Q233" s="41" t="s">
        <v>31</v>
      </c>
      <c r="R233" s="42" t="s">
        <v>47</v>
      </c>
      <c r="S233" s="35">
        <v>48050</v>
      </c>
      <c r="T233" s="36" t="s">
        <v>338</v>
      </c>
      <c r="U233" s="30" t="s">
        <v>325</v>
      </c>
      <c r="V233" s="37" t="e">
        <v>#N/A</v>
      </c>
      <c r="W233" s="31" t="s">
        <v>63</v>
      </c>
      <c r="X233" s="37" t="s">
        <v>52</v>
      </c>
      <c r="Y233" s="37">
        <f>COUNTIF(F:F,F233)</f>
        <v>2</v>
      </c>
      <c r="Z233" s="21" t="s">
        <v>1101</v>
      </c>
      <c r="AA233" s="21" t="s">
        <v>325</v>
      </c>
      <c r="AB233" s="21" t="s">
        <v>1120</v>
      </c>
    </row>
    <row r="234" spans="1:28" ht="13.9" customHeight="1" x14ac:dyDescent="0.3">
      <c r="A234" s="30" t="s">
        <v>20</v>
      </c>
      <c r="B234" s="30" t="s">
        <v>21</v>
      </c>
      <c r="C234" s="30" t="s">
        <v>22</v>
      </c>
      <c r="D234" s="30" t="s">
        <v>23</v>
      </c>
      <c r="E234" s="30" t="s">
        <v>353</v>
      </c>
      <c r="F234" s="31" t="s">
        <v>353</v>
      </c>
      <c r="G234" s="30" t="s">
        <v>26</v>
      </c>
      <c r="H234" s="30" t="s">
        <v>36</v>
      </c>
      <c r="I234" s="30">
        <v>3</v>
      </c>
      <c r="J234" s="30" t="s">
        <v>37</v>
      </c>
      <c r="K234" s="30" t="s">
        <v>275</v>
      </c>
      <c r="L234" s="32">
        <v>106.35252</v>
      </c>
      <c r="M234" s="32">
        <v>10.36619</v>
      </c>
      <c r="N234" s="32" t="s">
        <v>270</v>
      </c>
      <c r="O234" s="33">
        <v>0</v>
      </c>
      <c r="P234" s="30" t="s">
        <v>271</v>
      </c>
      <c r="Q234" s="30" t="s">
        <v>31</v>
      </c>
      <c r="R234" s="34" t="s">
        <v>47</v>
      </c>
      <c r="S234" s="35">
        <v>48050</v>
      </c>
      <c r="T234" s="36" t="s">
        <v>325</v>
      </c>
      <c r="U234" s="30" t="s">
        <v>325</v>
      </c>
      <c r="V234" s="37" t="e">
        <v>#N/A</v>
      </c>
      <c r="W234" s="31" t="s">
        <v>33</v>
      </c>
      <c r="X234" s="37" t="s">
        <v>42</v>
      </c>
      <c r="Y234" s="37">
        <f>COUNTIF(F:F,F234)</f>
        <v>2</v>
      </c>
      <c r="Z234" s="21" t="s">
        <v>1101</v>
      </c>
      <c r="AA234" s="21" t="s">
        <v>325</v>
      </c>
      <c r="AB234" s="21" t="s">
        <v>1120</v>
      </c>
    </row>
    <row r="235" spans="1:28" ht="13.9" customHeight="1" x14ac:dyDescent="0.3">
      <c r="A235" s="30" t="s">
        <v>20</v>
      </c>
      <c r="B235" s="30" t="s">
        <v>21</v>
      </c>
      <c r="C235" s="30" t="s">
        <v>22</v>
      </c>
      <c r="D235" s="30" t="s">
        <v>23</v>
      </c>
      <c r="E235" s="30" t="s">
        <v>341</v>
      </c>
      <c r="F235" s="31" t="s">
        <v>341</v>
      </c>
      <c r="G235" s="30" t="s">
        <v>26</v>
      </c>
      <c r="H235" s="30" t="s">
        <v>36</v>
      </c>
      <c r="I235" s="30">
        <v>3</v>
      </c>
      <c r="J235" s="30" t="s">
        <v>37</v>
      </c>
      <c r="K235" s="30" t="s">
        <v>282</v>
      </c>
      <c r="L235" s="32">
        <v>106.35053000000001</v>
      </c>
      <c r="M235" s="32">
        <v>10.390040000000001</v>
      </c>
      <c r="N235" s="32" t="s">
        <v>270</v>
      </c>
      <c r="O235" s="33">
        <v>0</v>
      </c>
      <c r="P235" s="30" t="s">
        <v>39</v>
      </c>
      <c r="Q235" s="30" t="s">
        <v>31</v>
      </c>
      <c r="R235" s="34" t="s">
        <v>47</v>
      </c>
      <c r="S235" s="35">
        <v>48050</v>
      </c>
      <c r="T235" s="36" t="s">
        <v>338</v>
      </c>
      <c r="U235" s="30" t="s">
        <v>325</v>
      </c>
      <c r="V235" s="37" t="e">
        <v>#N/A</v>
      </c>
      <c r="W235" s="31" t="s">
        <v>33</v>
      </c>
      <c r="X235" s="37"/>
      <c r="Y235" s="37">
        <f>COUNTIF(F:F,F235)</f>
        <v>1</v>
      </c>
      <c r="Z235" s="21" t="s">
        <v>1101</v>
      </c>
      <c r="AA235" s="21" t="s">
        <v>325</v>
      </c>
      <c r="AB235" s="21" t="s">
        <v>1120</v>
      </c>
    </row>
    <row r="236" spans="1:28" ht="13.9" customHeight="1" x14ac:dyDescent="0.3">
      <c r="A236" s="30" t="s">
        <v>20</v>
      </c>
      <c r="B236" s="30" t="s">
        <v>21</v>
      </c>
      <c r="C236" s="30" t="s">
        <v>22</v>
      </c>
      <c r="D236" s="30" t="s">
        <v>23</v>
      </c>
      <c r="E236" s="30" t="s">
        <v>342</v>
      </c>
      <c r="F236" s="31" t="s">
        <v>342</v>
      </c>
      <c r="G236" s="30" t="s">
        <v>26</v>
      </c>
      <c r="H236" s="30" t="s">
        <v>36</v>
      </c>
      <c r="I236" s="30">
        <v>3</v>
      </c>
      <c r="J236" s="30"/>
      <c r="K236" s="30"/>
      <c r="L236" s="32">
        <v>106.34177</v>
      </c>
      <c r="M236" s="32">
        <v>10.36979</v>
      </c>
      <c r="N236" s="32" t="s">
        <v>270</v>
      </c>
      <c r="O236" s="33">
        <v>0</v>
      </c>
      <c r="P236" s="30" t="s">
        <v>109</v>
      </c>
      <c r="Q236" s="30" t="s">
        <v>31</v>
      </c>
      <c r="R236" s="34" t="s">
        <v>47</v>
      </c>
      <c r="S236" s="35">
        <v>48050</v>
      </c>
      <c r="T236" s="36" t="s">
        <v>338</v>
      </c>
      <c r="U236" s="30" t="s">
        <v>325</v>
      </c>
      <c r="V236" s="37" t="e">
        <v>#N/A</v>
      </c>
      <c r="W236" s="31" t="s">
        <v>33</v>
      </c>
      <c r="X236" s="37"/>
      <c r="Y236" s="37">
        <f>COUNTIF(F:F,F236)</f>
        <v>1</v>
      </c>
      <c r="Z236" s="21" t="s">
        <v>1101</v>
      </c>
      <c r="AA236" s="21" t="s">
        <v>325</v>
      </c>
      <c r="AB236" s="21" t="s">
        <v>1120</v>
      </c>
    </row>
    <row r="237" spans="1:28" ht="13.9" customHeight="1" x14ac:dyDescent="0.3">
      <c r="A237" s="30" t="s">
        <v>20</v>
      </c>
      <c r="B237" s="30" t="s">
        <v>21</v>
      </c>
      <c r="C237" s="30" t="s">
        <v>22</v>
      </c>
      <c r="D237" s="30" t="s">
        <v>23</v>
      </c>
      <c r="E237" s="30" t="s">
        <v>331</v>
      </c>
      <c r="F237" s="31" t="s">
        <v>331</v>
      </c>
      <c r="G237" s="30" t="s">
        <v>26</v>
      </c>
      <c r="H237" s="30" t="s">
        <v>36</v>
      </c>
      <c r="I237" s="30">
        <v>4</v>
      </c>
      <c r="J237" s="30" t="s">
        <v>37</v>
      </c>
      <c r="K237" s="30" t="s">
        <v>97</v>
      </c>
      <c r="L237" s="32">
        <v>106.3627</v>
      </c>
      <c r="M237" s="32">
        <v>10.363300000000001</v>
      </c>
      <c r="N237" s="32" t="s">
        <v>270</v>
      </c>
      <c r="O237" s="33" t="s">
        <v>29</v>
      </c>
      <c r="P237" s="30" t="s">
        <v>271</v>
      </c>
      <c r="Q237" s="30" t="s">
        <v>31</v>
      </c>
      <c r="R237" s="34" t="s">
        <v>32</v>
      </c>
      <c r="S237" s="35">
        <v>48050</v>
      </c>
      <c r="T237" s="36" t="s">
        <v>325</v>
      </c>
      <c r="U237" s="30" t="s">
        <v>325</v>
      </c>
      <c r="V237" s="37" t="e">
        <v>#N/A</v>
      </c>
      <c r="W237" s="31" t="s">
        <v>33</v>
      </c>
      <c r="X237" s="37"/>
      <c r="Y237" s="37">
        <f>COUNTIF(F:F,F237)</f>
        <v>1</v>
      </c>
      <c r="Z237" s="21" t="s">
        <v>1101</v>
      </c>
      <c r="AA237" s="21" t="s">
        <v>325</v>
      </c>
      <c r="AB237" s="21" t="s">
        <v>1120</v>
      </c>
    </row>
    <row r="238" spans="1:28" ht="13.9" customHeight="1" x14ac:dyDescent="0.3">
      <c r="A238" s="30" t="s">
        <v>20</v>
      </c>
      <c r="B238" s="30" t="s">
        <v>21</v>
      </c>
      <c r="C238" s="30" t="s">
        <v>22</v>
      </c>
      <c r="D238" s="30" t="s">
        <v>23</v>
      </c>
      <c r="E238" s="30" t="s">
        <v>332</v>
      </c>
      <c r="F238" s="31" t="s">
        <v>332</v>
      </c>
      <c r="G238" s="30" t="s">
        <v>26</v>
      </c>
      <c r="H238" s="30" t="s">
        <v>27</v>
      </c>
      <c r="I238" s="30">
        <v>3</v>
      </c>
      <c r="J238" s="30"/>
      <c r="K238" s="30"/>
      <c r="L238" s="32">
        <v>106.35677</v>
      </c>
      <c r="M238" s="32">
        <v>10.376860000000001</v>
      </c>
      <c r="N238" s="32" t="s">
        <v>270</v>
      </c>
      <c r="O238" s="33" t="s">
        <v>29</v>
      </c>
      <c r="P238" s="30" t="s">
        <v>30</v>
      </c>
      <c r="Q238" s="30" t="s">
        <v>31</v>
      </c>
      <c r="R238" s="34" t="s">
        <v>32</v>
      </c>
      <c r="S238" s="35">
        <v>48050</v>
      </c>
      <c r="T238" s="36" t="s">
        <v>325</v>
      </c>
      <c r="U238" s="30" t="s">
        <v>325</v>
      </c>
      <c r="V238" s="37" t="e">
        <v>#N/A</v>
      </c>
      <c r="W238" s="31" t="s">
        <v>33</v>
      </c>
      <c r="X238" s="37"/>
      <c r="Y238" s="37">
        <f>COUNTIF(F:F,F238)</f>
        <v>1</v>
      </c>
      <c r="Z238" s="21" t="s">
        <v>1101</v>
      </c>
      <c r="AA238" s="21" t="s">
        <v>325</v>
      </c>
      <c r="AB238" s="21" t="s">
        <v>1120</v>
      </c>
    </row>
    <row r="239" spans="1:28" ht="13.9" customHeight="1" x14ac:dyDescent="0.3">
      <c r="A239" s="30" t="s">
        <v>20</v>
      </c>
      <c r="B239" s="30" t="s">
        <v>21</v>
      </c>
      <c r="C239" s="30" t="s">
        <v>22</v>
      </c>
      <c r="D239" s="30" t="s">
        <v>23</v>
      </c>
      <c r="E239" s="30" t="s">
        <v>347</v>
      </c>
      <c r="F239" s="31" t="s">
        <v>347</v>
      </c>
      <c r="G239" s="30" t="s">
        <v>26</v>
      </c>
      <c r="H239" s="30" t="s">
        <v>36</v>
      </c>
      <c r="I239" s="30">
        <v>3</v>
      </c>
      <c r="J239" s="30" t="s">
        <v>37</v>
      </c>
      <c r="K239" s="30" t="s">
        <v>275</v>
      </c>
      <c r="L239" s="32">
        <v>106.34987</v>
      </c>
      <c r="M239" s="32">
        <v>10.35162</v>
      </c>
      <c r="N239" s="32" t="s">
        <v>270</v>
      </c>
      <c r="O239" s="33">
        <v>0</v>
      </c>
      <c r="P239" s="30" t="s">
        <v>271</v>
      </c>
      <c r="Q239" s="30" t="s">
        <v>31</v>
      </c>
      <c r="R239" s="34" t="s">
        <v>47</v>
      </c>
      <c r="S239" s="35">
        <v>48050</v>
      </c>
      <c r="T239" s="36" t="s">
        <v>325</v>
      </c>
      <c r="U239" s="30" t="s">
        <v>325</v>
      </c>
      <c r="V239" s="37" t="e">
        <v>#N/A</v>
      </c>
      <c r="W239" s="31" t="s">
        <v>33</v>
      </c>
      <c r="X239" s="37"/>
      <c r="Y239" s="37">
        <f>COUNTIF(F:F,F239)</f>
        <v>1</v>
      </c>
      <c r="Z239" s="21" t="s">
        <v>1101</v>
      </c>
      <c r="AA239" s="21" t="s">
        <v>325</v>
      </c>
      <c r="AB239" s="21" t="s">
        <v>1120</v>
      </c>
    </row>
    <row r="240" spans="1:28" ht="13.9" customHeight="1" x14ac:dyDescent="0.3">
      <c r="A240" s="30" t="s">
        <v>20</v>
      </c>
      <c r="B240" s="30" t="s">
        <v>21</v>
      </c>
      <c r="C240" s="30" t="s">
        <v>22</v>
      </c>
      <c r="D240" s="30" t="s">
        <v>23</v>
      </c>
      <c r="E240" s="30" t="s">
        <v>335</v>
      </c>
      <c r="F240" s="31" t="s">
        <v>335</v>
      </c>
      <c r="G240" s="30" t="s">
        <v>26</v>
      </c>
      <c r="H240" s="30" t="s">
        <v>36</v>
      </c>
      <c r="I240" s="30">
        <v>3</v>
      </c>
      <c r="J240" s="30" t="s">
        <v>26</v>
      </c>
      <c r="K240" s="30" t="s">
        <v>269</v>
      </c>
      <c r="L240" s="32">
        <v>106.34878</v>
      </c>
      <c r="M240" s="32">
        <v>10.371930000000001</v>
      </c>
      <c r="N240" s="32" t="s">
        <v>270</v>
      </c>
      <c r="O240" s="33">
        <v>0</v>
      </c>
      <c r="P240" s="30" t="s">
        <v>271</v>
      </c>
      <c r="Q240" s="30" t="s">
        <v>31</v>
      </c>
      <c r="R240" s="34" t="s">
        <v>47</v>
      </c>
      <c r="S240" s="35">
        <v>48050</v>
      </c>
      <c r="T240" s="36" t="s">
        <v>325</v>
      </c>
      <c r="U240" s="30" t="s">
        <v>325</v>
      </c>
      <c r="V240" s="37" t="e">
        <v>#N/A</v>
      </c>
      <c r="W240" s="31" t="s">
        <v>33</v>
      </c>
      <c r="X240" s="37"/>
      <c r="Y240" s="37">
        <f>COUNTIF(F:F,F240)</f>
        <v>1</v>
      </c>
      <c r="Z240" s="21" t="s">
        <v>1101</v>
      </c>
      <c r="AA240" s="21" t="s">
        <v>325</v>
      </c>
      <c r="AB240" s="21" t="s">
        <v>1120</v>
      </c>
    </row>
    <row r="241" spans="1:28" ht="13.9" customHeight="1" x14ac:dyDescent="0.3">
      <c r="A241" s="30" t="s">
        <v>20</v>
      </c>
      <c r="B241" s="30" t="s">
        <v>21</v>
      </c>
      <c r="C241" s="30" t="s">
        <v>22</v>
      </c>
      <c r="D241" s="30" t="s">
        <v>23</v>
      </c>
      <c r="E241" s="30" t="s">
        <v>343</v>
      </c>
      <c r="F241" s="31" t="s">
        <v>343</v>
      </c>
      <c r="G241" s="30" t="s">
        <v>26</v>
      </c>
      <c r="H241" s="30" t="s">
        <v>27</v>
      </c>
      <c r="I241" s="30">
        <v>3</v>
      </c>
      <c r="J241" s="30" t="s">
        <v>37</v>
      </c>
      <c r="K241" s="30" t="s">
        <v>38</v>
      </c>
      <c r="L241" s="32">
        <v>106.3353</v>
      </c>
      <c r="M241" s="32">
        <v>10.37011</v>
      </c>
      <c r="N241" s="32" t="s">
        <v>270</v>
      </c>
      <c r="O241" s="33">
        <v>0</v>
      </c>
      <c r="P241" s="30" t="s">
        <v>41</v>
      </c>
      <c r="Q241" s="30" t="s">
        <v>31</v>
      </c>
      <c r="R241" s="34" t="s">
        <v>47</v>
      </c>
      <c r="S241" s="35">
        <v>48050</v>
      </c>
      <c r="T241" s="36" t="s">
        <v>338</v>
      </c>
      <c r="U241" s="30" t="s">
        <v>325</v>
      </c>
      <c r="V241" s="37" t="e">
        <v>#N/A</v>
      </c>
      <c r="W241" s="31" t="s">
        <v>33</v>
      </c>
      <c r="X241" s="37"/>
      <c r="Y241" s="37">
        <f>COUNTIF(F:F,F241)</f>
        <v>1</v>
      </c>
      <c r="Z241" s="21" t="s">
        <v>1101</v>
      </c>
      <c r="AA241" s="21" t="s">
        <v>325</v>
      </c>
      <c r="AB241" s="21" t="s">
        <v>1120</v>
      </c>
    </row>
    <row r="242" spans="1:28" ht="13.9" customHeight="1" x14ac:dyDescent="0.3">
      <c r="A242" s="36" t="s">
        <v>20</v>
      </c>
      <c r="B242" s="36" t="s">
        <v>21</v>
      </c>
      <c r="C242" s="36" t="s">
        <v>22</v>
      </c>
      <c r="D242" s="36" t="s">
        <v>23</v>
      </c>
      <c r="E242" s="36" t="s">
        <v>355</v>
      </c>
      <c r="F242" s="31" t="s">
        <v>354</v>
      </c>
      <c r="G242" s="36" t="s">
        <v>26</v>
      </c>
      <c r="H242" s="36" t="s">
        <v>27</v>
      </c>
      <c r="I242" s="36">
        <v>3</v>
      </c>
      <c r="J242" s="36"/>
      <c r="K242" s="36"/>
      <c r="L242" s="38">
        <v>106.3626</v>
      </c>
      <c r="M242" s="38">
        <v>10.37443</v>
      </c>
      <c r="N242" s="38" t="s">
        <v>270</v>
      </c>
      <c r="O242" s="39" t="s">
        <v>29</v>
      </c>
      <c r="P242" s="36" t="s">
        <v>30</v>
      </c>
      <c r="Q242" s="30" t="s">
        <v>31</v>
      </c>
      <c r="R242" s="40" t="s">
        <v>32</v>
      </c>
      <c r="S242" s="35">
        <v>48050</v>
      </c>
      <c r="T242" s="36" t="s">
        <v>325</v>
      </c>
      <c r="U242" s="30" t="s">
        <v>325</v>
      </c>
      <c r="V242" s="37" t="e">
        <v>#N/A</v>
      </c>
      <c r="W242" s="31" t="s">
        <v>63</v>
      </c>
      <c r="X242" s="37" t="s">
        <v>52</v>
      </c>
      <c r="Y242" s="37">
        <f>COUNTIF(F:F,F242)</f>
        <v>3</v>
      </c>
      <c r="Z242" s="21" t="s">
        <v>1101</v>
      </c>
      <c r="AA242" s="21" t="s">
        <v>325</v>
      </c>
      <c r="AB242" s="21" t="s">
        <v>1120</v>
      </c>
    </row>
    <row r="243" spans="1:28" ht="13.9" customHeight="1" x14ac:dyDescent="0.3">
      <c r="A243" s="30" t="s">
        <v>20</v>
      </c>
      <c r="B243" s="30" t="s">
        <v>21</v>
      </c>
      <c r="C243" s="30" t="s">
        <v>22</v>
      </c>
      <c r="D243" s="30" t="s">
        <v>23</v>
      </c>
      <c r="E243" s="30" t="s">
        <v>354</v>
      </c>
      <c r="F243" s="31" t="s">
        <v>354</v>
      </c>
      <c r="G243" s="30" t="s">
        <v>26</v>
      </c>
      <c r="H243" s="30" t="s">
        <v>36</v>
      </c>
      <c r="I243" s="30">
        <v>3</v>
      </c>
      <c r="J243" s="30" t="s">
        <v>26</v>
      </c>
      <c r="K243" s="30" t="s">
        <v>269</v>
      </c>
      <c r="L243" s="32">
        <v>106.36418</v>
      </c>
      <c r="M243" s="32">
        <v>10.367380000000001</v>
      </c>
      <c r="N243" s="32" t="s">
        <v>270</v>
      </c>
      <c r="O243" s="33" t="s">
        <v>29</v>
      </c>
      <c r="P243" s="30" t="s">
        <v>271</v>
      </c>
      <c r="Q243" s="30" t="s">
        <v>31</v>
      </c>
      <c r="R243" s="34" t="s">
        <v>32</v>
      </c>
      <c r="S243" s="35">
        <v>48050</v>
      </c>
      <c r="T243" s="36" t="s">
        <v>325</v>
      </c>
      <c r="U243" s="30" t="s">
        <v>325</v>
      </c>
      <c r="V243" s="37" t="e">
        <v>#N/A</v>
      </c>
      <c r="W243" s="31" t="s">
        <v>33</v>
      </c>
      <c r="X243" s="37" t="s">
        <v>42</v>
      </c>
      <c r="Y243" s="37">
        <f>COUNTIF(F:F,F243)</f>
        <v>3</v>
      </c>
      <c r="Z243" s="21" t="s">
        <v>1101</v>
      </c>
      <c r="AA243" s="21" t="s">
        <v>325</v>
      </c>
      <c r="AB243" s="21" t="s">
        <v>1120</v>
      </c>
    </row>
    <row r="244" spans="1:28" ht="13.9" customHeight="1" x14ac:dyDescent="0.3">
      <c r="A244" s="30" t="s">
        <v>20</v>
      </c>
      <c r="B244" s="30" t="s">
        <v>21</v>
      </c>
      <c r="C244" s="30" t="s">
        <v>22</v>
      </c>
      <c r="D244" s="30" t="s">
        <v>23</v>
      </c>
      <c r="E244" s="30" t="s">
        <v>356</v>
      </c>
      <c r="F244" s="31" t="s">
        <v>354</v>
      </c>
      <c r="G244" s="30" t="s">
        <v>26</v>
      </c>
      <c r="H244" s="30" t="s">
        <v>27</v>
      </c>
      <c r="I244" s="30">
        <v>3</v>
      </c>
      <c r="J244" s="30"/>
      <c r="K244" s="30"/>
      <c r="L244" s="32">
        <v>106.367226</v>
      </c>
      <c r="M244" s="32">
        <v>10.366111</v>
      </c>
      <c r="N244" s="32" t="s">
        <v>270</v>
      </c>
      <c r="O244" s="33" t="s">
        <v>29</v>
      </c>
      <c r="P244" s="30" t="s">
        <v>30</v>
      </c>
      <c r="Q244" s="30" t="s">
        <v>31</v>
      </c>
      <c r="R244" s="34" t="s">
        <v>32</v>
      </c>
      <c r="S244" s="35">
        <v>48050</v>
      </c>
      <c r="T244" s="36" t="s">
        <v>325</v>
      </c>
      <c r="U244" s="30" t="s">
        <v>325</v>
      </c>
      <c r="V244" s="37" t="e">
        <v>#N/A</v>
      </c>
      <c r="W244" s="31" t="s">
        <v>63</v>
      </c>
      <c r="X244" s="37" t="s">
        <v>52</v>
      </c>
      <c r="Y244" s="37">
        <f>COUNTIF(F:F,F244)</f>
        <v>3</v>
      </c>
      <c r="Z244" s="21" t="s">
        <v>1101</v>
      </c>
      <c r="AA244" s="21" t="s">
        <v>325</v>
      </c>
      <c r="AB244" s="21" t="s">
        <v>1120</v>
      </c>
    </row>
    <row r="245" spans="1:28" ht="13.9" customHeight="1" x14ac:dyDescent="0.3">
      <c r="A245" s="30" t="s">
        <v>20</v>
      </c>
      <c r="B245" s="30" t="s">
        <v>21</v>
      </c>
      <c r="C245" s="30" t="s">
        <v>22</v>
      </c>
      <c r="D245" s="30" t="s">
        <v>23</v>
      </c>
      <c r="E245" s="30" t="s">
        <v>333</v>
      </c>
      <c r="F245" s="31" t="s">
        <v>333</v>
      </c>
      <c r="G245" s="30" t="s">
        <v>26</v>
      </c>
      <c r="H245" s="30" t="s">
        <v>27</v>
      </c>
      <c r="I245" s="30">
        <v>3</v>
      </c>
      <c r="J245" s="30"/>
      <c r="K245" s="30"/>
      <c r="L245" s="32">
        <v>106.35468</v>
      </c>
      <c r="M245" s="32">
        <v>10.35582</v>
      </c>
      <c r="N245" s="32" t="s">
        <v>270</v>
      </c>
      <c r="O245" s="33" t="s">
        <v>29</v>
      </c>
      <c r="P245" s="30" t="s">
        <v>30</v>
      </c>
      <c r="Q245" s="30" t="s">
        <v>31</v>
      </c>
      <c r="R245" s="34" t="s">
        <v>32</v>
      </c>
      <c r="S245" s="35">
        <v>48050</v>
      </c>
      <c r="T245" s="36" t="s">
        <v>325</v>
      </c>
      <c r="U245" s="30" t="s">
        <v>325</v>
      </c>
      <c r="V245" s="37" t="e">
        <v>#N/A</v>
      </c>
      <c r="W245" s="31" t="s">
        <v>33</v>
      </c>
      <c r="X245" s="37"/>
      <c r="Y245" s="37">
        <f>COUNTIF(F:F,F245)</f>
        <v>1</v>
      </c>
      <c r="Z245" s="21" t="s">
        <v>1101</v>
      </c>
      <c r="AA245" s="21" t="s">
        <v>325</v>
      </c>
      <c r="AB245" s="21" t="s">
        <v>1120</v>
      </c>
    </row>
    <row r="246" spans="1:28" ht="13.9" customHeight="1" x14ac:dyDescent="0.3">
      <c r="A246" s="30" t="s">
        <v>20</v>
      </c>
      <c r="B246" s="30" t="s">
        <v>21</v>
      </c>
      <c r="C246" s="30" t="s">
        <v>22</v>
      </c>
      <c r="D246" s="30" t="s">
        <v>23</v>
      </c>
      <c r="E246" s="30" t="s">
        <v>344</v>
      </c>
      <c r="F246" s="31" t="s">
        <v>344</v>
      </c>
      <c r="G246" s="30" t="s">
        <v>26</v>
      </c>
      <c r="H246" s="30" t="s">
        <v>27</v>
      </c>
      <c r="I246" s="30">
        <v>3</v>
      </c>
      <c r="J246" s="30"/>
      <c r="K246" s="30"/>
      <c r="L246" s="32">
        <v>106.33166</v>
      </c>
      <c r="M246" s="32">
        <v>10.39324</v>
      </c>
      <c r="N246" s="32" t="s">
        <v>270</v>
      </c>
      <c r="O246" s="33">
        <v>0</v>
      </c>
      <c r="P246" s="30" t="s">
        <v>30</v>
      </c>
      <c r="Q246" s="30" t="s">
        <v>31</v>
      </c>
      <c r="R246" s="34" t="s">
        <v>47</v>
      </c>
      <c r="S246" s="35">
        <v>48050</v>
      </c>
      <c r="T246" s="36" t="s">
        <v>338</v>
      </c>
      <c r="U246" s="30" t="s">
        <v>325</v>
      </c>
      <c r="V246" s="37" t="e">
        <v>#N/A</v>
      </c>
      <c r="W246" s="31" t="s">
        <v>33</v>
      </c>
      <c r="X246" s="37"/>
      <c r="Y246" s="37">
        <f>COUNTIF(F:F,F246)</f>
        <v>1</v>
      </c>
      <c r="Z246" s="21" t="s">
        <v>1101</v>
      </c>
      <c r="AA246" s="21" t="s">
        <v>325</v>
      </c>
      <c r="AB246" s="21" t="s">
        <v>1120</v>
      </c>
    </row>
    <row r="247" spans="1:28" ht="13.9" customHeight="1" x14ac:dyDescent="0.3">
      <c r="A247" s="30" t="s">
        <v>20</v>
      </c>
      <c r="B247" s="30" t="s">
        <v>21</v>
      </c>
      <c r="C247" s="30" t="s">
        <v>22</v>
      </c>
      <c r="D247" s="30" t="s">
        <v>23</v>
      </c>
      <c r="E247" s="30" t="s">
        <v>345</v>
      </c>
      <c r="F247" s="31" t="s">
        <v>345</v>
      </c>
      <c r="G247" s="30" t="s">
        <v>26</v>
      </c>
      <c r="H247" s="30" t="s">
        <v>27</v>
      </c>
      <c r="I247" s="30">
        <v>3</v>
      </c>
      <c r="J247" s="30"/>
      <c r="K247" s="30"/>
      <c r="L247" s="32">
        <v>106.33150999999999</v>
      </c>
      <c r="M247" s="32">
        <v>10.38</v>
      </c>
      <c r="N247" s="32" t="s">
        <v>270</v>
      </c>
      <c r="O247" s="33">
        <v>0</v>
      </c>
      <c r="P247" s="30" t="s">
        <v>30</v>
      </c>
      <c r="Q247" s="30" t="s">
        <v>31</v>
      </c>
      <c r="R247" s="34" t="s">
        <v>47</v>
      </c>
      <c r="S247" s="35">
        <v>48050</v>
      </c>
      <c r="T247" s="36" t="s">
        <v>338</v>
      </c>
      <c r="U247" s="30" t="s">
        <v>325</v>
      </c>
      <c r="V247" s="37" t="e">
        <v>#N/A</v>
      </c>
      <c r="W247" s="31" t="s">
        <v>33</v>
      </c>
      <c r="X247" s="37"/>
      <c r="Y247" s="37">
        <f>COUNTIF(F:F,F247)</f>
        <v>1</v>
      </c>
      <c r="Z247" s="21" t="s">
        <v>1101</v>
      </c>
      <c r="AA247" s="21" t="s">
        <v>325</v>
      </c>
      <c r="AB247" s="21" t="s">
        <v>1120</v>
      </c>
    </row>
    <row r="248" spans="1:28" ht="13.9" customHeight="1" x14ac:dyDescent="0.3">
      <c r="A248" s="30" t="s">
        <v>20</v>
      </c>
      <c r="B248" s="30" t="s">
        <v>21</v>
      </c>
      <c r="C248" s="30" t="s">
        <v>22</v>
      </c>
      <c r="D248" s="30" t="s">
        <v>23</v>
      </c>
      <c r="E248" s="30" t="s">
        <v>334</v>
      </c>
      <c r="F248" s="31" t="s">
        <v>334</v>
      </c>
      <c r="G248" s="30" t="s">
        <v>26</v>
      </c>
      <c r="H248" s="30" t="s">
        <v>36</v>
      </c>
      <c r="I248" s="30">
        <v>3</v>
      </c>
      <c r="J248" s="30" t="s">
        <v>37</v>
      </c>
      <c r="K248" s="30" t="s">
        <v>275</v>
      </c>
      <c r="L248" s="32">
        <v>106.35959</v>
      </c>
      <c r="M248" s="32">
        <v>10.359080000000001</v>
      </c>
      <c r="N248" s="32" t="s">
        <v>270</v>
      </c>
      <c r="O248" s="33" t="s">
        <v>29</v>
      </c>
      <c r="P248" s="30" t="s">
        <v>271</v>
      </c>
      <c r="Q248" s="30" t="s">
        <v>31</v>
      </c>
      <c r="R248" s="34" t="s">
        <v>32</v>
      </c>
      <c r="S248" s="35">
        <v>48050</v>
      </c>
      <c r="T248" s="36" t="s">
        <v>325</v>
      </c>
      <c r="U248" s="30" t="s">
        <v>325</v>
      </c>
      <c r="V248" s="37" t="e">
        <v>#N/A</v>
      </c>
      <c r="W248" s="31" t="s">
        <v>33</v>
      </c>
      <c r="X248" s="37"/>
      <c r="Y248" s="37">
        <f>COUNTIF(F:F,F248)</f>
        <v>1</v>
      </c>
      <c r="Z248" s="21" t="s">
        <v>1101</v>
      </c>
      <c r="AA248" s="21" t="s">
        <v>325</v>
      </c>
      <c r="AB248" s="21" t="s">
        <v>1120</v>
      </c>
    </row>
    <row r="249" spans="1:28" ht="13.9" customHeight="1" x14ac:dyDescent="0.3">
      <c r="A249" s="36" t="s">
        <v>20</v>
      </c>
      <c r="B249" s="36" t="s">
        <v>21</v>
      </c>
      <c r="C249" s="36" t="s">
        <v>22</v>
      </c>
      <c r="D249" s="36" t="s">
        <v>23</v>
      </c>
      <c r="E249" s="36" t="s">
        <v>420</v>
      </c>
      <c r="F249" s="31" t="s">
        <v>418</v>
      </c>
      <c r="G249" s="36" t="s">
        <v>26</v>
      </c>
      <c r="H249" s="36" t="s">
        <v>27</v>
      </c>
      <c r="I249" s="36">
        <v>3</v>
      </c>
      <c r="J249" s="36" t="s">
        <v>37</v>
      </c>
      <c r="K249" s="36" t="s">
        <v>38</v>
      </c>
      <c r="L249" s="38">
        <v>106.322936</v>
      </c>
      <c r="M249" s="38">
        <v>10.385128</v>
      </c>
      <c r="N249" s="38" t="s">
        <v>270</v>
      </c>
      <c r="O249" s="39">
        <v>0</v>
      </c>
      <c r="P249" s="36" t="s">
        <v>41</v>
      </c>
      <c r="Q249" s="30" t="s">
        <v>31</v>
      </c>
      <c r="R249" s="40" t="s">
        <v>47</v>
      </c>
      <c r="S249" s="35">
        <v>48050</v>
      </c>
      <c r="T249" s="36" t="s">
        <v>408</v>
      </c>
      <c r="U249" s="30" t="s">
        <v>325</v>
      </c>
      <c r="V249" s="37" t="e">
        <v>#N/A</v>
      </c>
      <c r="W249" s="31" t="s">
        <v>63</v>
      </c>
      <c r="X249" s="37" t="s">
        <v>52</v>
      </c>
      <c r="Y249" s="37">
        <f>COUNTIF(F:F,F249)</f>
        <v>4</v>
      </c>
      <c r="Z249" s="21" t="s">
        <v>1101</v>
      </c>
      <c r="AA249" s="21" t="s">
        <v>325</v>
      </c>
      <c r="AB249" s="21" t="s">
        <v>1120</v>
      </c>
    </row>
    <row r="250" spans="1:28" s="22" customFormat="1" ht="13.9" customHeight="1" x14ac:dyDescent="0.3">
      <c r="A250" s="30" t="s">
        <v>20</v>
      </c>
      <c r="B250" s="30" t="s">
        <v>21</v>
      </c>
      <c r="C250" s="30" t="s">
        <v>22</v>
      </c>
      <c r="D250" s="30" t="s">
        <v>23</v>
      </c>
      <c r="E250" s="30" t="s">
        <v>421</v>
      </c>
      <c r="F250" s="31" t="s">
        <v>418</v>
      </c>
      <c r="G250" s="30" t="s">
        <v>26</v>
      </c>
      <c r="H250" s="30" t="s">
        <v>36</v>
      </c>
      <c r="I250" s="30">
        <v>3</v>
      </c>
      <c r="J250" s="30" t="s">
        <v>37</v>
      </c>
      <c r="K250" s="30" t="s">
        <v>275</v>
      </c>
      <c r="L250" s="32">
        <v>106.317072</v>
      </c>
      <c r="M250" s="32">
        <v>10.391266999999999</v>
      </c>
      <c r="N250" s="32" t="s">
        <v>270</v>
      </c>
      <c r="O250" s="33">
        <v>0</v>
      </c>
      <c r="P250" s="30" t="s">
        <v>271</v>
      </c>
      <c r="Q250" s="30" t="s">
        <v>31</v>
      </c>
      <c r="R250" s="34" t="s">
        <v>47</v>
      </c>
      <c r="S250" s="35">
        <v>48050</v>
      </c>
      <c r="T250" s="36" t="s">
        <v>408</v>
      </c>
      <c r="U250" s="30" t="s">
        <v>325</v>
      </c>
      <c r="V250" s="37" t="e">
        <v>#N/A</v>
      </c>
      <c r="W250" s="31" t="s">
        <v>33</v>
      </c>
      <c r="X250" s="37" t="s">
        <v>42</v>
      </c>
      <c r="Y250" s="37">
        <f>COUNTIF(F:F,F250)</f>
        <v>4</v>
      </c>
      <c r="Z250" s="21" t="s">
        <v>1101</v>
      </c>
      <c r="AA250" s="21" t="s">
        <v>325</v>
      </c>
      <c r="AB250" s="21" t="s">
        <v>1120</v>
      </c>
    </row>
    <row r="251" spans="1:28" ht="13.9" customHeight="1" x14ac:dyDescent="0.3">
      <c r="A251" s="36" t="s">
        <v>20</v>
      </c>
      <c r="B251" s="36" t="s">
        <v>21</v>
      </c>
      <c r="C251" s="36" t="s">
        <v>22</v>
      </c>
      <c r="D251" s="36" t="s">
        <v>23</v>
      </c>
      <c r="E251" s="36" t="s">
        <v>417</v>
      </c>
      <c r="F251" s="31" t="s">
        <v>418</v>
      </c>
      <c r="G251" s="36" t="s">
        <v>26</v>
      </c>
      <c r="H251" s="36" t="s">
        <v>36</v>
      </c>
      <c r="I251" s="36">
        <v>3</v>
      </c>
      <c r="J251" s="36" t="s">
        <v>26</v>
      </c>
      <c r="K251" s="36" t="s">
        <v>405</v>
      </c>
      <c r="L251" s="38">
        <v>106.31187</v>
      </c>
      <c r="M251" s="38">
        <v>10.39293</v>
      </c>
      <c r="N251" s="38" t="s">
        <v>270</v>
      </c>
      <c r="O251" s="39">
        <v>0</v>
      </c>
      <c r="P251" s="36" t="s">
        <v>271</v>
      </c>
      <c r="Q251" s="30" t="s">
        <v>31</v>
      </c>
      <c r="R251" s="40" t="s">
        <v>47</v>
      </c>
      <c r="S251" s="35">
        <v>48050</v>
      </c>
      <c r="T251" s="36" t="s">
        <v>408</v>
      </c>
      <c r="U251" s="30" t="s">
        <v>325</v>
      </c>
      <c r="V251" s="37" t="e">
        <v>#N/A</v>
      </c>
      <c r="W251" s="31" t="s">
        <v>63</v>
      </c>
      <c r="X251" s="37" t="s">
        <v>52</v>
      </c>
      <c r="Y251" s="37">
        <f>COUNTIF(F:F,F251)</f>
        <v>4</v>
      </c>
      <c r="Z251" s="21" t="s">
        <v>1101</v>
      </c>
      <c r="AA251" s="21" t="s">
        <v>325</v>
      </c>
      <c r="AB251" s="21" t="s">
        <v>1120</v>
      </c>
    </row>
    <row r="252" spans="1:28" ht="13.9" customHeight="1" x14ac:dyDescent="0.3">
      <c r="A252" s="30" t="s">
        <v>20</v>
      </c>
      <c r="B252" s="30" t="s">
        <v>21</v>
      </c>
      <c r="C252" s="30" t="s">
        <v>22</v>
      </c>
      <c r="D252" s="30" t="s">
        <v>23</v>
      </c>
      <c r="E252" s="30" t="s">
        <v>377</v>
      </c>
      <c r="F252" s="31" t="s">
        <v>377</v>
      </c>
      <c r="G252" s="30" t="s">
        <v>26</v>
      </c>
      <c r="H252" s="30" t="s">
        <v>27</v>
      </c>
      <c r="I252" s="30">
        <v>3</v>
      </c>
      <c r="J252" s="30"/>
      <c r="K252" s="30"/>
      <c r="L252" s="32">
        <v>106.69601</v>
      </c>
      <c r="M252" s="32">
        <v>10.24699</v>
      </c>
      <c r="N252" s="32" t="s">
        <v>358</v>
      </c>
      <c r="O252" s="33">
        <v>0</v>
      </c>
      <c r="P252" s="30" t="s">
        <v>60</v>
      </c>
      <c r="Q252" s="30" t="s">
        <v>31</v>
      </c>
      <c r="R252" s="34" t="s">
        <v>47</v>
      </c>
      <c r="S252" s="35">
        <v>48060</v>
      </c>
      <c r="T252" s="36" t="s">
        <v>359</v>
      </c>
      <c r="U252" s="30" t="s">
        <v>359</v>
      </c>
      <c r="V252" s="37" t="e">
        <v>#N/A</v>
      </c>
      <c r="W252" s="31" t="s">
        <v>33</v>
      </c>
      <c r="X252" s="37"/>
      <c r="Y252" s="37">
        <f>COUNTIF(F:F,F252)</f>
        <v>1</v>
      </c>
      <c r="Z252" s="21" t="s">
        <v>1101</v>
      </c>
      <c r="AA252" s="21" t="s">
        <v>359</v>
      </c>
      <c r="AB252" s="21" t="s">
        <v>1120</v>
      </c>
    </row>
    <row r="253" spans="1:28" ht="13.9" customHeight="1" x14ac:dyDescent="0.3">
      <c r="A253" s="30" t="s">
        <v>20</v>
      </c>
      <c r="B253" s="30" t="s">
        <v>21</v>
      </c>
      <c r="C253" s="30" t="s">
        <v>22</v>
      </c>
      <c r="D253" s="30" t="s">
        <v>23</v>
      </c>
      <c r="E253" s="30" t="s">
        <v>357</v>
      </c>
      <c r="F253" s="31" t="s">
        <v>357</v>
      </c>
      <c r="G253" s="30" t="s">
        <v>26</v>
      </c>
      <c r="H253" s="30" t="s">
        <v>36</v>
      </c>
      <c r="I253" s="30">
        <v>3</v>
      </c>
      <c r="J253" s="30" t="s">
        <v>37</v>
      </c>
      <c r="K253" s="30" t="s">
        <v>38</v>
      </c>
      <c r="L253" s="32">
        <v>106.65522</v>
      </c>
      <c r="M253" s="32">
        <v>10.26998</v>
      </c>
      <c r="N253" s="32" t="s">
        <v>358</v>
      </c>
      <c r="O253" s="33">
        <v>0</v>
      </c>
      <c r="P253" s="30" t="s">
        <v>39</v>
      </c>
      <c r="Q253" s="30" t="s">
        <v>31</v>
      </c>
      <c r="R253" s="34" t="s">
        <v>47</v>
      </c>
      <c r="S253" s="35">
        <v>48060</v>
      </c>
      <c r="T253" s="36" t="s">
        <v>359</v>
      </c>
      <c r="U253" s="30" t="s">
        <v>359</v>
      </c>
      <c r="V253" s="37" t="e">
        <v>#N/A</v>
      </c>
      <c r="W253" s="31" t="s">
        <v>33</v>
      </c>
      <c r="X253" s="37"/>
      <c r="Y253" s="37">
        <f>COUNTIF(F:F,F253)</f>
        <v>1</v>
      </c>
      <c r="Z253" s="21" t="s">
        <v>1101</v>
      </c>
      <c r="AA253" s="21" t="s">
        <v>359</v>
      </c>
      <c r="AB253" s="21" t="s">
        <v>1120</v>
      </c>
    </row>
    <row r="254" spans="1:28" ht="13.9" customHeight="1" x14ac:dyDescent="0.3">
      <c r="A254" s="30" t="s">
        <v>20</v>
      </c>
      <c r="B254" s="30" t="s">
        <v>21</v>
      </c>
      <c r="C254" s="30" t="s">
        <v>22</v>
      </c>
      <c r="D254" s="30" t="s">
        <v>23</v>
      </c>
      <c r="E254" s="30" t="s">
        <v>360</v>
      </c>
      <c r="F254" s="31" t="s">
        <v>360</v>
      </c>
      <c r="G254" s="30" t="s">
        <v>26</v>
      </c>
      <c r="H254" s="30" t="s">
        <v>27</v>
      </c>
      <c r="I254" s="30">
        <v>3</v>
      </c>
      <c r="J254" s="30"/>
      <c r="K254" s="30"/>
      <c r="L254" s="32">
        <v>106.74205000000001</v>
      </c>
      <c r="M254" s="32">
        <v>10.23211</v>
      </c>
      <c r="N254" s="32" t="s">
        <v>358</v>
      </c>
      <c r="O254" s="33">
        <v>0</v>
      </c>
      <c r="P254" s="30" t="s">
        <v>30</v>
      </c>
      <c r="Q254" s="30" t="s">
        <v>31</v>
      </c>
      <c r="R254" s="34" t="s">
        <v>47</v>
      </c>
      <c r="S254" s="35">
        <v>48060</v>
      </c>
      <c r="T254" s="36" t="s">
        <v>359</v>
      </c>
      <c r="U254" s="30" t="s">
        <v>359</v>
      </c>
      <c r="V254" s="37" t="e">
        <v>#N/A</v>
      </c>
      <c r="W254" s="31" t="s">
        <v>33</v>
      </c>
      <c r="X254" s="37" t="s">
        <v>42</v>
      </c>
      <c r="Y254" s="37">
        <f>COUNTIF(F:F,F254)</f>
        <v>2</v>
      </c>
      <c r="Z254" s="21" t="s">
        <v>1101</v>
      </c>
      <c r="AA254" s="21" t="s">
        <v>359</v>
      </c>
      <c r="AB254" s="21" t="s">
        <v>1120</v>
      </c>
    </row>
    <row r="255" spans="1:28" ht="13.9" customHeight="1" x14ac:dyDescent="0.3">
      <c r="A255" s="30" t="s">
        <v>20</v>
      </c>
      <c r="B255" s="30" t="s">
        <v>21</v>
      </c>
      <c r="C255" s="30" t="s">
        <v>22</v>
      </c>
      <c r="D255" s="30" t="s">
        <v>23</v>
      </c>
      <c r="E255" s="30" t="s">
        <v>719</v>
      </c>
      <c r="F255" s="31" t="s">
        <v>360</v>
      </c>
      <c r="G255" s="30" t="s">
        <v>26</v>
      </c>
      <c r="H255" s="30" t="s">
        <v>27</v>
      </c>
      <c r="I255" s="30">
        <v>3</v>
      </c>
      <c r="J255" s="30"/>
      <c r="K255" s="30"/>
      <c r="L255" s="32">
        <v>106.77271</v>
      </c>
      <c r="M255" s="32">
        <v>10.220890000000001</v>
      </c>
      <c r="N255" s="32" t="s">
        <v>358</v>
      </c>
      <c r="O255" s="33">
        <v>0</v>
      </c>
      <c r="P255" s="30" t="s">
        <v>30</v>
      </c>
      <c r="Q255" s="30" t="s">
        <v>31</v>
      </c>
      <c r="R255" s="34" t="s">
        <v>47</v>
      </c>
      <c r="S255" s="35">
        <v>48060</v>
      </c>
      <c r="T255" s="36" t="s">
        <v>359</v>
      </c>
      <c r="U255" s="30" t="s">
        <v>359</v>
      </c>
      <c r="V255" s="37" t="s">
        <v>49</v>
      </c>
      <c r="W255" s="31" t="s">
        <v>50</v>
      </c>
      <c r="X255" s="37" t="s">
        <v>52</v>
      </c>
      <c r="Y255" s="37">
        <f>COUNTIF(F:F,F255)</f>
        <v>2</v>
      </c>
      <c r="Z255" s="21" t="s">
        <v>1101</v>
      </c>
      <c r="AA255" s="21" t="s">
        <v>359</v>
      </c>
      <c r="AB255" s="21" t="s">
        <v>1120</v>
      </c>
    </row>
    <row r="256" spans="1:28" ht="13.9" customHeight="1" x14ac:dyDescent="0.3">
      <c r="A256" s="30" t="s">
        <v>20</v>
      </c>
      <c r="B256" s="30" t="s">
        <v>21</v>
      </c>
      <c r="C256" s="30" t="s">
        <v>22</v>
      </c>
      <c r="D256" s="30" t="s">
        <v>23</v>
      </c>
      <c r="E256" s="30" t="s">
        <v>361</v>
      </c>
      <c r="F256" s="31" t="s">
        <v>361</v>
      </c>
      <c r="G256" s="30" t="s">
        <v>26</v>
      </c>
      <c r="H256" s="30" t="s">
        <v>27</v>
      </c>
      <c r="I256" s="30">
        <v>3</v>
      </c>
      <c r="J256" s="30"/>
      <c r="K256" s="30"/>
      <c r="L256" s="32">
        <v>106.49135</v>
      </c>
      <c r="M256" s="32">
        <v>10.301450000000001</v>
      </c>
      <c r="N256" s="32" t="s">
        <v>358</v>
      </c>
      <c r="O256" s="33">
        <v>0</v>
      </c>
      <c r="P256" s="30" t="s">
        <v>30</v>
      </c>
      <c r="Q256" s="30" t="s">
        <v>31</v>
      </c>
      <c r="R256" s="34" t="s">
        <v>47</v>
      </c>
      <c r="S256" s="35">
        <v>48060</v>
      </c>
      <c r="T256" s="36" t="s">
        <v>359</v>
      </c>
      <c r="U256" s="30" t="s">
        <v>359</v>
      </c>
      <c r="V256" s="37" t="e">
        <v>#N/A</v>
      </c>
      <c r="W256" s="31" t="s">
        <v>33</v>
      </c>
      <c r="X256" s="37" t="s">
        <v>42</v>
      </c>
      <c r="Y256" s="37">
        <f>COUNTIF(F:F,F256)</f>
        <v>2</v>
      </c>
      <c r="Z256" s="21" t="s">
        <v>1101</v>
      </c>
      <c r="AA256" s="21" t="s">
        <v>359</v>
      </c>
      <c r="AB256" s="21" t="s">
        <v>1120</v>
      </c>
    </row>
    <row r="257" spans="1:28" ht="13.9" customHeight="1" x14ac:dyDescent="0.3">
      <c r="A257" s="30" t="s">
        <v>20</v>
      </c>
      <c r="B257" s="30" t="s">
        <v>21</v>
      </c>
      <c r="C257" s="30" t="s">
        <v>22</v>
      </c>
      <c r="D257" s="30" t="s">
        <v>23</v>
      </c>
      <c r="E257" s="30" t="s">
        <v>753</v>
      </c>
      <c r="F257" s="31" t="s">
        <v>361</v>
      </c>
      <c r="G257" s="30" t="s">
        <v>26</v>
      </c>
      <c r="H257" s="30" t="s">
        <v>27</v>
      </c>
      <c r="I257" s="30">
        <v>3</v>
      </c>
      <c r="J257" s="30"/>
      <c r="K257" s="30"/>
      <c r="L257" s="32">
        <v>106.50671</v>
      </c>
      <c r="M257" s="32">
        <v>10.29524</v>
      </c>
      <c r="N257" s="32" t="s">
        <v>358</v>
      </c>
      <c r="O257" s="33">
        <v>0</v>
      </c>
      <c r="P257" s="30" t="s">
        <v>30</v>
      </c>
      <c r="Q257" s="30" t="s">
        <v>31</v>
      </c>
      <c r="R257" s="34" t="s">
        <v>47</v>
      </c>
      <c r="S257" s="35">
        <v>48060</v>
      </c>
      <c r="T257" s="36" t="s">
        <v>359</v>
      </c>
      <c r="U257" s="30" t="s">
        <v>359</v>
      </c>
      <c r="V257" s="37" t="s">
        <v>49</v>
      </c>
      <c r="W257" s="31" t="s">
        <v>50</v>
      </c>
      <c r="X257" s="37" t="s">
        <v>52</v>
      </c>
      <c r="Y257" s="37">
        <f>COUNTIF(F:F,F257)</f>
        <v>2</v>
      </c>
      <c r="Z257" s="21" t="s">
        <v>1101</v>
      </c>
      <c r="AA257" s="21" t="s">
        <v>359</v>
      </c>
      <c r="AB257" s="21" t="s">
        <v>1120</v>
      </c>
    </row>
    <row r="258" spans="1:28" s="22" customFormat="1" ht="13.9" customHeight="1" x14ac:dyDescent="0.3">
      <c r="A258" s="30" t="s">
        <v>20</v>
      </c>
      <c r="B258" s="30" t="s">
        <v>21</v>
      </c>
      <c r="C258" s="30" t="s">
        <v>22</v>
      </c>
      <c r="D258" s="30" t="s">
        <v>23</v>
      </c>
      <c r="E258" s="30" t="s">
        <v>362</v>
      </c>
      <c r="F258" s="31" t="s">
        <v>362</v>
      </c>
      <c r="G258" s="30" t="s">
        <v>26</v>
      </c>
      <c r="H258" s="30" t="s">
        <v>27</v>
      </c>
      <c r="I258" s="30">
        <v>3</v>
      </c>
      <c r="J258" s="30"/>
      <c r="K258" s="30"/>
      <c r="L258" s="32">
        <v>106.69088000000001</v>
      </c>
      <c r="M258" s="32">
        <v>10.2697</v>
      </c>
      <c r="N258" s="32" t="s">
        <v>358</v>
      </c>
      <c r="O258" s="33">
        <v>0</v>
      </c>
      <c r="P258" s="30" t="s">
        <v>30</v>
      </c>
      <c r="Q258" s="30" t="s">
        <v>31</v>
      </c>
      <c r="R258" s="34" t="s">
        <v>47</v>
      </c>
      <c r="S258" s="35">
        <v>48060</v>
      </c>
      <c r="T258" s="36" t="s">
        <v>359</v>
      </c>
      <c r="U258" s="30" t="s">
        <v>359</v>
      </c>
      <c r="V258" s="37" t="e">
        <v>#N/A</v>
      </c>
      <c r="W258" s="31" t="s">
        <v>33</v>
      </c>
      <c r="X258" s="37"/>
      <c r="Y258" s="37">
        <f>COUNTIF(F:F,F258)</f>
        <v>1</v>
      </c>
      <c r="Z258" s="21" t="s">
        <v>1101</v>
      </c>
      <c r="AA258" s="21" t="s">
        <v>359</v>
      </c>
      <c r="AB258" s="21" t="s">
        <v>1120</v>
      </c>
    </row>
    <row r="259" spans="1:28" ht="13.9" customHeight="1" x14ac:dyDescent="0.3">
      <c r="A259" s="30" t="s">
        <v>20</v>
      </c>
      <c r="B259" s="30" t="s">
        <v>21</v>
      </c>
      <c r="C259" s="30" t="s">
        <v>22</v>
      </c>
      <c r="D259" s="30" t="s">
        <v>23</v>
      </c>
      <c r="E259" s="30" t="s">
        <v>379</v>
      </c>
      <c r="F259" s="31" t="s">
        <v>379</v>
      </c>
      <c r="G259" s="30" t="s">
        <v>26</v>
      </c>
      <c r="H259" s="30" t="s">
        <v>27</v>
      </c>
      <c r="I259" s="30">
        <v>3</v>
      </c>
      <c r="J259" s="30"/>
      <c r="K259" s="30"/>
      <c r="L259" s="32">
        <v>106.60311179999999</v>
      </c>
      <c r="M259" s="32">
        <v>10.279422200000001</v>
      </c>
      <c r="N259" s="32" t="s">
        <v>358</v>
      </c>
      <c r="O259" s="33">
        <v>0</v>
      </c>
      <c r="P259" s="30" t="s">
        <v>41</v>
      </c>
      <c r="Q259" s="30" t="s">
        <v>31</v>
      </c>
      <c r="R259" s="34" t="s">
        <v>47</v>
      </c>
      <c r="S259" s="35">
        <v>48060</v>
      </c>
      <c r="T259" s="36" t="s">
        <v>359</v>
      </c>
      <c r="U259" s="30" t="s">
        <v>359</v>
      </c>
      <c r="V259" s="37" t="e">
        <v>#N/A</v>
      </c>
      <c r="W259" s="31" t="s">
        <v>33</v>
      </c>
      <c r="X259" s="37" t="s">
        <v>42</v>
      </c>
      <c r="Y259" s="37">
        <f>COUNTIF(F:F,F259)</f>
        <v>2</v>
      </c>
      <c r="Z259" s="21" t="s">
        <v>1101</v>
      </c>
      <c r="AA259" s="21" t="s">
        <v>359</v>
      </c>
      <c r="AB259" s="21" t="s">
        <v>1120</v>
      </c>
    </row>
    <row r="260" spans="1:28" ht="13.9" customHeight="1" x14ac:dyDescent="0.3">
      <c r="A260" s="36" t="s">
        <v>20</v>
      </c>
      <c r="B260" s="36" t="s">
        <v>21</v>
      </c>
      <c r="C260" s="36" t="s">
        <v>22</v>
      </c>
      <c r="D260" s="36" t="s">
        <v>23</v>
      </c>
      <c r="E260" s="36" t="s">
        <v>380</v>
      </c>
      <c r="F260" s="31" t="s">
        <v>379</v>
      </c>
      <c r="G260" s="36" t="s">
        <v>26</v>
      </c>
      <c r="H260" s="36" t="s">
        <v>27</v>
      </c>
      <c r="I260" s="36">
        <v>3</v>
      </c>
      <c r="J260" s="36"/>
      <c r="K260" s="36"/>
      <c r="L260" s="38">
        <v>106.58343619999999</v>
      </c>
      <c r="M260" s="38">
        <v>10.2795047</v>
      </c>
      <c r="N260" s="38" t="s">
        <v>358</v>
      </c>
      <c r="O260" s="39">
        <v>0</v>
      </c>
      <c r="P260" s="36" t="s">
        <v>30</v>
      </c>
      <c r="Q260" s="30" t="s">
        <v>31</v>
      </c>
      <c r="R260" s="40" t="s">
        <v>47</v>
      </c>
      <c r="S260" s="35">
        <v>48060</v>
      </c>
      <c r="T260" s="36" t="s">
        <v>359</v>
      </c>
      <c r="U260" s="30" t="s">
        <v>359</v>
      </c>
      <c r="V260" s="37" t="e">
        <v>#N/A</v>
      </c>
      <c r="W260" s="31" t="s">
        <v>63</v>
      </c>
      <c r="X260" s="37" t="s">
        <v>52</v>
      </c>
      <c r="Y260" s="37">
        <f>COUNTIF(F:F,F260)</f>
        <v>2</v>
      </c>
      <c r="Z260" s="21" t="s">
        <v>1101</v>
      </c>
      <c r="AA260" s="21" t="s">
        <v>359</v>
      </c>
      <c r="AB260" s="21" t="s">
        <v>1120</v>
      </c>
    </row>
    <row r="261" spans="1:28" ht="13.9" customHeight="1" x14ac:dyDescent="0.3">
      <c r="A261" s="30" t="s">
        <v>20</v>
      </c>
      <c r="B261" s="30" t="s">
        <v>21</v>
      </c>
      <c r="C261" s="30" t="s">
        <v>22</v>
      </c>
      <c r="D261" s="30" t="s">
        <v>23</v>
      </c>
      <c r="E261" s="30" t="s">
        <v>363</v>
      </c>
      <c r="F261" s="31" t="s">
        <v>363</v>
      </c>
      <c r="G261" s="30" t="s">
        <v>26</v>
      </c>
      <c r="H261" s="30" t="s">
        <v>27</v>
      </c>
      <c r="I261" s="30">
        <v>3</v>
      </c>
      <c r="J261" s="30"/>
      <c r="K261" s="30"/>
      <c r="L261" s="32">
        <v>106.5636361</v>
      </c>
      <c r="M261" s="32">
        <v>10.279499400000001</v>
      </c>
      <c r="N261" s="32" t="s">
        <v>358</v>
      </c>
      <c r="O261" s="33">
        <v>0</v>
      </c>
      <c r="P261" s="30" t="s">
        <v>30</v>
      </c>
      <c r="Q261" s="30" t="s">
        <v>31</v>
      </c>
      <c r="R261" s="34" t="s">
        <v>47</v>
      </c>
      <c r="S261" s="35">
        <v>48060</v>
      </c>
      <c r="T261" s="36" t="s">
        <v>359</v>
      </c>
      <c r="U261" s="30" t="s">
        <v>359</v>
      </c>
      <c r="V261" s="37" t="e">
        <v>#N/A</v>
      </c>
      <c r="W261" s="31" t="s">
        <v>33</v>
      </c>
      <c r="X261" s="37"/>
      <c r="Y261" s="37">
        <f>COUNTIF(F:F,F261)</f>
        <v>1</v>
      </c>
      <c r="Z261" s="21" t="s">
        <v>1101</v>
      </c>
      <c r="AA261" s="21" t="s">
        <v>359</v>
      </c>
      <c r="AB261" s="21" t="s">
        <v>1120</v>
      </c>
    </row>
    <row r="262" spans="1:28" ht="13.9" customHeight="1" x14ac:dyDescent="0.3">
      <c r="A262" s="30" t="s">
        <v>20</v>
      </c>
      <c r="B262" s="30" t="s">
        <v>21</v>
      </c>
      <c r="C262" s="30" t="s">
        <v>22</v>
      </c>
      <c r="D262" s="30" t="s">
        <v>23</v>
      </c>
      <c r="E262" s="30" t="s">
        <v>364</v>
      </c>
      <c r="F262" s="31" t="s">
        <v>364</v>
      </c>
      <c r="G262" s="30" t="s">
        <v>26</v>
      </c>
      <c r="H262" s="30" t="s">
        <v>27</v>
      </c>
      <c r="I262" s="30">
        <v>3</v>
      </c>
      <c r="J262" s="30"/>
      <c r="K262" s="30"/>
      <c r="L262" s="32">
        <v>106.71995</v>
      </c>
      <c r="M262" s="32">
        <v>10.23563</v>
      </c>
      <c r="N262" s="32" t="s">
        <v>358</v>
      </c>
      <c r="O262" s="33">
        <v>0</v>
      </c>
      <c r="P262" s="30" t="s">
        <v>30</v>
      </c>
      <c r="Q262" s="30" t="s">
        <v>31</v>
      </c>
      <c r="R262" s="34" t="s">
        <v>47</v>
      </c>
      <c r="S262" s="35">
        <v>48060</v>
      </c>
      <c r="T262" s="36" t="s">
        <v>359</v>
      </c>
      <c r="U262" s="30" t="s">
        <v>359</v>
      </c>
      <c r="V262" s="37" t="e">
        <v>#N/A</v>
      </c>
      <c r="W262" s="31" t="s">
        <v>33</v>
      </c>
      <c r="X262" s="37"/>
      <c r="Y262" s="37">
        <f>COUNTIF(F:F,F262)</f>
        <v>1</v>
      </c>
      <c r="Z262" s="21" t="s">
        <v>1101</v>
      </c>
      <c r="AA262" s="21" t="s">
        <v>359</v>
      </c>
      <c r="AB262" s="21" t="s">
        <v>1120</v>
      </c>
    </row>
    <row r="263" spans="1:28" ht="13.9" customHeight="1" x14ac:dyDescent="0.3">
      <c r="A263" s="30" t="s">
        <v>20</v>
      </c>
      <c r="B263" s="30" t="s">
        <v>21</v>
      </c>
      <c r="C263" s="30" t="s">
        <v>22</v>
      </c>
      <c r="D263" s="30" t="s">
        <v>23</v>
      </c>
      <c r="E263" s="30" t="s">
        <v>365</v>
      </c>
      <c r="F263" s="31" t="s">
        <v>365</v>
      </c>
      <c r="G263" s="30" t="s">
        <v>26</v>
      </c>
      <c r="H263" s="30" t="s">
        <v>27</v>
      </c>
      <c r="I263" s="30">
        <v>3</v>
      </c>
      <c r="J263" s="30"/>
      <c r="K263" s="30"/>
      <c r="L263" s="32">
        <v>106.63009839999999</v>
      </c>
      <c r="M263" s="32">
        <v>10.269866199999999</v>
      </c>
      <c r="N263" s="32" t="s">
        <v>358</v>
      </c>
      <c r="O263" s="33">
        <v>0</v>
      </c>
      <c r="P263" s="30" t="s">
        <v>30</v>
      </c>
      <c r="Q263" s="30" t="s">
        <v>31</v>
      </c>
      <c r="R263" s="34" t="s">
        <v>47</v>
      </c>
      <c r="S263" s="35">
        <v>48060</v>
      </c>
      <c r="T263" s="36" t="s">
        <v>359</v>
      </c>
      <c r="U263" s="30" t="s">
        <v>359</v>
      </c>
      <c r="V263" s="37" t="e">
        <v>#N/A</v>
      </c>
      <c r="W263" s="31" t="s">
        <v>33</v>
      </c>
      <c r="X263" s="37"/>
      <c r="Y263" s="37">
        <f>COUNTIF(F:F,F263)</f>
        <v>1</v>
      </c>
      <c r="Z263" s="21" t="s">
        <v>1101</v>
      </c>
      <c r="AA263" s="21" t="s">
        <v>359</v>
      </c>
      <c r="AB263" s="21" t="s">
        <v>1120</v>
      </c>
    </row>
    <row r="264" spans="1:28" ht="13.9" customHeight="1" x14ac:dyDescent="0.3">
      <c r="A264" s="30" t="s">
        <v>20</v>
      </c>
      <c r="B264" s="30" t="s">
        <v>21</v>
      </c>
      <c r="C264" s="30" t="s">
        <v>22</v>
      </c>
      <c r="D264" s="30" t="s">
        <v>23</v>
      </c>
      <c r="E264" s="30" t="s">
        <v>381</v>
      </c>
      <c r="F264" s="31" t="s">
        <v>381</v>
      </c>
      <c r="G264" s="30" t="s">
        <v>26</v>
      </c>
      <c r="H264" s="30" t="s">
        <v>27</v>
      </c>
      <c r="I264" s="30">
        <v>3</v>
      </c>
      <c r="J264" s="30"/>
      <c r="K264" s="30"/>
      <c r="L264" s="32">
        <v>106.59549</v>
      </c>
      <c r="M264" s="32">
        <v>10.261279999999999</v>
      </c>
      <c r="N264" s="32" t="s">
        <v>358</v>
      </c>
      <c r="O264" s="33">
        <v>0</v>
      </c>
      <c r="P264" s="30" t="s">
        <v>30</v>
      </c>
      <c r="Q264" s="30" t="s">
        <v>31</v>
      </c>
      <c r="R264" s="34" t="s">
        <v>47</v>
      </c>
      <c r="S264" s="35">
        <v>48060</v>
      </c>
      <c r="T264" s="36" t="s">
        <v>359</v>
      </c>
      <c r="U264" s="30" t="s">
        <v>359</v>
      </c>
      <c r="V264" s="37" t="e">
        <v>#N/A</v>
      </c>
      <c r="W264" s="31" t="s">
        <v>33</v>
      </c>
      <c r="X264" s="37" t="s">
        <v>42</v>
      </c>
      <c r="Y264" s="37">
        <f>COUNTIF(F:F,F264)</f>
        <v>3</v>
      </c>
      <c r="Z264" s="21" t="s">
        <v>1101</v>
      </c>
      <c r="AA264" s="21" t="s">
        <v>359</v>
      </c>
      <c r="AB264" s="21" t="s">
        <v>1120</v>
      </c>
    </row>
    <row r="265" spans="1:28" ht="13.9" customHeight="1" x14ac:dyDescent="0.3">
      <c r="A265" s="30" t="s">
        <v>20</v>
      </c>
      <c r="B265" s="30" t="s">
        <v>21</v>
      </c>
      <c r="C265" s="30" t="s">
        <v>22</v>
      </c>
      <c r="D265" s="30" t="s">
        <v>23</v>
      </c>
      <c r="E265" s="30" t="s">
        <v>751</v>
      </c>
      <c r="F265" s="31" t="s">
        <v>381</v>
      </c>
      <c r="G265" s="30" t="s">
        <v>26</v>
      </c>
      <c r="H265" s="30" t="s">
        <v>27</v>
      </c>
      <c r="I265" s="30">
        <v>3</v>
      </c>
      <c r="J265" s="30"/>
      <c r="K265" s="30"/>
      <c r="L265" s="32">
        <v>106.6405024</v>
      </c>
      <c r="M265" s="32">
        <v>10.255556</v>
      </c>
      <c r="N265" s="32" t="s">
        <v>358</v>
      </c>
      <c r="O265" s="33">
        <v>0</v>
      </c>
      <c r="P265" s="30" t="s">
        <v>30</v>
      </c>
      <c r="Q265" s="30" t="s">
        <v>31</v>
      </c>
      <c r="R265" s="34" t="s">
        <v>47</v>
      </c>
      <c r="S265" s="35">
        <v>48060</v>
      </c>
      <c r="T265" s="36" t="s">
        <v>359</v>
      </c>
      <c r="U265" s="30" t="s">
        <v>359</v>
      </c>
      <c r="V265" s="37" t="s">
        <v>49</v>
      </c>
      <c r="W265" s="31" t="s">
        <v>50</v>
      </c>
      <c r="X265" s="37" t="s">
        <v>52</v>
      </c>
      <c r="Y265" s="37">
        <f>COUNTIF(F:F,F265)</f>
        <v>3</v>
      </c>
      <c r="Z265" s="21" t="s">
        <v>1101</v>
      </c>
      <c r="AA265" s="21" t="s">
        <v>359</v>
      </c>
      <c r="AB265" s="21" t="s">
        <v>1120</v>
      </c>
    </row>
    <row r="266" spans="1:28" ht="13.9" customHeight="1" x14ac:dyDescent="0.3">
      <c r="A266" s="36" t="s">
        <v>20</v>
      </c>
      <c r="B266" s="36" t="s">
        <v>21</v>
      </c>
      <c r="C266" s="36" t="s">
        <v>22</v>
      </c>
      <c r="D266" s="36" t="s">
        <v>23</v>
      </c>
      <c r="E266" s="36" t="s">
        <v>382</v>
      </c>
      <c r="F266" s="31" t="s">
        <v>381</v>
      </c>
      <c r="G266" s="36" t="s">
        <v>26</v>
      </c>
      <c r="H266" s="36" t="s">
        <v>27</v>
      </c>
      <c r="I266" s="36">
        <v>3</v>
      </c>
      <c r="J266" s="36"/>
      <c r="K266" s="36"/>
      <c r="L266" s="38">
        <v>106.5475</v>
      </c>
      <c r="M266" s="38">
        <v>10.273300000000001</v>
      </c>
      <c r="N266" s="38" t="s">
        <v>358</v>
      </c>
      <c r="O266" s="39">
        <v>0</v>
      </c>
      <c r="P266" s="36" t="s">
        <v>30</v>
      </c>
      <c r="Q266" s="30" t="s">
        <v>31</v>
      </c>
      <c r="R266" s="40" t="s">
        <v>47</v>
      </c>
      <c r="S266" s="35">
        <v>48060</v>
      </c>
      <c r="T266" s="36" t="s">
        <v>359</v>
      </c>
      <c r="U266" s="30" t="s">
        <v>359</v>
      </c>
      <c r="V266" s="37" t="e">
        <v>#N/A</v>
      </c>
      <c r="W266" s="31" t="s">
        <v>63</v>
      </c>
      <c r="X266" s="37" t="s">
        <v>52</v>
      </c>
      <c r="Y266" s="37">
        <f>COUNTIF(F:F,F266)</f>
        <v>3</v>
      </c>
      <c r="Z266" s="21" t="s">
        <v>1101</v>
      </c>
      <c r="AA266" s="21" t="s">
        <v>359</v>
      </c>
      <c r="AB266" s="21" t="s">
        <v>1120</v>
      </c>
    </row>
    <row r="267" spans="1:28" ht="13.9" customHeight="1" x14ac:dyDescent="0.3">
      <c r="A267" s="30" t="s">
        <v>20</v>
      </c>
      <c r="B267" s="30" t="s">
        <v>21</v>
      </c>
      <c r="C267" s="30" t="s">
        <v>22</v>
      </c>
      <c r="D267" s="30" t="s">
        <v>23</v>
      </c>
      <c r="E267" s="30" t="s">
        <v>378</v>
      </c>
      <c r="F267" s="31" t="s">
        <v>378</v>
      </c>
      <c r="G267" s="30" t="s">
        <v>26</v>
      </c>
      <c r="H267" s="30" t="s">
        <v>27</v>
      </c>
      <c r="I267" s="30">
        <v>3</v>
      </c>
      <c r="J267" s="30"/>
      <c r="K267" s="30"/>
      <c r="L267" s="32">
        <v>106.5266208</v>
      </c>
      <c r="M267" s="32">
        <v>10.2853233</v>
      </c>
      <c r="N267" s="32" t="s">
        <v>358</v>
      </c>
      <c r="O267" s="33">
        <v>0</v>
      </c>
      <c r="P267" s="30" t="s">
        <v>41</v>
      </c>
      <c r="Q267" s="30" t="s">
        <v>31</v>
      </c>
      <c r="R267" s="34" t="s">
        <v>47</v>
      </c>
      <c r="S267" s="35">
        <v>48060</v>
      </c>
      <c r="T267" s="36" t="s">
        <v>359</v>
      </c>
      <c r="U267" s="30" t="s">
        <v>359</v>
      </c>
      <c r="V267" s="37" t="e">
        <v>#N/A</v>
      </c>
      <c r="W267" s="31" t="s">
        <v>33</v>
      </c>
      <c r="X267" s="37"/>
      <c r="Y267" s="37">
        <f>COUNTIF(F:F,F267)</f>
        <v>1</v>
      </c>
      <c r="Z267" s="21" t="s">
        <v>1101</v>
      </c>
      <c r="AA267" s="21" t="s">
        <v>359</v>
      </c>
      <c r="AB267" s="21" t="s">
        <v>1120</v>
      </c>
    </row>
    <row r="268" spans="1:28" ht="13.9" customHeight="1" x14ac:dyDescent="0.3">
      <c r="A268" s="30" t="s">
        <v>20</v>
      </c>
      <c r="B268" s="30" t="s">
        <v>21</v>
      </c>
      <c r="C268" s="30" t="s">
        <v>22</v>
      </c>
      <c r="D268" s="30" t="s">
        <v>23</v>
      </c>
      <c r="E268" s="30" t="s">
        <v>368</v>
      </c>
      <c r="F268" s="31" t="s">
        <v>368</v>
      </c>
      <c r="G268" s="30" t="s">
        <v>26</v>
      </c>
      <c r="H268" s="30" t="s">
        <v>27</v>
      </c>
      <c r="I268" s="30">
        <v>3</v>
      </c>
      <c r="J268" s="30"/>
      <c r="K268" s="30"/>
      <c r="L268" s="32">
        <v>106.7391411</v>
      </c>
      <c r="M268" s="32">
        <v>10.257970500000001</v>
      </c>
      <c r="N268" s="32" t="s">
        <v>358</v>
      </c>
      <c r="O268" s="33">
        <v>0</v>
      </c>
      <c r="P268" s="30" t="s">
        <v>30</v>
      </c>
      <c r="Q268" s="30" t="s">
        <v>31</v>
      </c>
      <c r="R268" s="34" t="s">
        <v>47</v>
      </c>
      <c r="S268" s="35">
        <v>48060</v>
      </c>
      <c r="T268" s="36" t="s">
        <v>359</v>
      </c>
      <c r="U268" s="30" t="s">
        <v>359</v>
      </c>
      <c r="V268" s="37" t="e">
        <v>#N/A</v>
      </c>
      <c r="W268" s="31" t="s">
        <v>33</v>
      </c>
      <c r="X268" s="37"/>
      <c r="Y268" s="37">
        <f>COUNTIF(F:F,F268)</f>
        <v>1</v>
      </c>
      <c r="Z268" s="21" t="s">
        <v>1101</v>
      </c>
      <c r="AA268" s="21" t="s">
        <v>359</v>
      </c>
      <c r="AB268" s="21" t="s">
        <v>1120</v>
      </c>
    </row>
    <row r="269" spans="1:28" ht="13.9" customHeight="1" x14ac:dyDescent="0.3">
      <c r="A269" s="30" t="s">
        <v>20</v>
      </c>
      <c r="B269" s="30" t="s">
        <v>21</v>
      </c>
      <c r="C269" s="30" t="s">
        <v>22</v>
      </c>
      <c r="D269" s="30" t="s">
        <v>23</v>
      </c>
      <c r="E269" s="30" t="s">
        <v>374</v>
      </c>
      <c r="F269" s="31" t="s">
        <v>374</v>
      </c>
      <c r="G269" s="30" t="s">
        <v>26</v>
      </c>
      <c r="H269" s="30" t="s">
        <v>36</v>
      </c>
      <c r="I269" s="30">
        <v>3</v>
      </c>
      <c r="J269" s="30"/>
      <c r="K269" s="30"/>
      <c r="L269" s="32">
        <v>106.67286129999999</v>
      </c>
      <c r="M269" s="32">
        <v>10.262041200000001</v>
      </c>
      <c r="N269" s="32" t="s">
        <v>358</v>
      </c>
      <c r="O269" s="33">
        <v>0</v>
      </c>
      <c r="P269" s="30" t="s">
        <v>109</v>
      </c>
      <c r="Q269" s="30" t="s">
        <v>31</v>
      </c>
      <c r="R269" s="34" t="s">
        <v>47</v>
      </c>
      <c r="S269" s="35">
        <v>48060</v>
      </c>
      <c r="T269" s="36" t="s">
        <v>359</v>
      </c>
      <c r="U269" s="30" t="s">
        <v>359</v>
      </c>
      <c r="V269" s="37" t="e">
        <v>#N/A</v>
      </c>
      <c r="W269" s="31" t="s">
        <v>33</v>
      </c>
      <c r="X269" s="37"/>
      <c r="Y269" s="37">
        <f>COUNTIF(F:F,F269)</f>
        <v>1</v>
      </c>
      <c r="Z269" s="21" t="s">
        <v>1101</v>
      </c>
      <c r="AA269" s="21" t="s">
        <v>359</v>
      </c>
      <c r="AB269" s="21" t="s">
        <v>1120</v>
      </c>
    </row>
    <row r="270" spans="1:28" ht="13.9" customHeight="1" x14ac:dyDescent="0.3">
      <c r="A270" s="30" t="s">
        <v>20</v>
      </c>
      <c r="B270" s="30" t="s">
        <v>21</v>
      </c>
      <c r="C270" s="30" t="s">
        <v>22</v>
      </c>
      <c r="D270" s="30" t="s">
        <v>23</v>
      </c>
      <c r="E270" s="30" t="s">
        <v>375</v>
      </c>
      <c r="F270" s="31" t="s">
        <v>375</v>
      </c>
      <c r="G270" s="30" t="s">
        <v>26</v>
      </c>
      <c r="H270" s="30" t="s">
        <v>27</v>
      </c>
      <c r="I270" s="30">
        <v>3</v>
      </c>
      <c r="J270" s="30"/>
      <c r="K270" s="30"/>
      <c r="L270" s="32">
        <v>106.5448</v>
      </c>
      <c r="M270" s="32">
        <v>10.2843</v>
      </c>
      <c r="N270" s="32" t="s">
        <v>358</v>
      </c>
      <c r="O270" s="33">
        <v>0</v>
      </c>
      <c r="P270" s="30" t="s">
        <v>30</v>
      </c>
      <c r="Q270" s="30" t="s">
        <v>31</v>
      </c>
      <c r="R270" s="34" t="s">
        <v>47</v>
      </c>
      <c r="S270" s="35">
        <v>48060</v>
      </c>
      <c r="T270" s="36" t="s">
        <v>359</v>
      </c>
      <c r="U270" s="30" t="s">
        <v>359</v>
      </c>
      <c r="V270" s="37" t="e">
        <v>#N/A</v>
      </c>
      <c r="W270" s="31" t="s">
        <v>33</v>
      </c>
      <c r="X270" s="37"/>
      <c r="Y270" s="37">
        <f>COUNTIF(F:F,F270)</f>
        <v>1</v>
      </c>
      <c r="Z270" s="21" t="s">
        <v>1101</v>
      </c>
      <c r="AA270" s="21" t="s">
        <v>359</v>
      </c>
      <c r="AB270" s="21" t="s">
        <v>1120</v>
      </c>
    </row>
    <row r="271" spans="1:28" ht="13.9" customHeight="1" x14ac:dyDescent="0.3">
      <c r="A271" s="30" t="s">
        <v>20</v>
      </c>
      <c r="B271" s="30" t="s">
        <v>21</v>
      </c>
      <c r="C271" s="30" t="s">
        <v>22</v>
      </c>
      <c r="D271" s="30" t="s">
        <v>23</v>
      </c>
      <c r="E271" s="30" t="s">
        <v>376</v>
      </c>
      <c r="F271" s="31" t="s">
        <v>376</v>
      </c>
      <c r="G271" s="30" t="s">
        <v>26</v>
      </c>
      <c r="H271" s="30" t="s">
        <v>27</v>
      </c>
      <c r="I271" s="30">
        <v>3</v>
      </c>
      <c r="J271" s="30"/>
      <c r="K271" s="30"/>
      <c r="L271" s="32">
        <v>106.679829</v>
      </c>
      <c r="M271" s="32">
        <v>10.281117999999999</v>
      </c>
      <c r="N271" s="32" t="s">
        <v>358</v>
      </c>
      <c r="O271" s="33">
        <v>0</v>
      </c>
      <c r="P271" s="30" t="s">
        <v>30</v>
      </c>
      <c r="Q271" s="30" t="s">
        <v>31</v>
      </c>
      <c r="R271" s="34" t="s">
        <v>47</v>
      </c>
      <c r="S271" s="35">
        <v>48060</v>
      </c>
      <c r="T271" s="36" t="s">
        <v>359</v>
      </c>
      <c r="U271" s="30" t="s">
        <v>359</v>
      </c>
      <c r="V271" s="37" t="e">
        <v>#N/A</v>
      </c>
      <c r="W271" s="31" t="s">
        <v>33</v>
      </c>
      <c r="X271" s="37"/>
      <c r="Y271" s="37">
        <f>COUNTIF(F:F,F271)</f>
        <v>1</v>
      </c>
      <c r="Z271" s="21" t="s">
        <v>1101</v>
      </c>
      <c r="AA271" s="21" t="s">
        <v>359</v>
      </c>
      <c r="AB271" s="21" t="s">
        <v>1120</v>
      </c>
    </row>
    <row r="272" spans="1:28" ht="13.9" customHeight="1" x14ac:dyDescent="0.3">
      <c r="A272" s="30" t="s">
        <v>20</v>
      </c>
      <c r="B272" s="30" t="s">
        <v>21</v>
      </c>
      <c r="C272" s="30" t="s">
        <v>22</v>
      </c>
      <c r="D272" s="30" t="s">
        <v>23</v>
      </c>
      <c r="E272" s="30" t="s">
        <v>397</v>
      </c>
      <c r="F272" s="31" t="s">
        <v>397</v>
      </c>
      <c r="G272" s="30" t="s">
        <v>26</v>
      </c>
      <c r="H272" s="30" t="s">
        <v>36</v>
      </c>
      <c r="I272" s="30">
        <v>4</v>
      </c>
      <c r="J272" s="30" t="s">
        <v>37</v>
      </c>
      <c r="K272" s="30" t="s">
        <v>282</v>
      </c>
      <c r="L272" s="32">
        <v>106.30689</v>
      </c>
      <c r="M272" s="32">
        <v>10.36036</v>
      </c>
      <c r="N272" s="32" t="s">
        <v>270</v>
      </c>
      <c r="O272" s="33">
        <v>0</v>
      </c>
      <c r="P272" s="30" t="s">
        <v>39</v>
      </c>
      <c r="Q272" s="30" t="s">
        <v>31</v>
      </c>
      <c r="R272" s="34" t="s">
        <v>47</v>
      </c>
      <c r="S272" s="35">
        <v>48050</v>
      </c>
      <c r="T272" s="36" t="s">
        <v>384</v>
      </c>
      <c r="U272" s="30" t="s">
        <v>384</v>
      </c>
      <c r="V272" s="37" t="e">
        <v>#N/A</v>
      </c>
      <c r="W272" s="31" t="s">
        <v>33</v>
      </c>
      <c r="X272" s="37" t="s">
        <v>42</v>
      </c>
      <c r="Y272" s="37">
        <f>COUNTIF(F:F,F272)</f>
        <v>2</v>
      </c>
      <c r="Z272" s="21" t="s">
        <v>1102</v>
      </c>
      <c r="AA272" s="21" t="s">
        <v>384</v>
      </c>
      <c r="AB272" s="21" t="s">
        <v>1119</v>
      </c>
    </row>
    <row r="273" spans="1:28" ht="13.9" customHeight="1" x14ac:dyDescent="0.3">
      <c r="A273" s="30" t="s">
        <v>20</v>
      </c>
      <c r="B273" s="30" t="s">
        <v>21</v>
      </c>
      <c r="C273" s="30" t="s">
        <v>22</v>
      </c>
      <c r="D273" s="30" t="s">
        <v>23</v>
      </c>
      <c r="E273" s="30" t="s">
        <v>396</v>
      </c>
      <c r="F273" s="31" t="s">
        <v>397</v>
      </c>
      <c r="G273" s="30" t="s">
        <v>26</v>
      </c>
      <c r="H273" s="30" t="s">
        <v>27</v>
      </c>
      <c r="I273" s="30">
        <v>3</v>
      </c>
      <c r="J273" s="30"/>
      <c r="K273" s="30"/>
      <c r="L273" s="32">
        <v>106.31641999999999</v>
      </c>
      <c r="M273" s="32">
        <v>10.37297</v>
      </c>
      <c r="N273" s="32" t="s">
        <v>270</v>
      </c>
      <c r="O273" s="33">
        <v>0</v>
      </c>
      <c r="P273" s="30" t="s">
        <v>30</v>
      </c>
      <c r="Q273" s="30" t="s">
        <v>31</v>
      </c>
      <c r="R273" s="34" t="s">
        <v>47</v>
      </c>
      <c r="S273" s="35">
        <v>48050</v>
      </c>
      <c r="T273" s="36" t="s">
        <v>398</v>
      </c>
      <c r="U273" s="30" t="s">
        <v>384</v>
      </c>
      <c r="V273" s="37" t="e">
        <v>#N/A</v>
      </c>
      <c r="W273" s="31" t="s">
        <v>63</v>
      </c>
      <c r="X273" s="37" t="s">
        <v>52</v>
      </c>
      <c r="Y273" s="37">
        <f>COUNTIF(F:F,F273)</f>
        <v>2</v>
      </c>
      <c r="Z273" s="21" t="s">
        <v>1102</v>
      </c>
      <c r="AA273" s="21" t="s">
        <v>384</v>
      </c>
      <c r="AB273" s="21" t="s">
        <v>1119</v>
      </c>
    </row>
    <row r="274" spans="1:28" ht="13.9" customHeight="1" x14ac:dyDescent="0.3">
      <c r="A274" s="30" t="s">
        <v>20</v>
      </c>
      <c r="B274" s="30" t="s">
        <v>21</v>
      </c>
      <c r="C274" s="30" t="s">
        <v>22</v>
      </c>
      <c r="D274" s="30" t="s">
        <v>23</v>
      </c>
      <c r="E274" s="30" t="s">
        <v>383</v>
      </c>
      <c r="F274" s="52" t="s">
        <v>383</v>
      </c>
      <c r="G274" s="30" t="s">
        <v>26</v>
      </c>
      <c r="H274" s="30" t="s">
        <v>36</v>
      </c>
      <c r="I274" s="30">
        <v>3</v>
      </c>
      <c r="J274" s="30" t="s">
        <v>26</v>
      </c>
      <c r="K274" s="30" t="s">
        <v>269</v>
      </c>
      <c r="L274" s="32">
        <v>106.34014000000001</v>
      </c>
      <c r="M274" s="32">
        <v>10.36013</v>
      </c>
      <c r="N274" s="32" t="s">
        <v>270</v>
      </c>
      <c r="O274" s="33">
        <v>0</v>
      </c>
      <c r="P274" s="30" t="s">
        <v>271</v>
      </c>
      <c r="Q274" s="30" t="s">
        <v>31</v>
      </c>
      <c r="R274" s="34" t="s">
        <v>47</v>
      </c>
      <c r="S274" s="35">
        <v>48050</v>
      </c>
      <c r="T274" s="36" t="s">
        <v>384</v>
      </c>
      <c r="U274" s="30" t="s">
        <v>384</v>
      </c>
      <c r="V274" s="37" t="e">
        <v>#N/A</v>
      </c>
      <c r="W274" s="31" t="s">
        <v>33</v>
      </c>
      <c r="X274" s="37"/>
      <c r="Y274" s="37">
        <f>COUNTIF(F:F,F274)</f>
        <v>1</v>
      </c>
      <c r="Z274" s="21" t="s">
        <v>1102</v>
      </c>
      <c r="AA274" s="21" t="s">
        <v>384</v>
      </c>
      <c r="AB274" s="21" t="s">
        <v>1119</v>
      </c>
    </row>
    <row r="275" spans="1:28" ht="13.9" customHeight="1" x14ac:dyDescent="0.3">
      <c r="A275" s="30" t="s">
        <v>20</v>
      </c>
      <c r="B275" s="30" t="s">
        <v>21</v>
      </c>
      <c r="C275" s="30" t="s">
        <v>22</v>
      </c>
      <c r="D275" s="30" t="s">
        <v>23</v>
      </c>
      <c r="E275" s="30" t="s">
        <v>386</v>
      </c>
      <c r="F275" s="31" t="s">
        <v>386</v>
      </c>
      <c r="G275" s="30" t="s">
        <v>26</v>
      </c>
      <c r="H275" s="30" t="s">
        <v>36</v>
      </c>
      <c r="I275" s="30">
        <v>3</v>
      </c>
      <c r="J275" s="30" t="s">
        <v>37</v>
      </c>
      <c r="K275" s="30" t="s">
        <v>282</v>
      </c>
      <c r="L275" s="32">
        <v>106.32764</v>
      </c>
      <c r="M275" s="32">
        <v>10.357419999999999</v>
      </c>
      <c r="N275" s="32" t="s">
        <v>270</v>
      </c>
      <c r="O275" s="33">
        <v>0</v>
      </c>
      <c r="P275" s="30" t="s">
        <v>39</v>
      </c>
      <c r="Q275" s="30" t="s">
        <v>31</v>
      </c>
      <c r="R275" s="34" t="s">
        <v>47</v>
      </c>
      <c r="S275" s="35">
        <v>48050</v>
      </c>
      <c r="T275" s="36" t="s">
        <v>384</v>
      </c>
      <c r="U275" s="30" t="s">
        <v>384</v>
      </c>
      <c r="V275" s="37" t="e">
        <v>#N/A</v>
      </c>
      <c r="W275" s="31" t="s">
        <v>33</v>
      </c>
      <c r="X275" s="37"/>
      <c r="Y275" s="37">
        <f>COUNTIF(F:F,F275)</f>
        <v>1</v>
      </c>
      <c r="Z275" s="21" t="s">
        <v>1102</v>
      </c>
      <c r="AA275" s="21" t="s">
        <v>384</v>
      </c>
      <c r="AB275" s="21" t="s">
        <v>1119</v>
      </c>
    </row>
    <row r="276" spans="1:28" ht="13.9" customHeight="1" x14ac:dyDescent="0.3">
      <c r="A276" s="30" t="s">
        <v>20</v>
      </c>
      <c r="B276" s="30" t="s">
        <v>21</v>
      </c>
      <c r="C276" s="30" t="s">
        <v>22</v>
      </c>
      <c r="D276" s="30" t="s">
        <v>23</v>
      </c>
      <c r="E276" s="30" t="s">
        <v>387</v>
      </c>
      <c r="F276" s="31" t="s">
        <v>387</v>
      </c>
      <c r="G276" s="30" t="s">
        <v>26</v>
      </c>
      <c r="H276" s="30" t="s">
        <v>36</v>
      </c>
      <c r="I276" s="30">
        <v>4</v>
      </c>
      <c r="J276" s="30" t="s">
        <v>37</v>
      </c>
      <c r="K276" s="30" t="s">
        <v>282</v>
      </c>
      <c r="L276" s="32">
        <v>106.34938</v>
      </c>
      <c r="M276" s="32">
        <v>10.339919999999999</v>
      </c>
      <c r="N276" s="32" t="s">
        <v>270</v>
      </c>
      <c r="O276" s="33">
        <v>0</v>
      </c>
      <c r="P276" s="30" t="s">
        <v>39</v>
      </c>
      <c r="Q276" s="30" t="s">
        <v>31</v>
      </c>
      <c r="R276" s="34" t="s">
        <v>47</v>
      </c>
      <c r="S276" s="35">
        <v>48050</v>
      </c>
      <c r="T276" s="36" t="s">
        <v>384</v>
      </c>
      <c r="U276" s="30" t="s">
        <v>384</v>
      </c>
      <c r="V276" s="37" t="e">
        <v>#N/A</v>
      </c>
      <c r="W276" s="31" t="s">
        <v>33</v>
      </c>
      <c r="X276" s="37"/>
      <c r="Y276" s="37">
        <f>COUNTIF(F:F,F276)</f>
        <v>1</v>
      </c>
      <c r="Z276" s="21" t="s">
        <v>1102</v>
      </c>
      <c r="AA276" s="21" t="s">
        <v>384</v>
      </c>
      <c r="AB276" s="21" t="s">
        <v>1119</v>
      </c>
    </row>
    <row r="277" spans="1:28" ht="13.9" customHeight="1" x14ac:dyDescent="0.3">
      <c r="A277" s="30" t="s">
        <v>20</v>
      </c>
      <c r="B277" s="30" t="s">
        <v>21</v>
      </c>
      <c r="C277" s="30" t="s">
        <v>22</v>
      </c>
      <c r="D277" s="30" t="s">
        <v>23</v>
      </c>
      <c r="E277" s="30" t="s">
        <v>400</v>
      </c>
      <c r="F277" s="31" t="s">
        <v>400</v>
      </c>
      <c r="G277" s="30" t="s">
        <v>26</v>
      </c>
      <c r="H277" s="30" t="s">
        <v>36</v>
      </c>
      <c r="I277" s="30">
        <v>3</v>
      </c>
      <c r="J277" s="30" t="s">
        <v>37</v>
      </c>
      <c r="K277" s="30" t="s">
        <v>97</v>
      </c>
      <c r="L277" s="32">
        <v>106.33463999999999</v>
      </c>
      <c r="M277" s="32">
        <v>10.35196</v>
      </c>
      <c r="N277" s="32" t="s">
        <v>270</v>
      </c>
      <c r="O277" s="33">
        <v>0</v>
      </c>
      <c r="P277" s="30" t="s">
        <v>271</v>
      </c>
      <c r="Q277" s="30" t="s">
        <v>31</v>
      </c>
      <c r="R277" s="34" t="s">
        <v>47</v>
      </c>
      <c r="S277" s="35">
        <v>48050</v>
      </c>
      <c r="T277" s="36" t="s">
        <v>384</v>
      </c>
      <c r="U277" s="30" t="s">
        <v>384</v>
      </c>
      <c r="V277" s="37" t="e">
        <v>#N/A</v>
      </c>
      <c r="W277" s="31" t="s">
        <v>33</v>
      </c>
      <c r="X277" s="37" t="s">
        <v>42</v>
      </c>
      <c r="Y277" s="37">
        <f>COUNTIF(F:F,F277)</f>
        <v>2</v>
      </c>
      <c r="Z277" s="21" t="s">
        <v>1102</v>
      </c>
      <c r="AA277" s="21" t="s">
        <v>384</v>
      </c>
      <c r="AB277" s="21" t="s">
        <v>1119</v>
      </c>
    </row>
    <row r="278" spans="1:28" ht="13.9" customHeight="1" x14ac:dyDescent="0.3">
      <c r="A278" s="36" t="s">
        <v>20</v>
      </c>
      <c r="B278" s="36" t="s">
        <v>21</v>
      </c>
      <c r="C278" s="36" t="s">
        <v>22</v>
      </c>
      <c r="D278" s="36" t="s">
        <v>23</v>
      </c>
      <c r="E278" s="36" t="s">
        <v>401</v>
      </c>
      <c r="F278" s="31" t="s">
        <v>400</v>
      </c>
      <c r="G278" s="36" t="s">
        <v>26</v>
      </c>
      <c r="H278" s="36" t="s">
        <v>36</v>
      </c>
      <c r="I278" s="36">
        <v>3</v>
      </c>
      <c r="J278" s="36" t="s">
        <v>37</v>
      </c>
      <c r="K278" s="36" t="s">
        <v>275</v>
      </c>
      <c r="L278" s="38">
        <v>106.32850999999999</v>
      </c>
      <c r="M278" s="38">
        <v>10.35027</v>
      </c>
      <c r="N278" s="38" t="s">
        <v>270</v>
      </c>
      <c r="O278" s="39">
        <v>0</v>
      </c>
      <c r="P278" s="36" t="s">
        <v>271</v>
      </c>
      <c r="Q278" s="30" t="s">
        <v>31</v>
      </c>
      <c r="R278" s="40" t="s">
        <v>47</v>
      </c>
      <c r="S278" s="35">
        <v>48050</v>
      </c>
      <c r="T278" s="36" t="s">
        <v>384</v>
      </c>
      <c r="U278" s="30" t="s">
        <v>384</v>
      </c>
      <c r="V278" s="37" t="e">
        <v>#N/A</v>
      </c>
      <c r="W278" s="31" t="s">
        <v>63</v>
      </c>
      <c r="X278" s="37" t="s">
        <v>52</v>
      </c>
      <c r="Y278" s="37">
        <f>COUNTIF(F:F,F278)</f>
        <v>2</v>
      </c>
      <c r="Z278" s="21" t="s">
        <v>1102</v>
      </c>
      <c r="AA278" s="21" t="s">
        <v>384</v>
      </c>
      <c r="AB278" s="21" t="s">
        <v>1119</v>
      </c>
    </row>
    <row r="279" spans="1:28" ht="13.9" customHeight="1" x14ac:dyDescent="0.3">
      <c r="A279" s="30" t="s">
        <v>20</v>
      </c>
      <c r="B279" s="30" t="s">
        <v>21</v>
      </c>
      <c r="C279" s="30" t="s">
        <v>22</v>
      </c>
      <c r="D279" s="30" t="s">
        <v>23</v>
      </c>
      <c r="E279" s="30" t="s">
        <v>402</v>
      </c>
      <c r="F279" s="31" t="s">
        <v>402</v>
      </c>
      <c r="G279" s="30" t="s">
        <v>26</v>
      </c>
      <c r="H279" s="30" t="s">
        <v>36</v>
      </c>
      <c r="I279" s="30">
        <v>4</v>
      </c>
      <c r="J279" s="30" t="s">
        <v>37</v>
      </c>
      <c r="K279" s="30" t="s">
        <v>282</v>
      </c>
      <c r="L279" s="32">
        <v>106.34031</v>
      </c>
      <c r="M279" s="32">
        <v>10.34915</v>
      </c>
      <c r="N279" s="32" t="s">
        <v>270</v>
      </c>
      <c r="O279" s="33">
        <v>0</v>
      </c>
      <c r="P279" s="30" t="s">
        <v>39</v>
      </c>
      <c r="Q279" s="30" t="s">
        <v>31</v>
      </c>
      <c r="R279" s="34" t="s">
        <v>47</v>
      </c>
      <c r="S279" s="35">
        <v>48050</v>
      </c>
      <c r="T279" s="36" t="s">
        <v>384</v>
      </c>
      <c r="U279" s="30" t="s">
        <v>384</v>
      </c>
      <c r="V279" s="37" t="e">
        <v>#N/A</v>
      </c>
      <c r="W279" s="31" t="s">
        <v>33</v>
      </c>
      <c r="X279" s="37" t="s">
        <v>42</v>
      </c>
      <c r="Y279" s="37">
        <f>COUNTIF(F:F,F279)</f>
        <v>2</v>
      </c>
      <c r="Z279" s="21" t="s">
        <v>1102</v>
      </c>
      <c r="AA279" s="21" t="s">
        <v>384</v>
      </c>
      <c r="AB279" s="21" t="s">
        <v>1119</v>
      </c>
    </row>
    <row r="280" spans="1:28" ht="13.9" customHeight="1" x14ac:dyDescent="0.3">
      <c r="A280" s="30" t="s">
        <v>20</v>
      </c>
      <c r="B280" s="30" t="s">
        <v>21</v>
      </c>
      <c r="C280" s="30" t="s">
        <v>22</v>
      </c>
      <c r="D280" s="30" t="s">
        <v>23</v>
      </c>
      <c r="E280" s="30" t="s">
        <v>403</v>
      </c>
      <c r="F280" s="31" t="s">
        <v>402</v>
      </c>
      <c r="G280" s="30" t="s">
        <v>26</v>
      </c>
      <c r="H280" s="30" t="s">
        <v>36</v>
      </c>
      <c r="I280" s="30">
        <v>3</v>
      </c>
      <c r="J280" s="30" t="s">
        <v>37</v>
      </c>
      <c r="K280" s="30" t="s">
        <v>282</v>
      </c>
      <c r="L280" s="32">
        <v>106.34238000000001</v>
      </c>
      <c r="M280" s="32">
        <v>10.354979999999999</v>
      </c>
      <c r="N280" s="32" t="s">
        <v>270</v>
      </c>
      <c r="O280" s="33">
        <v>0</v>
      </c>
      <c r="P280" s="30" t="s">
        <v>271</v>
      </c>
      <c r="Q280" s="30" t="s">
        <v>31</v>
      </c>
      <c r="R280" s="34" t="s">
        <v>47</v>
      </c>
      <c r="S280" s="35">
        <v>48050</v>
      </c>
      <c r="T280" s="36" t="s">
        <v>384</v>
      </c>
      <c r="U280" s="30" t="s">
        <v>384</v>
      </c>
      <c r="V280" s="37" t="e">
        <v>#N/A</v>
      </c>
      <c r="W280" s="31" t="s">
        <v>63</v>
      </c>
      <c r="X280" s="37" t="s">
        <v>52</v>
      </c>
      <c r="Y280" s="37">
        <f>COUNTIF(F:F,F280)</f>
        <v>2</v>
      </c>
      <c r="Z280" s="21" t="s">
        <v>1102</v>
      </c>
      <c r="AA280" s="21" t="s">
        <v>384</v>
      </c>
      <c r="AB280" s="21" t="s">
        <v>1119</v>
      </c>
    </row>
    <row r="281" spans="1:28" ht="13.9" customHeight="1" x14ac:dyDescent="0.3">
      <c r="A281" s="30" t="s">
        <v>20</v>
      </c>
      <c r="B281" s="30" t="s">
        <v>21</v>
      </c>
      <c r="C281" s="30" t="s">
        <v>22</v>
      </c>
      <c r="D281" s="30" t="s">
        <v>23</v>
      </c>
      <c r="E281" s="30" t="s">
        <v>388</v>
      </c>
      <c r="F281" s="31" t="s">
        <v>388</v>
      </c>
      <c r="G281" s="30" t="s">
        <v>26</v>
      </c>
      <c r="H281" s="30" t="s">
        <v>36</v>
      </c>
      <c r="I281" s="30">
        <v>3</v>
      </c>
      <c r="J281" s="30" t="s">
        <v>37</v>
      </c>
      <c r="K281" s="30" t="s">
        <v>275</v>
      </c>
      <c r="L281" s="32">
        <v>106.32418</v>
      </c>
      <c r="M281" s="32">
        <v>10.347340000000001</v>
      </c>
      <c r="N281" s="32" t="s">
        <v>270</v>
      </c>
      <c r="O281" s="33">
        <v>0</v>
      </c>
      <c r="P281" s="30" t="s">
        <v>271</v>
      </c>
      <c r="Q281" s="30" t="s">
        <v>31</v>
      </c>
      <c r="R281" s="34" t="s">
        <v>47</v>
      </c>
      <c r="S281" s="35">
        <v>48050</v>
      </c>
      <c r="T281" s="36" t="s">
        <v>384</v>
      </c>
      <c r="U281" s="30" t="s">
        <v>384</v>
      </c>
      <c r="V281" s="37" t="e">
        <v>#N/A</v>
      </c>
      <c r="W281" s="31" t="s">
        <v>33</v>
      </c>
      <c r="X281" s="37"/>
      <c r="Y281" s="37">
        <f>COUNTIF(F:F,F281)</f>
        <v>1</v>
      </c>
      <c r="Z281" s="21" t="s">
        <v>1102</v>
      </c>
      <c r="AA281" s="21" t="s">
        <v>384</v>
      </c>
      <c r="AB281" s="21" t="s">
        <v>1119</v>
      </c>
    </row>
    <row r="282" spans="1:28" ht="13.9" customHeight="1" x14ac:dyDescent="0.3">
      <c r="A282" s="30" t="s">
        <v>20</v>
      </c>
      <c r="B282" s="30" t="s">
        <v>21</v>
      </c>
      <c r="C282" s="30" t="s">
        <v>22</v>
      </c>
      <c r="D282" s="30" t="s">
        <v>23</v>
      </c>
      <c r="E282" s="30" t="s">
        <v>389</v>
      </c>
      <c r="F282" s="31" t="s">
        <v>389</v>
      </c>
      <c r="G282" s="30" t="s">
        <v>26</v>
      </c>
      <c r="H282" s="30" t="s">
        <v>36</v>
      </c>
      <c r="I282" s="30">
        <v>4</v>
      </c>
      <c r="J282" s="30" t="s">
        <v>37</v>
      </c>
      <c r="K282" s="30" t="s">
        <v>282</v>
      </c>
      <c r="L282" s="32">
        <v>106.31502999999999</v>
      </c>
      <c r="M282" s="32">
        <v>10.33267</v>
      </c>
      <c r="N282" s="32" t="s">
        <v>270</v>
      </c>
      <c r="O282" s="33">
        <v>0</v>
      </c>
      <c r="P282" s="30" t="s">
        <v>39</v>
      </c>
      <c r="Q282" s="30" t="s">
        <v>31</v>
      </c>
      <c r="R282" s="34" t="s">
        <v>47</v>
      </c>
      <c r="S282" s="35">
        <v>48050</v>
      </c>
      <c r="T282" s="36" t="s">
        <v>384</v>
      </c>
      <c r="U282" s="30" t="s">
        <v>384</v>
      </c>
      <c r="V282" s="37" t="e">
        <v>#N/A</v>
      </c>
      <c r="W282" s="31" t="s">
        <v>33</v>
      </c>
      <c r="X282" s="37"/>
      <c r="Y282" s="37">
        <f>COUNTIF(F:F,F282)</f>
        <v>1</v>
      </c>
      <c r="Z282" s="21" t="s">
        <v>1102</v>
      </c>
      <c r="AA282" s="21" t="s">
        <v>384</v>
      </c>
      <c r="AB282" s="21" t="s">
        <v>1119</v>
      </c>
    </row>
    <row r="283" spans="1:28" ht="13.9" customHeight="1" x14ac:dyDescent="0.3">
      <c r="A283" s="30" t="s">
        <v>20</v>
      </c>
      <c r="B283" s="30" t="s">
        <v>21</v>
      </c>
      <c r="C283" s="30" t="s">
        <v>22</v>
      </c>
      <c r="D283" s="30" t="s">
        <v>23</v>
      </c>
      <c r="E283" s="30" t="s">
        <v>390</v>
      </c>
      <c r="F283" s="31" t="s">
        <v>390</v>
      </c>
      <c r="G283" s="30" t="s">
        <v>26</v>
      </c>
      <c r="H283" s="30" t="s">
        <v>27</v>
      </c>
      <c r="I283" s="30">
        <v>3</v>
      </c>
      <c r="J283" s="30"/>
      <c r="K283" s="30"/>
      <c r="L283" s="32">
        <v>106.33435</v>
      </c>
      <c r="M283" s="32">
        <v>10.33437</v>
      </c>
      <c r="N283" s="32" t="s">
        <v>270</v>
      </c>
      <c r="O283" s="33">
        <v>0</v>
      </c>
      <c r="P283" s="30" t="s">
        <v>30</v>
      </c>
      <c r="Q283" s="30" t="s">
        <v>31</v>
      </c>
      <c r="R283" s="34" t="s">
        <v>47</v>
      </c>
      <c r="S283" s="35">
        <v>48050</v>
      </c>
      <c r="T283" s="36" t="s">
        <v>384</v>
      </c>
      <c r="U283" s="30" t="s">
        <v>384</v>
      </c>
      <c r="V283" s="37" t="e">
        <v>#N/A</v>
      </c>
      <c r="W283" s="31" t="s">
        <v>33</v>
      </c>
      <c r="X283" s="37"/>
      <c r="Y283" s="37">
        <f>COUNTIF(F:F,F283)</f>
        <v>1</v>
      </c>
      <c r="Z283" s="21" t="s">
        <v>1102</v>
      </c>
      <c r="AA283" s="21" t="s">
        <v>384</v>
      </c>
      <c r="AB283" s="21" t="s">
        <v>1119</v>
      </c>
    </row>
    <row r="284" spans="1:28" ht="13.9" customHeight="1" x14ac:dyDescent="0.3">
      <c r="A284" s="30" t="s">
        <v>20</v>
      </c>
      <c r="B284" s="30" t="s">
        <v>21</v>
      </c>
      <c r="C284" s="30" t="s">
        <v>22</v>
      </c>
      <c r="D284" s="30" t="s">
        <v>23</v>
      </c>
      <c r="E284" s="30" t="s">
        <v>391</v>
      </c>
      <c r="F284" s="31" t="s">
        <v>391</v>
      </c>
      <c r="G284" s="30" t="s">
        <v>26</v>
      </c>
      <c r="H284" s="30" t="s">
        <v>36</v>
      </c>
      <c r="I284" s="30">
        <v>4</v>
      </c>
      <c r="J284" s="30" t="s">
        <v>37</v>
      </c>
      <c r="K284" s="30" t="s">
        <v>282</v>
      </c>
      <c r="L284" s="32">
        <v>106.33598000000001</v>
      </c>
      <c r="M284" s="32">
        <v>10.35685</v>
      </c>
      <c r="N284" s="32" t="s">
        <v>270</v>
      </c>
      <c r="O284" s="33">
        <v>0</v>
      </c>
      <c r="P284" s="30" t="s">
        <v>271</v>
      </c>
      <c r="Q284" s="30" t="s">
        <v>31</v>
      </c>
      <c r="R284" s="34" t="s">
        <v>47</v>
      </c>
      <c r="S284" s="35">
        <v>48050</v>
      </c>
      <c r="T284" s="36" t="s">
        <v>384</v>
      </c>
      <c r="U284" s="30" t="s">
        <v>384</v>
      </c>
      <c r="V284" s="37" t="e">
        <v>#N/A</v>
      </c>
      <c r="W284" s="31" t="s">
        <v>33</v>
      </c>
      <c r="X284" s="37"/>
      <c r="Y284" s="37">
        <f>COUNTIF(F:F,F284)</f>
        <v>1</v>
      </c>
      <c r="Z284" s="21" t="s">
        <v>1102</v>
      </c>
      <c r="AA284" s="21" t="s">
        <v>384</v>
      </c>
      <c r="AB284" s="21" t="s">
        <v>1119</v>
      </c>
    </row>
    <row r="285" spans="1:28" ht="13.9" customHeight="1" x14ac:dyDescent="0.3">
      <c r="A285" s="30" t="s">
        <v>20</v>
      </c>
      <c r="B285" s="30" t="s">
        <v>21</v>
      </c>
      <c r="C285" s="30" t="s">
        <v>22</v>
      </c>
      <c r="D285" s="30" t="s">
        <v>23</v>
      </c>
      <c r="E285" s="30" t="s">
        <v>385</v>
      </c>
      <c r="F285" s="31" t="s">
        <v>385</v>
      </c>
      <c r="G285" s="30" t="s">
        <v>26</v>
      </c>
      <c r="H285" s="30" t="s">
        <v>36</v>
      </c>
      <c r="I285" s="30">
        <v>4</v>
      </c>
      <c r="J285" s="30" t="s">
        <v>26</v>
      </c>
      <c r="K285" s="30" t="s">
        <v>269</v>
      </c>
      <c r="L285" s="32">
        <v>106.33137000000001</v>
      </c>
      <c r="M285" s="32">
        <v>10.347860000000001</v>
      </c>
      <c r="N285" s="32" t="s">
        <v>270</v>
      </c>
      <c r="O285" s="33">
        <v>0</v>
      </c>
      <c r="P285" s="30" t="s">
        <v>271</v>
      </c>
      <c r="Q285" s="30" t="s">
        <v>31</v>
      </c>
      <c r="R285" s="34" t="s">
        <v>47</v>
      </c>
      <c r="S285" s="35">
        <v>48050</v>
      </c>
      <c r="T285" s="36" t="s">
        <v>384</v>
      </c>
      <c r="U285" s="30" t="s">
        <v>384</v>
      </c>
      <c r="V285" s="37" t="e">
        <v>#N/A</v>
      </c>
      <c r="W285" s="31" t="s">
        <v>33</v>
      </c>
      <c r="X285" s="37"/>
      <c r="Y285" s="37">
        <f>COUNTIF(F:F,F285)</f>
        <v>1</v>
      </c>
      <c r="Z285" s="21" t="s">
        <v>1102</v>
      </c>
      <c r="AA285" s="21" t="s">
        <v>384</v>
      </c>
      <c r="AB285" s="21" t="s">
        <v>1119</v>
      </c>
    </row>
    <row r="286" spans="1:28" ht="13.9" customHeight="1" x14ac:dyDescent="0.3">
      <c r="A286" s="30" t="s">
        <v>20</v>
      </c>
      <c r="B286" s="30" t="s">
        <v>21</v>
      </c>
      <c r="C286" s="30" t="s">
        <v>22</v>
      </c>
      <c r="D286" s="30" t="s">
        <v>23</v>
      </c>
      <c r="E286" s="30" t="s">
        <v>392</v>
      </c>
      <c r="F286" s="31" t="s">
        <v>392</v>
      </c>
      <c r="G286" s="30" t="s">
        <v>26</v>
      </c>
      <c r="H286" s="30" t="s">
        <v>27</v>
      </c>
      <c r="I286" s="30">
        <v>3</v>
      </c>
      <c r="J286" s="30"/>
      <c r="K286" s="30"/>
      <c r="L286" s="32">
        <v>106.33663</v>
      </c>
      <c r="M286" s="32">
        <v>10.36248</v>
      </c>
      <c r="N286" s="32" t="s">
        <v>270</v>
      </c>
      <c r="O286" s="33">
        <v>0</v>
      </c>
      <c r="P286" s="30" t="s">
        <v>30</v>
      </c>
      <c r="Q286" s="30" t="s">
        <v>31</v>
      </c>
      <c r="R286" s="34" t="s">
        <v>47</v>
      </c>
      <c r="S286" s="35">
        <v>48050</v>
      </c>
      <c r="T286" s="36" t="s">
        <v>384</v>
      </c>
      <c r="U286" s="30" t="s">
        <v>384</v>
      </c>
      <c r="V286" s="37" t="e">
        <v>#N/A</v>
      </c>
      <c r="W286" s="31" t="s">
        <v>33</v>
      </c>
      <c r="X286" s="37"/>
      <c r="Y286" s="37">
        <f>COUNTIF(F:F,F286)</f>
        <v>1</v>
      </c>
      <c r="Z286" s="21" t="s">
        <v>1102</v>
      </c>
      <c r="AA286" s="21" t="s">
        <v>384</v>
      </c>
      <c r="AB286" s="21" t="s">
        <v>1119</v>
      </c>
    </row>
    <row r="287" spans="1:28" ht="13.9" customHeight="1" x14ac:dyDescent="0.3">
      <c r="A287" s="30" t="s">
        <v>20</v>
      </c>
      <c r="B287" s="30" t="s">
        <v>21</v>
      </c>
      <c r="C287" s="30" t="s">
        <v>22</v>
      </c>
      <c r="D287" s="30" t="s">
        <v>23</v>
      </c>
      <c r="E287" s="30" t="s">
        <v>395</v>
      </c>
      <c r="F287" s="31" t="s">
        <v>395</v>
      </c>
      <c r="G287" s="30" t="s">
        <v>26</v>
      </c>
      <c r="H287" s="30" t="s">
        <v>27</v>
      </c>
      <c r="I287" s="30">
        <v>3</v>
      </c>
      <c r="J287" s="30"/>
      <c r="K287" s="30"/>
      <c r="L287" s="32">
        <v>106.318</v>
      </c>
      <c r="M287" s="32">
        <v>10.357633</v>
      </c>
      <c r="N287" s="32" t="s">
        <v>270</v>
      </c>
      <c r="O287" s="33">
        <v>0</v>
      </c>
      <c r="P287" s="30" t="s">
        <v>30</v>
      </c>
      <c r="Q287" s="30" t="s">
        <v>31</v>
      </c>
      <c r="R287" s="34" t="s">
        <v>47</v>
      </c>
      <c r="S287" s="35">
        <v>48050</v>
      </c>
      <c r="T287" s="36" t="s">
        <v>384</v>
      </c>
      <c r="U287" s="30" t="s">
        <v>384</v>
      </c>
      <c r="V287" s="37" t="e">
        <v>#N/A</v>
      </c>
      <c r="W287" s="31" t="s">
        <v>33</v>
      </c>
      <c r="X287" s="37"/>
      <c r="Y287" s="37">
        <f>COUNTIF(F:F,F287)</f>
        <v>1</v>
      </c>
      <c r="Z287" s="21" t="s">
        <v>1102</v>
      </c>
      <c r="AA287" s="21" t="s">
        <v>384</v>
      </c>
      <c r="AB287" s="21" t="s">
        <v>1119</v>
      </c>
    </row>
    <row r="288" spans="1:28" ht="13.9" customHeight="1" x14ac:dyDescent="0.3">
      <c r="A288" s="30" t="s">
        <v>20</v>
      </c>
      <c r="B288" s="30" t="s">
        <v>21</v>
      </c>
      <c r="C288" s="30" t="s">
        <v>22</v>
      </c>
      <c r="D288" s="30" t="s">
        <v>23</v>
      </c>
      <c r="E288" s="30" t="s">
        <v>404</v>
      </c>
      <c r="F288" s="31" t="s">
        <v>404</v>
      </c>
      <c r="G288" s="30" t="s">
        <v>26</v>
      </c>
      <c r="H288" s="30" t="s">
        <v>36</v>
      </c>
      <c r="I288" s="30">
        <v>4</v>
      </c>
      <c r="J288" s="30" t="s">
        <v>26</v>
      </c>
      <c r="K288" s="30" t="s">
        <v>405</v>
      </c>
      <c r="L288" s="32">
        <v>106.34319000000001</v>
      </c>
      <c r="M288" s="32">
        <v>10.445880000000001</v>
      </c>
      <c r="N288" s="32" t="s">
        <v>278</v>
      </c>
      <c r="O288" s="33">
        <v>0</v>
      </c>
      <c r="P288" s="30" t="s">
        <v>271</v>
      </c>
      <c r="Q288" s="30" t="s">
        <v>31</v>
      </c>
      <c r="R288" s="34" t="s">
        <v>47</v>
      </c>
      <c r="S288" s="35">
        <v>48010</v>
      </c>
      <c r="T288" s="36" t="s">
        <v>406</v>
      </c>
      <c r="U288" s="30" t="s">
        <v>408</v>
      </c>
      <c r="V288" s="37" t="e">
        <v>#N/A</v>
      </c>
      <c r="W288" s="31" t="s">
        <v>33</v>
      </c>
      <c r="X288" s="37"/>
      <c r="Y288" s="37">
        <f>COUNTIF(F:F,F288)</f>
        <v>1</v>
      </c>
      <c r="Z288" s="21" t="s">
        <v>1102</v>
      </c>
      <c r="AA288" s="21" t="s">
        <v>408</v>
      </c>
      <c r="AB288" s="21" t="s">
        <v>1119</v>
      </c>
    </row>
    <row r="289" spans="1:28" ht="13.9" customHeight="1" x14ac:dyDescent="0.3">
      <c r="A289" s="30" t="s">
        <v>20</v>
      </c>
      <c r="B289" s="30" t="s">
        <v>21</v>
      </c>
      <c r="C289" s="30" t="s">
        <v>22</v>
      </c>
      <c r="D289" s="30" t="s">
        <v>23</v>
      </c>
      <c r="E289" s="30" t="s">
        <v>414</v>
      </c>
      <c r="F289" s="31" t="s">
        <v>414</v>
      </c>
      <c r="G289" s="30" t="s">
        <v>26</v>
      </c>
      <c r="H289" s="30" t="s">
        <v>36</v>
      </c>
      <c r="I289" s="30">
        <v>4</v>
      </c>
      <c r="J289" s="30" t="s">
        <v>37</v>
      </c>
      <c r="K289" s="30" t="s">
        <v>38</v>
      </c>
      <c r="L289" s="32">
        <v>106.3415</v>
      </c>
      <c r="M289" s="32">
        <v>10.416700000000001</v>
      </c>
      <c r="N289" s="32" t="s">
        <v>278</v>
      </c>
      <c r="O289" s="33">
        <v>0</v>
      </c>
      <c r="P289" s="30" t="s">
        <v>39</v>
      </c>
      <c r="Q289" s="30" t="s">
        <v>31</v>
      </c>
      <c r="R289" s="34" t="s">
        <v>47</v>
      </c>
      <c r="S289" s="35">
        <v>48010</v>
      </c>
      <c r="T289" s="36" t="s">
        <v>406</v>
      </c>
      <c r="U289" s="30" t="s">
        <v>408</v>
      </c>
      <c r="V289" s="37" t="e">
        <v>#N/A</v>
      </c>
      <c r="W289" s="31" t="s">
        <v>33</v>
      </c>
      <c r="X289" s="37" t="s">
        <v>42</v>
      </c>
      <c r="Y289" s="37">
        <f>COUNTIF(F:F,F289)</f>
        <v>2</v>
      </c>
      <c r="Z289" s="21" t="s">
        <v>1102</v>
      </c>
      <c r="AA289" s="21" t="s">
        <v>408</v>
      </c>
      <c r="AB289" s="21" t="s">
        <v>1119</v>
      </c>
    </row>
    <row r="290" spans="1:28" ht="13.9" customHeight="1" x14ac:dyDescent="0.3">
      <c r="A290" s="36" t="s">
        <v>20</v>
      </c>
      <c r="B290" s="36" t="s">
        <v>21</v>
      </c>
      <c r="C290" s="36" t="s">
        <v>22</v>
      </c>
      <c r="D290" s="36" t="s">
        <v>23</v>
      </c>
      <c r="E290" s="36" t="s">
        <v>415</v>
      </c>
      <c r="F290" s="31" t="s">
        <v>414</v>
      </c>
      <c r="G290" s="36" t="s">
        <v>26</v>
      </c>
      <c r="H290" s="36" t="s">
        <v>36</v>
      </c>
      <c r="I290" s="36">
        <v>4</v>
      </c>
      <c r="J290" s="36" t="s">
        <v>37</v>
      </c>
      <c r="K290" s="36" t="s">
        <v>38</v>
      </c>
      <c r="L290" s="38">
        <v>106.33578</v>
      </c>
      <c r="M290" s="38">
        <v>10.422079999999999</v>
      </c>
      <c r="N290" s="38" t="s">
        <v>278</v>
      </c>
      <c r="O290" s="39">
        <v>0</v>
      </c>
      <c r="P290" s="36" t="s">
        <v>39</v>
      </c>
      <c r="Q290" s="30" t="s">
        <v>31</v>
      </c>
      <c r="R290" s="40" t="s">
        <v>47</v>
      </c>
      <c r="S290" s="35">
        <v>48010</v>
      </c>
      <c r="T290" s="36" t="s">
        <v>406</v>
      </c>
      <c r="U290" s="30" t="s">
        <v>408</v>
      </c>
      <c r="V290" s="37" t="e">
        <v>#N/A</v>
      </c>
      <c r="W290" s="31" t="s">
        <v>63</v>
      </c>
      <c r="X290" s="37" t="s">
        <v>52</v>
      </c>
      <c r="Y290" s="37">
        <f>COUNTIF(F:F,F290)</f>
        <v>2</v>
      </c>
      <c r="Z290" s="21" t="s">
        <v>1102</v>
      </c>
      <c r="AA290" s="21" t="s">
        <v>408</v>
      </c>
      <c r="AB290" s="21" t="s">
        <v>1119</v>
      </c>
    </row>
    <row r="291" spans="1:28" ht="13.9" customHeight="1" x14ac:dyDescent="0.3">
      <c r="A291" s="30" t="s">
        <v>20</v>
      </c>
      <c r="B291" s="30" t="s">
        <v>21</v>
      </c>
      <c r="C291" s="30" t="s">
        <v>22</v>
      </c>
      <c r="D291" s="30" t="s">
        <v>23</v>
      </c>
      <c r="E291" s="30" t="s">
        <v>288</v>
      </c>
      <c r="F291" s="31" t="s">
        <v>288</v>
      </c>
      <c r="G291" s="30" t="s">
        <v>26</v>
      </c>
      <c r="H291" s="30" t="s">
        <v>36</v>
      </c>
      <c r="I291" s="30">
        <v>3</v>
      </c>
      <c r="J291" s="30" t="s">
        <v>37</v>
      </c>
      <c r="K291" s="30" t="s">
        <v>38</v>
      </c>
      <c r="L291" s="32">
        <v>106.31205</v>
      </c>
      <c r="M291" s="32">
        <v>10.42357</v>
      </c>
      <c r="N291" s="32" t="s">
        <v>278</v>
      </c>
      <c r="O291" s="33">
        <v>0</v>
      </c>
      <c r="P291" s="30" t="s">
        <v>39</v>
      </c>
      <c r="Q291" s="30" t="s">
        <v>31</v>
      </c>
      <c r="R291" s="34" t="s">
        <v>47</v>
      </c>
      <c r="S291" s="35">
        <v>48010</v>
      </c>
      <c r="T291" s="36" t="s">
        <v>408</v>
      </c>
      <c r="U291" s="30" t="s">
        <v>408</v>
      </c>
      <c r="V291" s="37" t="e">
        <v>#N/A</v>
      </c>
      <c r="W291" s="31" t="s">
        <v>33</v>
      </c>
      <c r="X291" s="37" t="s">
        <v>42</v>
      </c>
      <c r="Y291" s="37">
        <f>COUNTIF(F:F,F291)</f>
        <v>2</v>
      </c>
      <c r="Z291" s="21" t="s">
        <v>1102</v>
      </c>
      <c r="AA291" s="21" t="s">
        <v>408</v>
      </c>
      <c r="AB291" s="21" t="s">
        <v>1119</v>
      </c>
    </row>
    <row r="292" spans="1:28" ht="13.9" customHeight="1" x14ac:dyDescent="0.3">
      <c r="A292" s="30" t="s">
        <v>20</v>
      </c>
      <c r="B292" s="30" t="s">
        <v>21</v>
      </c>
      <c r="C292" s="30" t="s">
        <v>22</v>
      </c>
      <c r="D292" s="30" t="s">
        <v>23</v>
      </c>
      <c r="E292" s="30" t="s">
        <v>286</v>
      </c>
      <c r="F292" s="31" t="s">
        <v>288</v>
      </c>
      <c r="G292" s="30" t="s">
        <v>26</v>
      </c>
      <c r="H292" s="30" t="s">
        <v>27</v>
      </c>
      <c r="I292" s="30">
        <v>3</v>
      </c>
      <c r="J292" s="30"/>
      <c r="K292" s="30"/>
      <c r="L292" s="32">
        <v>106.27634</v>
      </c>
      <c r="M292" s="32">
        <v>10.42559</v>
      </c>
      <c r="N292" s="32" t="s">
        <v>278</v>
      </c>
      <c r="O292" s="33">
        <v>0</v>
      </c>
      <c r="P292" s="30" t="s">
        <v>30</v>
      </c>
      <c r="Q292" s="30" t="s">
        <v>31</v>
      </c>
      <c r="R292" s="34" t="s">
        <v>47</v>
      </c>
      <c r="S292" s="35">
        <v>48010</v>
      </c>
      <c r="T292" s="36" t="s">
        <v>1081</v>
      </c>
      <c r="U292" s="30" t="s">
        <v>408</v>
      </c>
      <c r="V292" s="37" t="s">
        <v>49</v>
      </c>
      <c r="W292" s="31" t="s">
        <v>50</v>
      </c>
      <c r="X292" s="37" t="s">
        <v>52</v>
      </c>
      <c r="Y292" s="37">
        <f>COUNTIF(F:F,F292)</f>
        <v>2</v>
      </c>
      <c r="Z292" s="21" t="s">
        <v>1102</v>
      </c>
      <c r="AA292" s="21" t="s">
        <v>408</v>
      </c>
      <c r="AB292" s="21" t="s">
        <v>1119</v>
      </c>
    </row>
    <row r="293" spans="1:28" ht="13.9" customHeight="1" x14ac:dyDescent="0.3">
      <c r="A293" s="30" t="s">
        <v>20</v>
      </c>
      <c r="B293" s="30" t="s">
        <v>21</v>
      </c>
      <c r="C293" s="30" t="s">
        <v>22</v>
      </c>
      <c r="D293" s="30" t="s">
        <v>23</v>
      </c>
      <c r="E293" s="30" t="s">
        <v>409</v>
      </c>
      <c r="F293" s="31" t="s">
        <v>409</v>
      </c>
      <c r="G293" s="30" t="s">
        <v>26</v>
      </c>
      <c r="H293" s="30" t="s">
        <v>36</v>
      </c>
      <c r="I293" s="30">
        <v>4</v>
      </c>
      <c r="J293" s="30" t="s">
        <v>37</v>
      </c>
      <c r="K293" s="30" t="s">
        <v>38</v>
      </c>
      <c r="L293" s="32">
        <v>106.30579</v>
      </c>
      <c r="M293" s="32">
        <v>10.39241</v>
      </c>
      <c r="N293" s="32" t="s">
        <v>278</v>
      </c>
      <c r="O293" s="33">
        <v>0</v>
      </c>
      <c r="P293" s="30" t="s">
        <v>39</v>
      </c>
      <c r="Q293" s="30" t="s">
        <v>31</v>
      </c>
      <c r="R293" s="34" t="s">
        <v>47</v>
      </c>
      <c r="S293" s="35">
        <v>48010</v>
      </c>
      <c r="T293" s="36" t="s">
        <v>408</v>
      </c>
      <c r="U293" s="30" t="s">
        <v>408</v>
      </c>
      <c r="V293" s="37" t="e">
        <v>#N/A</v>
      </c>
      <c r="W293" s="31" t="s">
        <v>33</v>
      </c>
      <c r="X293" s="37"/>
      <c r="Y293" s="37">
        <f>COUNTIF(F:F,F293)</f>
        <v>1</v>
      </c>
      <c r="Z293" s="21" t="s">
        <v>1102</v>
      </c>
      <c r="AA293" s="21" t="s">
        <v>408</v>
      </c>
      <c r="AB293" s="21" t="s">
        <v>1119</v>
      </c>
    </row>
    <row r="294" spans="1:28" ht="13.9" customHeight="1" x14ac:dyDescent="0.3">
      <c r="A294" s="30" t="s">
        <v>20</v>
      </c>
      <c r="B294" s="30" t="s">
        <v>21</v>
      </c>
      <c r="C294" s="30" t="s">
        <v>22</v>
      </c>
      <c r="D294" s="30" t="s">
        <v>23</v>
      </c>
      <c r="E294" s="30" t="s">
        <v>410</v>
      </c>
      <c r="F294" s="31" t="s">
        <v>410</v>
      </c>
      <c r="G294" s="30" t="s">
        <v>26</v>
      </c>
      <c r="H294" s="30" t="s">
        <v>36</v>
      </c>
      <c r="I294" s="30">
        <v>3</v>
      </c>
      <c r="J294" s="30"/>
      <c r="K294" s="30"/>
      <c r="L294" s="32">
        <v>106.33023</v>
      </c>
      <c r="M294" s="32">
        <v>10.435029999999999</v>
      </c>
      <c r="N294" s="32" t="s">
        <v>278</v>
      </c>
      <c r="O294" s="33">
        <v>0</v>
      </c>
      <c r="P294" s="30" t="s">
        <v>109</v>
      </c>
      <c r="Q294" s="30" t="s">
        <v>31</v>
      </c>
      <c r="R294" s="34" t="s">
        <v>47</v>
      </c>
      <c r="S294" s="35">
        <v>48010</v>
      </c>
      <c r="T294" s="36" t="s">
        <v>408</v>
      </c>
      <c r="U294" s="30" t="s">
        <v>408</v>
      </c>
      <c r="V294" s="37" t="e">
        <v>#N/A</v>
      </c>
      <c r="W294" s="31" t="s">
        <v>33</v>
      </c>
      <c r="X294" s="37" t="s">
        <v>42</v>
      </c>
      <c r="Y294" s="37">
        <f>COUNTIF(F:F,F294)</f>
        <v>2</v>
      </c>
      <c r="Z294" s="21" t="s">
        <v>1102</v>
      </c>
      <c r="AA294" s="21" t="s">
        <v>408</v>
      </c>
      <c r="AB294" s="21" t="s">
        <v>1119</v>
      </c>
    </row>
    <row r="295" spans="1:28" ht="13.9" customHeight="1" x14ac:dyDescent="0.3">
      <c r="A295" s="30" t="s">
        <v>20</v>
      </c>
      <c r="B295" s="30" t="s">
        <v>21</v>
      </c>
      <c r="C295" s="30" t="s">
        <v>22</v>
      </c>
      <c r="D295" s="30" t="s">
        <v>23</v>
      </c>
      <c r="E295" s="30" t="s">
        <v>413</v>
      </c>
      <c r="F295" s="31" t="s">
        <v>410</v>
      </c>
      <c r="G295" s="30" t="s">
        <v>26</v>
      </c>
      <c r="H295" s="30" t="s">
        <v>36</v>
      </c>
      <c r="I295" s="30">
        <v>4</v>
      </c>
      <c r="J295" s="30" t="s">
        <v>37</v>
      </c>
      <c r="K295" s="30" t="s">
        <v>38</v>
      </c>
      <c r="L295" s="32">
        <v>106.32158</v>
      </c>
      <c r="M295" s="32">
        <v>10.427638</v>
      </c>
      <c r="N295" s="32" t="s">
        <v>278</v>
      </c>
      <c r="O295" s="33">
        <v>0</v>
      </c>
      <c r="P295" s="30" t="s">
        <v>39</v>
      </c>
      <c r="Q295" s="30" t="s">
        <v>31</v>
      </c>
      <c r="R295" s="34" t="s">
        <v>47</v>
      </c>
      <c r="S295" s="35">
        <v>48010</v>
      </c>
      <c r="T295" s="36" t="s">
        <v>408</v>
      </c>
      <c r="U295" s="30" t="s">
        <v>408</v>
      </c>
      <c r="V295" s="37" t="s">
        <v>306</v>
      </c>
      <c r="W295" s="31" t="s">
        <v>50</v>
      </c>
      <c r="X295" s="37" t="s">
        <v>52</v>
      </c>
      <c r="Y295" s="37">
        <f>COUNTIF(F:F,F295)</f>
        <v>2</v>
      </c>
      <c r="Z295" s="21" t="s">
        <v>1102</v>
      </c>
      <c r="AA295" s="21" t="s">
        <v>408</v>
      </c>
      <c r="AB295" s="21" t="s">
        <v>1119</v>
      </c>
    </row>
    <row r="296" spans="1:28" ht="13.9" customHeight="1" x14ac:dyDescent="0.3">
      <c r="A296" s="30" t="s">
        <v>20</v>
      </c>
      <c r="B296" s="30" t="s">
        <v>21</v>
      </c>
      <c r="C296" s="30" t="s">
        <v>22</v>
      </c>
      <c r="D296" s="30" t="s">
        <v>23</v>
      </c>
      <c r="E296" s="30" t="s">
        <v>411</v>
      </c>
      <c r="F296" s="31" t="s">
        <v>411</v>
      </c>
      <c r="G296" s="30" t="s">
        <v>26</v>
      </c>
      <c r="H296" s="30" t="s">
        <v>36</v>
      </c>
      <c r="I296" s="30">
        <v>4</v>
      </c>
      <c r="J296" s="30" t="s">
        <v>37</v>
      </c>
      <c r="K296" s="30" t="s">
        <v>38</v>
      </c>
      <c r="L296" s="32">
        <v>106.33837</v>
      </c>
      <c r="M296" s="32">
        <v>10.39912</v>
      </c>
      <c r="N296" s="32" t="s">
        <v>278</v>
      </c>
      <c r="O296" s="33">
        <v>0</v>
      </c>
      <c r="P296" s="30" t="s">
        <v>39</v>
      </c>
      <c r="Q296" s="30" t="s">
        <v>31</v>
      </c>
      <c r="R296" s="34" t="s">
        <v>47</v>
      </c>
      <c r="S296" s="35">
        <v>48010</v>
      </c>
      <c r="T296" s="36" t="s">
        <v>408</v>
      </c>
      <c r="U296" s="30" t="s">
        <v>408</v>
      </c>
      <c r="V296" s="37" t="e">
        <v>#N/A</v>
      </c>
      <c r="W296" s="31" t="s">
        <v>33</v>
      </c>
      <c r="X296" s="37"/>
      <c r="Y296" s="37">
        <f>COUNTIF(F:F,F296)</f>
        <v>1</v>
      </c>
      <c r="Z296" s="21" t="s">
        <v>1102</v>
      </c>
      <c r="AA296" s="21" t="s">
        <v>408</v>
      </c>
      <c r="AB296" s="21" t="s">
        <v>1119</v>
      </c>
    </row>
    <row r="297" spans="1:28" ht="13.9" customHeight="1" x14ac:dyDescent="0.3">
      <c r="A297" s="30" t="s">
        <v>20</v>
      </c>
      <c r="B297" s="30" t="s">
        <v>21</v>
      </c>
      <c r="C297" s="30" t="s">
        <v>22</v>
      </c>
      <c r="D297" s="30" t="s">
        <v>23</v>
      </c>
      <c r="E297" s="30" t="s">
        <v>517</v>
      </c>
      <c r="F297" s="31" t="s">
        <v>517</v>
      </c>
      <c r="G297" s="30" t="s">
        <v>26</v>
      </c>
      <c r="H297" s="30" t="s">
        <v>27</v>
      </c>
      <c r="I297" s="30">
        <v>3</v>
      </c>
      <c r="J297" s="30" t="s">
        <v>37</v>
      </c>
      <c r="K297" s="30" t="s">
        <v>38</v>
      </c>
      <c r="L297" s="32">
        <v>106.29416999999999</v>
      </c>
      <c r="M297" s="32">
        <v>10.41512</v>
      </c>
      <c r="N297" s="32" t="s">
        <v>278</v>
      </c>
      <c r="O297" s="33">
        <v>0</v>
      </c>
      <c r="P297" s="30" t="s">
        <v>41</v>
      </c>
      <c r="Q297" s="30" t="s">
        <v>31</v>
      </c>
      <c r="R297" s="34" t="s">
        <v>47</v>
      </c>
      <c r="S297" s="35">
        <v>48010</v>
      </c>
      <c r="T297" s="36" t="s">
        <v>1081</v>
      </c>
      <c r="U297" s="30" t="s">
        <v>408</v>
      </c>
      <c r="V297" s="37" t="e">
        <v>#N/A</v>
      </c>
      <c r="W297" s="31" t="s">
        <v>33</v>
      </c>
      <c r="X297" s="37"/>
      <c r="Y297" s="37">
        <f>COUNTIF(F:F,F297)</f>
        <v>1</v>
      </c>
      <c r="Z297" s="21" t="s">
        <v>1102</v>
      </c>
      <c r="AA297" s="21" t="s">
        <v>408</v>
      </c>
      <c r="AB297" s="21" t="s">
        <v>1119</v>
      </c>
    </row>
    <row r="298" spans="1:28" ht="13.9" customHeight="1" x14ac:dyDescent="0.3">
      <c r="A298" s="30" t="s">
        <v>20</v>
      </c>
      <c r="B298" s="30" t="s">
        <v>21</v>
      </c>
      <c r="C298" s="30" t="s">
        <v>22</v>
      </c>
      <c r="D298" s="30" t="s">
        <v>23</v>
      </c>
      <c r="E298" s="30" t="s">
        <v>412</v>
      </c>
      <c r="F298" s="31" t="s">
        <v>412</v>
      </c>
      <c r="G298" s="30" t="s">
        <v>26</v>
      </c>
      <c r="H298" s="30" t="s">
        <v>36</v>
      </c>
      <c r="I298" s="30">
        <v>4</v>
      </c>
      <c r="J298" s="30" t="s">
        <v>37</v>
      </c>
      <c r="K298" s="30" t="s">
        <v>38</v>
      </c>
      <c r="L298" s="32">
        <v>106.30298999999999</v>
      </c>
      <c r="M298" s="32">
        <v>10.40986</v>
      </c>
      <c r="N298" s="32" t="s">
        <v>278</v>
      </c>
      <c r="O298" s="33">
        <v>0</v>
      </c>
      <c r="P298" s="30" t="s">
        <v>39</v>
      </c>
      <c r="Q298" s="30" t="s">
        <v>31</v>
      </c>
      <c r="R298" s="34" t="s">
        <v>47</v>
      </c>
      <c r="S298" s="35">
        <v>48010</v>
      </c>
      <c r="T298" s="36" t="s">
        <v>408</v>
      </c>
      <c r="U298" s="30" t="s">
        <v>408</v>
      </c>
      <c r="V298" s="37" t="e">
        <v>#N/A</v>
      </c>
      <c r="W298" s="31" t="s">
        <v>33</v>
      </c>
      <c r="X298" s="37"/>
      <c r="Y298" s="37">
        <f>COUNTIF(F:F,F298)</f>
        <v>1</v>
      </c>
      <c r="Z298" s="21" t="s">
        <v>1102</v>
      </c>
      <c r="AA298" s="21" t="s">
        <v>408</v>
      </c>
      <c r="AB298" s="21" t="s">
        <v>1119</v>
      </c>
    </row>
    <row r="299" spans="1:28" ht="13.9" customHeight="1" x14ac:dyDescent="0.3">
      <c r="A299" s="36" t="s">
        <v>20</v>
      </c>
      <c r="B299" s="36" t="s">
        <v>21</v>
      </c>
      <c r="C299" s="36" t="s">
        <v>22</v>
      </c>
      <c r="D299" s="36" t="s">
        <v>23</v>
      </c>
      <c r="E299" s="36" t="s">
        <v>264</v>
      </c>
      <c r="F299" s="31" t="s">
        <v>265</v>
      </c>
      <c r="G299" s="36" t="s">
        <v>26</v>
      </c>
      <c r="H299" s="36" t="s">
        <v>27</v>
      </c>
      <c r="I299" s="36">
        <v>3</v>
      </c>
      <c r="J299" s="36"/>
      <c r="K299" s="36"/>
      <c r="L299" s="38">
        <v>106.346107</v>
      </c>
      <c r="M299" s="38">
        <v>10.451904000000001</v>
      </c>
      <c r="N299" s="38" t="s">
        <v>79</v>
      </c>
      <c r="O299" s="39" t="s">
        <v>29</v>
      </c>
      <c r="P299" s="36" t="s">
        <v>30</v>
      </c>
      <c r="Q299" s="30" t="s">
        <v>31</v>
      </c>
      <c r="R299" s="40" t="s">
        <v>32</v>
      </c>
      <c r="S299" s="35">
        <v>48020</v>
      </c>
      <c r="T299" s="36" t="s">
        <v>80</v>
      </c>
      <c r="U299" s="30" t="s">
        <v>408</v>
      </c>
      <c r="V299" s="37" t="e">
        <v>#N/A</v>
      </c>
      <c r="W299" s="31" t="s">
        <v>63</v>
      </c>
      <c r="X299" s="37" t="s">
        <v>52</v>
      </c>
      <c r="Y299" s="37">
        <f>COUNTIF(F:F,F299)</f>
        <v>2</v>
      </c>
      <c r="Z299" s="21" t="s">
        <v>1102</v>
      </c>
      <c r="AA299" s="21" t="s">
        <v>408</v>
      </c>
      <c r="AB299" s="21" t="s">
        <v>1119</v>
      </c>
    </row>
    <row r="300" spans="1:28" ht="13.9" customHeight="1" x14ac:dyDescent="0.3">
      <c r="A300" s="30" t="s">
        <v>20</v>
      </c>
      <c r="B300" s="30" t="s">
        <v>21</v>
      </c>
      <c r="C300" s="30" t="s">
        <v>22</v>
      </c>
      <c r="D300" s="30" t="s">
        <v>23</v>
      </c>
      <c r="E300" s="30" t="s">
        <v>416</v>
      </c>
      <c r="F300" s="31" t="s">
        <v>265</v>
      </c>
      <c r="G300" s="30" t="s">
        <v>26</v>
      </c>
      <c r="H300" s="30" t="s">
        <v>36</v>
      </c>
      <c r="I300" s="30">
        <v>3</v>
      </c>
      <c r="J300" s="30" t="s">
        <v>37</v>
      </c>
      <c r="K300" s="30" t="s">
        <v>38</v>
      </c>
      <c r="L300" s="32">
        <v>106.34208</v>
      </c>
      <c r="M300" s="32">
        <v>10.4343</v>
      </c>
      <c r="N300" s="32" t="s">
        <v>278</v>
      </c>
      <c r="O300" s="33">
        <v>0</v>
      </c>
      <c r="P300" s="30" t="s">
        <v>39</v>
      </c>
      <c r="Q300" s="30" t="s">
        <v>31</v>
      </c>
      <c r="R300" s="34" t="s">
        <v>47</v>
      </c>
      <c r="S300" s="35">
        <v>48010</v>
      </c>
      <c r="T300" s="36" t="s">
        <v>406</v>
      </c>
      <c r="U300" s="30" t="s">
        <v>408</v>
      </c>
      <c r="V300" s="37" t="e">
        <v>#N/A</v>
      </c>
      <c r="W300" s="31" t="s">
        <v>33</v>
      </c>
      <c r="X300" s="37" t="s">
        <v>42</v>
      </c>
      <c r="Y300" s="37">
        <f>COUNTIF(F:F,F300)</f>
        <v>2</v>
      </c>
      <c r="Z300" s="21" t="s">
        <v>1102</v>
      </c>
      <c r="AA300" s="21" t="s">
        <v>408</v>
      </c>
      <c r="AB300" s="21" t="s">
        <v>1119</v>
      </c>
    </row>
    <row r="301" spans="1:28" ht="13.9" customHeight="1" x14ac:dyDescent="0.3">
      <c r="A301" s="30" t="s">
        <v>20</v>
      </c>
      <c r="B301" s="30" t="s">
        <v>21</v>
      </c>
      <c r="C301" s="30" t="s">
        <v>22</v>
      </c>
      <c r="D301" s="30" t="s">
        <v>23</v>
      </c>
      <c r="E301" s="30" t="s">
        <v>407</v>
      </c>
      <c r="F301" s="31" t="s">
        <v>407</v>
      </c>
      <c r="G301" s="30" t="s">
        <v>26</v>
      </c>
      <c r="H301" s="30" t="s">
        <v>36</v>
      </c>
      <c r="I301" s="30">
        <v>4</v>
      </c>
      <c r="J301" s="30" t="s">
        <v>26</v>
      </c>
      <c r="K301" s="30" t="s">
        <v>269</v>
      </c>
      <c r="L301" s="32">
        <v>106.30512</v>
      </c>
      <c r="M301" s="32">
        <v>10.43769</v>
      </c>
      <c r="N301" s="32" t="s">
        <v>278</v>
      </c>
      <c r="O301" s="33">
        <v>0</v>
      </c>
      <c r="P301" s="30" t="s">
        <v>271</v>
      </c>
      <c r="Q301" s="30" t="s">
        <v>31</v>
      </c>
      <c r="R301" s="34" t="s">
        <v>47</v>
      </c>
      <c r="S301" s="35">
        <v>48010</v>
      </c>
      <c r="T301" s="36" t="s">
        <v>408</v>
      </c>
      <c r="U301" s="30" t="s">
        <v>408</v>
      </c>
      <c r="V301" s="37" t="e">
        <v>#N/A</v>
      </c>
      <c r="W301" s="31" t="s">
        <v>33</v>
      </c>
      <c r="X301" s="37"/>
      <c r="Y301" s="37">
        <f>COUNTIF(F:F,F301)</f>
        <v>1</v>
      </c>
      <c r="Z301" s="21" t="s">
        <v>1102</v>
      </c>
      <c r="AA301" s="21" t="s">
        <v>408</v>
      </c>
      <c r="AB301" s="21" t="s">
        <v>1119</v>
      </c>
    </row>
    <row r="302" spans="1:28" ht="13.9" customHeight="1" x14ac:dyDescent="0.3">
      <c r="A302" s="30" t="s">
        <v>20</v>
      </c>
      <c r="B302" s="30" t="s">
        <v>21</v>
      </c>
      <c r="C302" s="30" t="s">
        <v>22</v>
      </c>
      <c r="D302" s="30" t="s">
        <v>23</v>
      </c>
      <c r="E302" s="30" t="s">
        <v>524</v>
      </c>
      <c r="F302" s="31" t="s">
        <v>524</v>
      </c>
      <c r="G302" s="30" t="s">
        <v>26</v>
      </c>
      <c r="H302" s="30" t="s">
        <v>27</v>
      </c>
      <c r="I302" s="30">
        <v>3</v>
      </c>
      <c r="J302" s="30"/>
      <c r="K302" s="30"/>
      <c r="L302" s="32">
        <v>106.29052</v>
      </c>
      <c r="M302" s="32">
        <v>10.432408000000001</v>
      </c>
      <c r="N302" s="32" t="s">
        <v>278</v>
      </c>
      <c r="O302" s="33">
        <v>0</v>
      </c>
      <c r="P302" s="30" t="s">
        <v>30</v>
      </c>
      <c r="Q302" s="30" t="s">
        <v>31</v>
      </c>
      <c r="R302" s="34" t="s">
        <v>47</v>
      </c>
      <c r="S302" s="35">
        <v>48010</v>
      </c>
      <c r="T302" s="36" t="s">
        <v>406</v>
      </c>
      <c r="U302" s="30" t="s">
        <v>408</v>
      </c>
      <c r="V302" s="37" t="e">
        <v>#N/A</v>
      </c>
      <c r="W302" s="31" t="s">
        <v>33</v>
      </c>
      <c r="X302" s="37"/>
      <c r="Y302" s="37">
        <f>COUNTIF(F:F,F302)</f>
        <v>1</v>
      </c>
      <c r="Z302" s="21" t="s">
        <v>1102</v>
      </c>
      <c r="AA302" s="21" t="s">
        <v>408</v>
      </c>
      <c r="AB302" s="21" t="s">
        <v>1119</v>
      </c>
    </row>
    <row r="303" spans="1:28" ht="13.9" customHeight="1" x14ac:dyDescent="0.3">
      <c r="A303" s="36" t="s">
        <v>20</v>
      </c>
      <c r="B303" s="36" t="s">
        <v>21</v>
      </c>
      <c r="C303" s="36" t="s">
        <v>22</v>
      </c>
      <c r="D303" s="36" t="s">
        <v>23</v>
      </c>
      <c r="E303" s="36" t="s">
        <v>419</v>
      </c>
      <c r="F303" s="31" t="s">
        <v>418</v>
      </c>
      <c r="G303" s="36" t="s">
        <v>26</v>
      </c>
      <c r="H303" s="36" t="s">
        <v>27</v>
      </c>
      <c r="I303" s="36">
        <v>3</v>
      </c>
      <c r="J303" s="36" t="s">
        <v>37</v>
      </c>
      <c r="K303" s="36" t="s">
        <v>38</v>
      </c>
      <c r="L303" s="38">
        <v>106.32174000000001</v>
      </c>
      <c r="M303" s="38">
        <v>10.40235</v>
      </c>
      <c r="N303" s="38" t="s">
        <v>278</v>
      </c>
      <c r="O303" s="39">
        <v>0</v>
      </c>
      <c r="P303" s="36" t="s">
        <v>60</v>
      </c>
      <c r="Q303" s="30" t="s">
        <v>31</v>
      </c>
      <c r="R303" s="40" t="s">
        <v>47</v>
      </c>
      <c r="S303" s="35">
        <v>48010</v>
      </c>
      <c r="T303" s="36" t="s">
        <v>408</v>
      </c>
      <c r="U303" s="30" t="s">
        <v>408</v>
      </c>
      <c r="V303" s="37" t="e">
        <v>#N/A</v>
      </c>
      <c r="W303" s="31" t="s">
        <v>63</v>
      </c>
      <c r="X303" s="37" t="s">
        <v>52</v>
      </c>
      <c r="Y303" s="37">
        <f>COUNTIF(F:F,F303)</f>
        <v>4</v>
      </c>
      <c r="Z303" s="21" t="s">
        <v>1102</v>
      </c>
      <c r="AA303" s="21" t="s">
        <v>408</v>
      </c>
      <c r="AB303" s="21" t="s">
        <v>1119</v>
      </c>
    </row>
    <row r="304" spans="1:28" ht="13.9" customHeight="1" x14ac:dyDescent="0.3">
      <c r="A304" s="30" t="s">
        <v>20</v>
      </c>
      <c r="B304" s="30" t="s">
        <v>21</v>
      </c>
      <c r="C304" s="30" t="s">
        <v>22</v>
      </c>
      <c r="D304" s="30" t="s">
        <v>23</v>
      </c>
      <c r="E304" s="30" t="s">
        <v>439</v>
      </c>
      <c r="F304" s="31" t="s">
        <v>439</v>
      </c>
      <c r="G304" s="30" t="s">
        <v>26</v>
      </c>
      <c r="H304" s="30" t="s">
        <v>36</v>
      </c>
      <c r="I304" s="30">
        <v>4</v>
      </c>
      <c r="J304" s="30" t="s">
        <v>37</v>
      </c>
      <c r="K304" s="30" t="s">
        <v>38</v>
      </c>
      <c r="L304" s="32">
        <v>106.36085</v>
      </c>
      <c r="M304" s="32">
        <v>10.48171</v>
      </c>
      <c r="N304" s="32" t="s">
        <v>278</v>
      </c>
      <c r="O304" s="33">
        <v>0</v>
      </c>
      <c r="P304" s="30" t="s">
        <v>39</v>
      </c>
      <c r="Q304" s="30" t="s">
        <v>31</v>
      </c>
      <c r="R304" s="34" t="s">
        <v>47</v>
      </c>
      <c r="S304" s="35">
        <v>48010</v>
      </c>
      <c r="T304" s="36" t="s">
        <v>370</v>
      </c>
      <c r="U304" s="30" t="s">
        <v>370</v>
      </c>
      <c r="V304" s="37" t="e">
        <v>#N/A</v>
      </c>
      <c r="W304" s="31" t="s">
        <v>33</v>
      </c>
      <c r="X304" s="37" t="s">
        <v>42</v>
      </c>
      <c r="Y304" s="37">
        <f>COUNTIF(F:F,F304)</f>
        <v>3</v>
      </c>
      <c r="Z304" s="21" t="s">
        <v>1102</v>
      </c>
      <c r="AA304" s="21" t="s">
        <v>370</v>
      </c>
      <c r="AB304" s="21" t="s">
        <v>1119</v>
      </c>
    </row>
    <row r="305" spans="1:28" ht="13.9" customHeight="1" x14ac:dyDescent="0.3">
      <c r="A305" s="30" t="s">
        <v>20</v>
      </c>
      <c r="B305" s="30" t="s">
        <v>21</v>
      </c>
      <c r="C305" s="30" t="s">
        <v>22</v>
      </c>
      <c r="D305" s="30" t="s">
        <v>23</v>
      </c>
      <c r="E305" s="30" t="s">
        <v>440</v>
      </c>
      <c r="F305" s="31" t="s">
        <v>439</v>
      </c>
      <c r="G305" s="30" t="s">
        <v>26</v>
      </c>
      <c r="H305" s="30" t="s">
        <v>27</v>
      </c>
      <c r="I305" s="30">
        <v>3</v>
      </c>
      <c r="J305" s="30" t="s">
        <v>37</v>
      </c>
      <c r="K305" s="30" t="s">
        <v>38</v>
      </c>
      <c r="L305" s="32">
        <v>106.36086</v>
      </c>
      <c r="M305" s="32">
        <v>10.492559999999999</v>
      </c>
      <c r="N305" s="32" t="s">
        <v>278</v>
      </c>
      <c r="O305" s="33">
        <v>0</v>
      </c>
      <c r="P305" s="30" t="s">
        <v>41</v>
      </c>
      <c r="Q305" s="30" t="s">
        <v>31</v>
      </c>
      <c r="R305" s="34" t="s">
        <v>47</v>
      </c>
      <c r="S305" s="35">
        <v>48010</v>
      </c>
      <c r="T305" s="36" t="s">
        <v>370</v>
      </c>
      <c r="U305" s="30" t="s">
        <v>370</v>
      </c>
      <c r="V305" s="37" t="e">
        <v>#N/A</v>
      </c>
      <c r="W305" s="31" t="s">
        <v>63</v>
      </c>
      <c r="X305" s="37" t="s">
        <v>52</v>
      </c>
      <c r="Y305" s="37">
        <f>COUNTIF(F:F,F305)</f>
        <v>3</v>
      </c>
      <c r="Z305" s="21" t="s">
        <v>1102</v>
      </c>
      <c r="AA305" s="21" t="s">
        <v>370</v>
      </c>
      <c r="AB305" s="21" t="s">
        <v>1119</v>
      </c>
    </row>
    <row r="306" spans="1:28" ht="13.9" customHeight="1" x14ac:dyDescent="0.3">
      <c r="A306" s="30" t="s">
        <v>20</v>
      </c>
      <c r="B306" s="30" t="s">
        <v>21</v>
      </c>
      <c r="C306" s="30" t="s">
        <v>22</v>
      </c>
      <c r="D306" s="30" t="s">
        <v>23</v>
      </c>
      <c r="E306" s="30" t="s">
        <v>441</v>
      </c>
      <c r="F306" s="31" t="s">
        <v>439</v>
      </c>
      <c r="G306" s="30" t="s">
        <v>26</v>
      </c>
      <c r="H306" s="30" t="s">
        <v>36</v>
      </c>
      <c r="I306" s="30">
        <v>3</v>
      </c>
      <c r="J306" s="30" t="s">
        <v>37</v>
      </c>
      <c r="K306" s="30" t="s">
        <v>38</v>
      </c>
      <c r="L306" s="32">
        <v>106.3575</v>
      </c>
      <c r="M306" s="32">
        <v>10.482530000000001</v>
      </c>
      <c r="N306" s="32" t="s">
        <v>278</v>
      </c>
      <c r="O306" s="33">
        <v>0</v>
      </c>
      <c r="P306" s="30" t="s">
        <v>39</v>
      </c>
      <c r="Q306" s="30" t="s">
        <v>31</v>
      </c>
      <c r="R306" s="34" t="s">
        <v>47</v>
      </c>
      <c r="S306" s="35">
        <v>48010</v>
      </c>
      <c r="T306" s="36" t="s">
        <v>370</v>
      </c>
      <c r="U306" s="30" t="s">
        <v>370</v>
      </c>
      <c r="V306" s="37" t="e">
        <v>#N/A</v>
      </c>
      <c r="W306" s="31" t="s">
        <v>63</v>
      </c>
      <c r="X306" s="37" t="s">
        <v>52</v>
      </c>
      <c r="Y306" s="37">
        <f>COUNTIF(F:F,F306)</f>
        <v>3</v>
      </c>
      <c r="Z306" s="21" t="s">
        <v>1102</v>
      </c>
      <c r="AA306" s="21" t="s">
        <v>370</v>
      </c>
      <c r="AB306" s="21" t="s">
        <v>1119</v>
      </c>
    </row>
    <row r="307" spans="1:28" ht="13.9" customHeight="1" x14ac:dyDescent="0.3">
      <c r="A307" s="30" t="s">
        <v>20</v>
      </c>
      <c r="B307" s="30" t="s">
        <v>21</v>
      </c>
      <c r="C307" s="30" t="s">
        <v>22</v>
      </c>
      <c r="D307" s="30" t="s">
        <v>23</v>
      </c>
      <c r="E307" s="30" t="s">
        <v>442</v>
      </c>
      <c r="F307" s="31" t="s">
        <v>442</v>
      </c>
      <c r="G307" s="30" t="s">
        <v>26</v>
      </c>
      <c r="H307" s="30" t="s">
        <v>36</v>
      </c>
      <c r="I307" s="30">
        <v>3</v>
      </c>
      <c r="J307" s="30" t="s">
        <v>37</v>
      </c>
      <c r="K307" s="30" t="s">
        <v>38</v>
      </c>
      <c r="L307" s="32">
        <v>106.34631</v>
      </c>
      <c r="M307" s="32">
        <v>10.49831</v>
      </c>
      <c r="N307" s="32" t="s">
        <v>278</v>
      </c>
      <c r="O307" s="33">
        <v>0</v>
      </c>
      <c r="P307" s="30" t="s">
        <v>39</v>
      </c>
      <c r="Q307" s="30" t="s">
        <v>31</v>
      </c>
      <c r="R307" s="34" t="s">
        <v>47</v>
      </c>
      <c r="S307" s="35">
        <v>48010</v>
      </c>
      <c r="T307" s="36" t="s">
        <v>370</v>
      </c>
      <c r="U307" s="30" t="s">
        <v>370</v>
      </c>
      <c r="V307" s="37" t="e">
        <v>#N/A</v>
      </c>
      <c r="W307" s="31" t="s">
        <v>33</v>
      </c>
      <c r="X307" s="37" t="s">
        <v>42</v>
      </c>
      <c r="Y307" s="37">
        <f>COUNTIF(F:F,F307)</f>
        <v>2</v>
      </c>
      <c r="Z307" s="21" t="s">
        <v>1102</v>
      </c>
      <c r="AA307" s="21" t="s">
        <v>370</v>
      </c>
      <c r="AB307" s="21" t="s">
        <v>1119</v>
      </c>
    </row>
    <row r="308" spans="1:28" ht="13.9" customHeight="1" x14ac:dyDescent="0.3">
      <c r="A308" s="36" t="s">
        <v>20</v>
      </c>
      <c r="B308" s="36" t="s">
        <v>21</v>
      </c>
      <c r="C308" s="36" t="s">
        <v>22</v>
      </c>
      <c r="D308" s="36" t="s">
        <v>23</v>
      </c>
      <c r="E308" s="36" t="s">
        <v>443</v>
      </c>
      <c r="F308" s="31" t="s">
        <v>442</v>
      </c>
      <c r="G308" s="36" t="s">
        <v>26</v>
      </c>
      <c r="H308" s="36" t="s">
        <v>36</v>
      </c>
      <c r="I308" s="36">
        <v>3</v>
      </c>
      <c r="J308" s="36" t="s">
        <v>37</v>
      </c>
      <c r="K308" s="36" t="s">
        <v>38</v>
      </c>
      <c r="L308" s="38">
        <v>106.34468</v>
      </c>
      <c r="M308" s="38">
        <v>10.508190000000001</v>
      </c>
      <c r="N308" s="38" t="s">
        <v>278</v>
      </c>
      <c r="O308" s="39">
        <v>0</v>
      </c>
      <c r="P308" s="36" t="s">
        <v>39</v>
      </c>
      <c r="Q308" s="30" t="s">
        <v>31</v>
      </c>
      <c r="R308" s="40" t="s">
        <v>47</v>
      </c>
      <c r="S308" s="35">
        <v>48010</v>
      </c>
      <c r="T308" s="36" t="s">
        <v>370</v>
      </c>
      <c r="U308" s="30" t="s">
        <v>370</v>
      </c>
      <c r="V308" s="37" t="e">
        <v>#N/A</v>
      </c>
      <c r="W308" s="31" t="s">
        <v>63</v>
      </c>
      <c r="X308" s="37" t="s">
        <v>52</v>
      </c>
      <c r="Y308" s="37">
        <f>COUNTIF(F:F,F308)</f>
        <v>2</v>
      </c>
      <c r="Z308" s="21" t="s">
        <v>1102</v>
      </c>
      <c r="AA308" s="21" t="s">
        <v>370</v>
      </c>
      <c r="AB308" s="21" t="s">
        <v>1119</v>
      </c>
    </row>
    <row r="309" spans="1:28" ht="13.9" customHeight="1" x14ac:dyDescent="0.3">
      <c r="A309" s="30" t="s">
        <v>20</v>
      </c>
      <c r="B309" s="30" t="s">
        <v>21</v>
      </c>
      <c r="C309" s="30" t="s">
        <v>22</v>
      </c>
      <c r="D309" s="30" t="s">
        <v>23</v>
      </c>
      <c r="E309" s="30" t="s">
        <v>427</v>
      </c>
      <c r="F309" s="31" t="s">
        <v>427</v>
      </c>
      <c r="G309" s="30" t="s">
        <v>26</v>
      </c>
      <c r="H309" s="30" t="s">
        <v>36</v>
      </c>
      <c r="I309" s="30">
        <v>3</v>
      </c>
      <c r="J309" s="30" t="s">
        <v>37</v>
      </c>
      <c r="K309" s="30" t="s">
        <v>38</v>
      </c>
      <c r="L309" s="32">
        <v>106.35648999999999</v>
      </c>
      <c r="M309" s="32">
        <v>10.46848</v>
      </c>
      <c r="N309" s="32" t="s">
        <v>278</v>
      </c>
      <c r="O309" s="33">
        <v>0</v>
      </c>
      <c r="P309" s="30" t="s">
        <v>39</v>
      </c>
      <c r="Q309" s="30" t="s">
        <v>31</v>
      </c>
      <c r="R309" s="34" t="s">
        <v>47</v>
      </c>
      <c r="S309" s="35">
        <v>48010</v>
      </c>
      <c r="T309" s="36" t="s">
        <v>370</v>
      </c>
      <c r="U309" s="30" t="s">
        <v>370</v>
      </c>
      <c r="V309" s="37" t="e">
        <v>#N/A</v>
      </c>
      <c r="W309" s="31" t="s">
        <v>33</v>
      </c>
      <c r="X309" s="37" t="s">
        <v>42</v>
      </c>
      <c r="Y309" s="37">
        <f>COUNTIF(F:F,F309)</f>
        <v>3</v>
      </c>
      <c r="Z309" s="21" t="s">
        <v>1102</v>
      </c>
      <c r="AA309" s="21" t="s">
        <v>370</v>
      </c>
      <c r="AB309" s="21" t="s">
        <v>1119</v>
      </c>
    </row>
    <row r="310" spans="1:28" ht="13.9" customHeight="1" x14ac:dyDescent="0.3">
      <c r="A310" s="30" t="s">
        <v>20</v>
      </c>
      <c r="B310" s="30" t="s">
        <v>21</v>
      </c>
      <c r="C310" s="30" t="s">
        <v>22</v>
      </c>
      <c r="D310" s="30" t="s">
        <v>23</v>
      </c>
      <c r="E310" s="30" t="s">
        <v>426</v>
      </c>
      <c r="F310" s="31" t="s">
        <v>427</v>
      </c>
      <c r="G310" s="30" t="s">
        <v>26</v>
      </c>
      <c r="H310" s="30" t="s">
        <v>27</v>
      </c>
      <c r="I310" s="30">
        <v>3</v>
      </c>
      <c r="J310" s="30"/>
      <c r="K310" s="30"/>
      <c r="L310" s="32">
        <v>106.36747</v>
      </c>
      <c r="M310" s="32">
        <v>10.46303</v>
      </c>
      <c r="N310" s="32" t="s">
        <v>278</v>
      </c>
      <c r="O310" s="33">
        <v>0</v>
      </c>
      <c r="P310" s="30" t="s">
        <v>60</v>
      </c>
      <c r="Q310" s="30" t="s">
        <v>31</v>
      </c>
      <c r="R310" s="34" t="s">
        <v>47</v>
      </c>
      <c r="S310" s="35">
        <v>48010</v>
      </c>
      <c r="T310" s="36" t="s">
        <v>370</v>
      </c>
      <c r="U310" s="30" t="s">
        <v>370</v>
      </c>
      <c r="V310" s="37" t="s">
        <v>49</v>
      </c>
      <c r="W310" s="31" t="s">
        <v>50</v>
      </c>
      <c r="X310" s="37" t="s">
        <v>52</v>
      </c>
      <c r="Y310" s="37">
        <f>COUNTIF(F:F,F310)</f>
        <v>3</v>
      </c>
      <c r="Z310" s="21" t="s">
        <v>1102</v>
      </c>
      <c r="AA310" s="21" t="s">
        <v>370</v>
      </c>
      <c r="AB310" s="21" t="s">
        <v>1119</v>
      </c>
    </row>
    <row r="311" spans="1:28" ht="13.9" customHeight="1" x14ac:dyDescent="0.3">
      <c r="A311" s="36" t="s">
        <v>20</v>
      </c>
      <c r="B311" s="36" t="s">
        <v>21</v>
      </c>
      <c r="C311" s="36" t="s">
        <v>22</v>
      </c>
      <c r="D311" s="36" t="s">
        <v>23</v>
      </c>
      <c r="E311" s="36" t="s">
        <v>444</v>
      </c>
      <c r="F311" s="31" t="s">
        <v>427</v>
      </c>
      <c r="G311" s="36" t="s">
        <v>26</v>
      </c>
      <c r="H311" s="36" t="s">
        <v>36</v>
      </c>
      <c r="I311" s="36">
        <v>3</v>
      </c>
      <c r="J311" s="36" t="s">
        <v>37</v>
      </c>
      <c r="K311" s="36" t="s">
        <v>38</v>
      </c>
      <c r="L311" s="38">
        <v>106.35901200000001</v>
      </c>
      <c r="M311" s="38">
        <v>10.47443</v>
      </c>
      <c r="N311" s="38" t="s">
        <v>278</v>
      </c>
      <c r="O311" s="39">
        <v>0</v>
      </c>
      <c r="P311" s="36" t="s">
        <v>39</v>
      </c>
      <c r="Q311" s="30" t="s">
        <v>31</v>
      </c>
      <c r="R311" s="40" t="s">
        <v>47</v>
      </c>
      <c r="S311" s="35">
        <v>48010</v>
      </c>
      <c r="T311" s="36" t="s">
        <v>370</v>
      </c>
      <c r="U311" s="30" t="s">
        <v>370</v>
      </c>
      <c r="V311" s="37" t="e">
        <v>#N/A</v>
      </c>
      <c r="W311" s="31" t="s">
        <v>63</v>
      </c>
      <c r="X311" s="37" t="s">
        <v>52</v>
      </c>
      <c r="Y311" s="37">
        <f>COUNTIF(F:F,F311)</f>
        <v>3</v>
      </c>
      <c r="Z311" s="21" t="s">
        <v>1102</v>
      </c>
      <c r="AA311" s="21" t="s">
        <v>370</v>
      </c>
      <c r="AB311" s="21" t="s">
        <v>1119</v>
      </c>
    </row>
    <row r="312" spans="1:28" ht="13.9" customHeight="1" x14ac:dyDescent="0.3">
      <c r="A312" s="30" t="s">
        <v>20</v>
      </c>
      <c r="B312" s="30" t="s">
        <v>21</v>
      </c>
      <c r="C312" s="30" t="s">
        <v>22</v>
      </c>
      <c r="D312" s="30" t="s">
        <v>23</v>
      </c>
      <c r="E312" s="30" t="s">
        <v>371</v>
      </c>
      <c r="F312" s="31" t="s">
        <v>371</v>
      </c>
      <c r="G312" s="30" t="s">
        <v>26</v>
      </c>
      <c r="H312" s="30" t="s">
        <v>36</v>
      </c>
      <c r="I312" s="30">
        <v>3</v>
      </c>
      <c r="J312" s="30" t="s">
        <v>37</v>
      </c>
      <c r="K312" s="30" t="s">
        <v>38</v>
      </c>
      <c r="L312" s="32">
        <v>106.37246</v>
      </c>
      <c r="M312" s="32">
        <v>10.495799999999999</v>
      </c>
      <c r="N312" s="32" t="s">
        <v>278</v>
      </c>
      <c r="O312" s="33">
        <v>0</v>
      </c>
      <c r="P312" s="30" t="s">
        <v>39</v>
      </c>
      <c r="Q312" s="30" t="s">
        <v>31</v>
      </c>
      <c r="R312" s="34" t="s">
        <v>47</v>
      </c>
      <c r="S312" s="35">
        <v>48010</v>
      </c>
      <c r="T312" s="36" t="s">
        <v>370</v>
      </c>
      <c r="U312" s="30" t="s">
        <v>370</v>
      </c>
      <c r="V312" s="37" t="e">
        <v>#N/A</v>
      </c>
      <c r="W312" s="31" t="s">
        <v>33</v>
      </c>
      <c r="X312" s="37" t="s">
        <v>42</v>
      </c>
      <c r="Y312" s="37">
        <f>COUNTIF(F:F,F312)</f>
        <v>2</v>
      </c>
      <c r="Z312" s="21" t="s">
        <v>1102</v>
      </c>
      <c r="AA312" s="21" t="s">
        <v>370</v>
      </c>
      <c r="AB312" s="21" t="s">
        <v>1119</v>
      </c>
    </row>
    <row r="313" spans="1:28" ht="13.9" customHeight="1" x14ac:dyDescent="0.3">
      <c r="A313" s="30" t="s">
        <v>20</v>
      </c>
      <c r="B313" s="30" t="s">
        <v>21</v>
      </c>
      <c r="C313" s="30" t="s">
        <v>22</v>
      </c>
      <c r="D313" s="30" t="s">
        <v>23</v>
      </c>
      <c r="E313" s="30" t="s">
        <v>369</v>
      </c>
      <c r="F313" s="31" t="s">
        <v>371</v>
      </c>
      <c r="G313" s="30" t="s">
        <v>26</v>
      </c>
      <c r="H313" s="30" t="s">
        <v>36</v>
      </c>
      <c r="I313" s="30">
        <v>3</v>
      </c>
      <c r="J313" s="30" t="s">
        <v>37</v>
      </c>
      <c r="K313" s="30" t="s">
        <v>38</v>
      </c>
      <c r="L313" s="32">
        <v>106.35934</v>
      </c>
      <c r="M313" s="32">
        <v>10.519590000000001</v>
      </c>
      <c r="N313" s="32" t="s">
        <v>278</v>
      </c>
      <c r="O313" s="33">
        <v>0</v>
      </c>
      <c r="P313" s="30" t="s">
        <v>39</v>
      </c>
      <c r="Q313" s="30" t="s">
        <v>31</v>
      </c>
      <c r="R313" s="34" t="s">
        <v>47</v>
      </c>
      <c r="S313" s="35">
        <v>48010</v>
      </c>
      <c r="T313" s="36" t="s">
        <v>370</v>
      </c>
      <c r="U313" s="30" t="s">
        <v>370</v>
      </c>
      <c r="V313" s="37" t="s">
        <v>49</v>
      </c>
      <c r="W313" s="31" t="s">
        <v>50</v>
      </c>
      <c r="X313" s="37" t="s">
        <v>52</v>
      </c>
      <c r="Y313" s="37">
        <f>COUNTIF(F:F,F313)</f>
        <v>2</v>
      </c>
      <c r="Z313" s="21" t="s">
        <v>1102</v>
      </c>
      <c r="AA313" s="21" t="s">
        <v>370</v>
      </c>
      <c r="AB313" s="21" t="s">
        <v>1119</v>
      </c>
    </row>
    <row r="314" spans="1:28" ht="13.9" customHeight="1" x14ac:dyDescent="0.3">
      <c r="A314" s="30" t="s">
        <v>20</v>
      </c>
      <c r="B314" s="30" t="s">
        <v>21</v>
      </c>
      <c r="C314" s="30" t="s">
        <v>22</v>
      </c>
      <c r="D314" s="30" t="s">
        <v>23</v>
      </c>
      <c r="E314" s="30" t="s">
        <v>445</v>
      </c>
      <c r="F314" s="31" t="s">
        <v>445</v>
      </c>
      <c r="G314" s="30" t="s">
        <v>26</v>
      </c>
      <c r="H314" s="30" t="s">
        <v>36</v>
      </c>
      <c r="I314" s="30">
        <v>4</v>
      </c>
      <c r="J314" s="30" t="s">
        <v>37</v>
      </c>
      <c r="K314" s="30" t="s">
        <v>38</v>
      </c>
      <c r="L314" s="32">
        <v>106.32978</v>
      </c>
      <c r="M314" s="32">
        <v>10.47709</v>
      </c>
      <c r="N314" s="32" t="s">
        <v>278</v>
      </c>
      <c r="O314" s="33">
        <v>0</v>
      </c>
      <c r="P314" s="30" t="s">
        <v>39</v>
      </c>
      <c r="Q314" s="30" t="s">
        <v>31</v>
      </c>
      <c r="R314" s="34" t="s">
        <v>47</v>
      </c>
      <c r="S314" s="35">
        <v>48010</v>
      </c>
      <c r="T314" s="36" t="s">
        <v>370</v>
      </c>
      <c r="U314" s="30" t="s">
        <v>370</v>
      </c>
      <c r="V314" s="37" t="e">
        <v>#N/A</v>
      </c>
      <c r="W314" s="31" t="s">
        <v>33</v>
      </c>
      <c r="X314" s="37" t="s">
        <v>42</v>
      </c>
      <c r="Y314" s="37">
        <f>COUNTIF(F:F,F314)</f>
        <v>2</v>
      </c>
      <c r="Z314" s="21" t="s">
        <v>1102</v>
      </c>
      <c r="AA314" s="21" t="s">
        <v>370</v>
      </c>
      <c r="AB314" s="21" t="s">
        <v>1119</v>
      </c>
    </row>
    <row r="315" spans="1:28" ht="13.9" customHeight="1" x14ac:dyDescent="0.3">
      <c r="A315" s="36" t="s">
        <v>20</v>
      </c>
      <c r="B315" s="36" t="s">
        <v>21</v>
      </c>
      <c r="C315" s="36" t="s">
        <v>22</v>
      </c>
      <c r="D315" s="36" t="s">
        <v>23</v>
      </c>
      <c r="E315" s="36" t="s">
        <v>446</v>
      </c>
      <c r="F315" s="31" t="s">
        <v>445</v>
      </c>
      <c r="G315" s="36" t="s">
        <v>26</v>
      </c>
      <c r="H315" s="36" t="s">
        <v>27</v>
      </c>
      <c r="I315" s="36">
        <v>3</v>
      </c>
      <c r="J315" s="36"/>
      <c r="K315" s="36"/>
      <c r="L315" s="38">
        <v>106.3201</v>
      </c>
      <c r="M315" s="38">
        <v>10.4857</v>
      </c>
      <c r="N315" s="38" t="s">
        <v>278</v>
      </c>
      <c r="O315" s="39">
        <v>0</v>
      </c>
      <c r="P315" s="36" t="s">
        <v>30</v>
      </c>
      <c r="Q315" s="30" t="s">
        <v>31</v>
      </c>
      <c r="R315" s="40" t="s">
        <v>47</v>
      </c>
      <c r="S315" s="35">
        <v>48010</v>
      </c>
      <c r="T315" s="36" t="s">
        <v>370</v>
      </c>
      <c r="U315" s="30" t="s">
        <v>370</v>
      </c>
      <c r="V315" s="37" t="e">
        <v>#N/A</v>
      </c>
      <c r="W315" s="31" t="s">
        <v>63</v>
      </c>
      <c r="X315" s="37" t="s">
        <v>52</v>
      </c>
      <c r="Y315" s="37">
        <f>COUNTIF(F:F,F315)</f>
        <v>2</v>
      </c>
      <c r="Z315" s="21" t="s">
        <v>1102</v>
      </c>
      <c r="AA315" s="21" t="s">
        <v>370</v>
      </c>
      <c r="AB315" s="21" t="s">
        <v>1119</v>
      </c>
    </row>
    <row r="316" spans="1:28" ht="13.9" customHeight="1" x14ac:dyDescent="0.3">
      <c r="A316" s="30" t="s">
        <v>20</v>
      </c>
      <c r="B316" s="30" t="s">
        <v>21</v>
      </c>
      <c r="C316" s="30" t="s">
        <v>22</v>
      </c>
      <c r="D316" s="30" t="s">
        <v>23</v>
      </c>
      <c r="E316" s="30" t="s">
        <v>425</v>
      </c>
      <c r="F316" s="31" t="s">
        <v>425</v>
      </c>
      <c r="G316" s="30" t="s">
        <v>26</v>
      </c>
      <c r="H316" s="30" t="s">
        <v>36</v>
      </c>
      <c r="I316" s="30">
        <v>4</v>
      </c>
      <c r="J316" s="30" t="s">
        <v>37</v>
      </c>
      <c r="K316" s="30" t="s">
        <v>38</v>
      </c>
      <c r="L316" s="32">
        <v>106.346024</v>
      </c>
      <c r="M316" s="32">
        <v>10.457837</v>
      </c>
      <c r="N316" s="32" t="s">
        <v>278</v>
      </c>
      <c r="O316" s="33">
        <v>0</v>
      </c>
      <c r="P316" s="30" t="s">
        <v>39</v>
      </c>
      <c r="Q316" s="30" t="s">
        <v>31</v>
      </c>
      <c r="R316" s="34" t="s">
        <v>47</v>
      </c>
      <c r="S316" s="35">
        <v>48010</v>
      </c>
      <c r="T316" s="36" t="s">
        <v>370</v>
      </c>
      <c r="U316" s="30" t="s">
        <v>370</v>
      </c>
      <c r="V316" s="37" t="e">
        <v>#N/A</v>
      </c>
      <c r="W316" s="31" t="s">
        <v>33</v>
      </c>
      <c r="X316" s="37"/>
      <c r="Y316" s="37">
        <f>COUNTIF(F:F,F316)</f>
        <v>1</v>
      </c>
      <c r="Z316" s="21" t="s">
        <v>1102</v>
      </c>
      <c r="AA316" s="21" t="s">
        <v>370</v>
      </c>
      <c r="AB316" s="21" t="s">
        <v>1119</v>
      </c>
    </row>
    <row r="317" spans="1:28" ht="13.9" customHeight="1" x14ac:dyDescent="0.3">
      <c r="A317" s="30" t="s">
        <v>20</v>
      </c>
      <c r="B317" s="30" t="s">
        <v>21</v>
      </c>
      <c r="C317" s="30" t="s">
        <v>22</v>
      </c>
      <c r="D317" s="30" t="s">
        <v>23</v>
      </c>
      <c r="E317" s="30" t="s">
        <v>422</v>
      </c>
      <c r="F317" s="31" t="s">
        <v>422</v>
      </c>
      <c r="G317" s="30" t="s">
        <v>26</v>
      </c>
      <c r="H317" s="30" t="s">
        <v>36</v>
      </c>
      <c r="I317" s="30">
        <v>4</v>
      </c>
      <c r="J317" s="30" t="s">
        <v>26</v>
      </c>
      <c r="K317" s="30" t="s">
        <v>405</v>
      </c>
      <c r="L317" s="32">
        <v>106.35476</v>
      </c>
      <c r="M317" s="32">
        <v>10.486940000000001</v>
      </c>
      <c r="N317" s="32" t="s">
        <v>278</v>
      </c>
      <c r="O317" s="33">
        <v>0</v>
      </c>
      <c r="P317" s="30" t="s">
        <v>271</v>
      </c>
      <c r="Q317" s="30" t="s">
        <v>31</v>
      </c>
      <c r="R317" s="34" t="s">
        <v>47</v>
      </c>
      <c r="S317" s="35">
        <v>48010</v>
      </c>
      <c r="T317" s="36" t="s">
        <v>370</v>
      </c>
      <c r="U317" s="30" t="s">
        <v>370</v>
      </c>
      <c r="V317" s="37" t="e">
        <v>#N/A</v>
      </c>
      <c r="W317" s="31" t="s">
        <v>33</v>
      </c>
      <c r="X317" s="37"/>
      <c r="Y317" s="37">
        <f>COUNTIF(F:F,F317)</f>
        <v>1</v>
      </c>
      <c r="Z317" s="21" t="s">
        <v>1102</v>
      </c>
      <c r="AA317" s="21" t="s">
        <v>370</v>
      </c>
      <c r="AB317" s="21" t="s">
        <v>1119</v>
      </c>
    </row>
    <row r="318" spans="1:28" ht="13.9" customHeight="1" x14ac:dyDescent="0.3">
      <c r="A318" s="30" t="s">
        <v>20</v>
      </c>
      <c r="B318" s="30" t="s">
        <v>21</v>
      </c>
      <c r="C318" s="30" t="s">
        <v>22</v>
      </c>
      <c r="D318" s="30" t="s">
        <v>23</v>
      </c>
      <c r="E318" s="30" t="s">
        <v>432</v>
      </c>
      <c r="F318" s="31" t="s">
        <v>432</v>
      </c>
      <c r="G318" s="30" t="s">
        <v>26</v>
      </c>
      <c r="H318" s="30" t="s">
        <v>36</v>
      </c>
      <c r="I318" s="30">
        <v>4</v>
      </c>
      <c r="J318" s="30" t="s">
        <v>37</v>
      </c>
      <c r="K318" s="30" t="s">
        <v>38</v>
      </c>
      <c r="L318" s="32">
        <v>106.36324</v>
      </c>
      <c r="M318" s="32">
        <v>10.48922</v>
      </c>
      <c r="N318" s="32" t="s">
        <v>278</v>
      </c>
      <c r="O318" s="33">
        <v>0</v>
      </c>
      <c r="P318" s="30" t="s">
        <v>39</v>
      </c>
      <c r="Q318" s="30" t="s">
        <v>31</v>
      </c>
      <c r="R318" s="34" t="s">
        <v>47</v>
      </c>
      <c r="S318" s="35">
        <v>48010</v>
      </c>
      <c r="T318" s="36" t="s">
        <v>370</v>
      </c>
      <c r="U318" s="30" t="s">
        <v>370</v>
      </c>
      <c r="V318" s="37" t="e">
        <v>#N/A</v>
      </c>
      <c r="W318" s="31" t="s">
        <v>33</v>
      </c>
      <c r="X318" s="37"/>
      <c r="Y318" s="37">
        <f>COUNTIF(F:F,F318)</f>
        <v>1</v>
      </c>
      <c r="Z318" s="21" t="s">
        <v>1102</v>
      </c>
      <c r="AA318" s="21" t="s">
        <v>370</v>
      </c>
      <c r="AB318" s="21" t="s">
        <v>1119</v>
      </c>
    </row>
    <row r="319" spans="1:28" s="22" customFormat="1" ht="13.9" customHeight="1" x14ac:dyDescent="0.3">
      <c r="A319" s="30" t="s">
        <v>20</v>
      </c>
      <c r="B319" s="30" t="s">
        <v>21</v>
      </c>
      <c r="C319" s="30" t="s">
        <v>22</v>
      </c>
      <c r="D319" s="30" t="s">
        <v>23</v>
      </c>
      <c r="E319" s="30" t="s">
        <v>433</v>
      </c>
      <c r="F319" s="31" t="s">
        <v>433</v>
      </c>
      <c r="G319" s="30" t="s">
        <v>26</v>
      </c>
      <c r="H319" s="30" t="s">
        <v>27</v>
      </c>
      <c r="I319" s="30">
        <v>4</v>
      </c>
      <c r="J319" s="30" t="s">
        <v>37</v>
      </c>
      <c r="K319" s="30" t="s">
        <v>38</v>
      </c>
      <c r="L319" s="32">
        <v>106.33571000000001</v>
      </c>
      <c r="M319" s="32">
        <v>10.493830000000001</v>
      </c>
      <c r="N319" s="32" t="s">
        <v>278</v>
      </c>
      <c r="O319" s="33">
        <v>0</v>
      </c>
      <c r="P319" s="30" t="s">
        <v>41</v>
      </c>
      <c r="Q319" s="30" t="s">
        <v>31</v>
      </c>
      <c r="R319" s="34" t="s">
        <v>47</v>
      </c>
      <c r="S319" s="35">
        <v>48010</v>
      </c>
      <c r="T319" s="36" t="s">
        <v>370</v>
      </c>
      <c r="U319" s="30" t="s">
        <v>370</v>
      </c>
      <c r="V319" s="37" t="e">
        <v>#N/A</v>
      </c>
      <c r="W319" s="31" t="s">
        <v>33</v>
      </c>
      <c r="X319" s="37"/>
      <c r="Y319" s="37">
        <f>COUNTIF(F:F,F319)</f>
        <v>1</v>
      </c>
      <c r="Z319" s="21" t="s">
        <v>1102</v>
      </c>
      <c r="AA319" s="21" t="s">
        <v>370</v>
      </c>
      <c r="AB319" s="21" t="s">
        <v>1119</v>
      </c>
    </row>
    <row r="320" spans="1:28" ht="13.9" customHeight="1" x14ac:dyDescent="0.3">
      <c r="A320" s="30" t="s">
        <v>20</v>
      </c>
      <c r="B320" s="30" t="s">
        <v>21</v>
      </c>
      <c r="C320" s="30" t="s">
        <v>22</v>
      </c>
      <c r="D320" s="30" t="s">
        <v>23</v>
      </c>
      <c r="E320" s="30" t="s">
        <v>447</v>
      </c>
      <c r="F320" s="31" t="s">
        <v>447</v>
      </c>
      <c r="G320" s="30" t="s">
        <v>26</v>
      </c>
      <c r="H320" s="30" t="s">
        <v>36</v>
      </c>
      <c r="I320" s="30">
        <v>3</v>
      </c>
      <c r="J320" s="30" t="s">
        <v>26</v>
      </c>
      <c r="K320" s="30" t="s">
        <v>269</v>
      </c>
      <c r="L320" s="32">
        <v>106.37044</v>
      </c>
      <c r="M320" s="32">
        <v>10.48542</v>
      </c>
      <c r="N320" s="32" t="s">
        <v>278</v>
      </c>
      <c r="O320" s="33">
        <v>0</v>
      </c>
      <c r="P320" s="30" t="s">
        <v>271</v>
      </c>
      <c r="Q320" s="30" t="s">
        <v>31</v>
      </c>
      <c r="R320" s="34" t="s">
        <v>47</v>
      </c>
      <c r="S320" s="35">
        <v>48010</v>
      </c>
      <c r="T320" s="36" t="s">
        <v>370</v>
      </c>
      <c r="U320" s="30" t="s">
        <v>370</v>
      </c>
      <c r="V320" s="37" t="e">
        <v>#N/A</v>
      </c>
      <c r="W320" s="31" t="s">
        <v>33</v>
      </c>
      <c r="X320" s="37" t="s">
        <v>42</v>
      </c>
      <c r="Y320" s="37">
        <f>COUNTIF(F:F,F320)</f>
        <v>3</v>
      </c>
      <c r="Z320" s="21" t="s">
        <v>1102</v>
      </c>
      <c r="AA320" s="21" t="s">
        <v>370</v>
      </c>
      <c r="AB320" s="21" t="s">
        <v>1119</v>
      </c>
    </row>
    <row r="321" spans="1:28" ht="13.9" customHeight="1" x14ac:dyDescent="0.3">
      <c r="A321" s="36" t="s">
        <v>20</v>
      </c>
      <c r="B321" s="36" t="s">
        <v>21</v>
      </c>
      <c r="C321" s="36" t="s">
        <v>22</v>
      </c>
      <c r="D321" s="36" t="s">
        <v>23</v>
      </c>
      <c r="E321" s="36" t="s">
        <v>448</v>
      </c>
      <c r="F321" s="31" t="s">
        <v>447</v>
      </c>
      <c r="G321" s="36" t="s">
        <v>26</v>
      </c>
      <c r="H321" s="36" t="s">
        <v>27</v>
      </c>
      <c r="I321" s="36">
        <v>3</v>
      </c>
      <c r="J321" s="36"/>
      <c r="K321" s="36"/>
      <c r="L321" s="38">
        <v>106.378</v>
      </c>
      <c r="M321" s="38">
        <v>10.47852</v>
      </c>
      <c r="N321" s="38" t="s">
        <v>278</v>
      </c>
      <c r="O321" s="39">
        <v>0</v>
      </c>
      <c r="P321" s="36" t="s">
        <v>30</v>
      </c>
      <c r="Q321" s="30" t="s">
        <v>31</v>
      </c>
      <c r="R321" s="40" t="s">
        <v>47</v>
      </c>
      <c r="S321" s="35">
        <v>48010</v>
      </c>
      <c r="T321" s="36" t="s">
        <v>370</v>
      </c>
      <c r="U321" s="30" t="s">
        <v>370</v>
      </c>
      <c r="V321" s="37" t="e">
        <v>#N/A</v>
      </c>
      <c r="W321" s="31" t="s">
        <v>63</v>
      </c>
      <c r="X321" s="37" t="s">
        <v>52</v>
      </c>
      <c r="Y321" s="37">
        <f>COUNTIF(F:F,F321)</f>
        <v>3</v>
      </c>
      <c r="Z321" s="21" t="s">
        <v>1102</v>
      </c>
      <c r="AA321" s="21" t="s">
        <v>370</v>
      </c>
      <c r="AB321" s="21" t="s">
        <v>1119</v>
      </c>
    </row>
    <row r="322" spans="1:28" ht="13.9" customHeight="1" x14ac:dyDescent="0.3">
      <c r="A322" s="36" t="s">
        <v>20</v>
      </c>
      <c r="B322" s="36" t="s">
        <v>21</v>
      </c>
      <c r="C322" s="36" t="s">
        <v>22</v>
      </c>
      <c r="D322" s="36" t="s">
        <v>23</v>
      </c>
      <c r="E322" s="36" t="s">
        <v>449</v>
      </c>
      <c r="F322" s="31" t="s">
        <v>447</v>
      </c>
      <c r="G322" s="36" t="s">
        <v>26</v>
      </c>
      <c r="H322" s="36" t="s">
        <v>36</v>
      </c>
      <c r="I322" s="36">
        <v>3</v>
      </c>
      <c r="J322" s="36" t="s">
        <v>37</v>
      </c>
      <c r="K322" s="36" t="s">
        <v>38</v>
      </c>
      <c r="L322" s="38">
        <v>106.366</v>
      </c>
      <c r="M322" s="38">
        <v>10.4817</v>
      </c>
      <c r="N322" s="38" t="s">
        <v>278</v>
      </c>
      <c r="O322" s="39">
        <v>0</v>
      </c>
      <c r="P322" s="36" t="s">
        <v>39</v>
      </c>
      <c r="Q322" s="30" t="s">
        <v>31</v>
      </c>
      <c r="R322" s="40" t="s">
        <v>47</v>
      </c>
      <c r="S322" s="35">
        <v>48010</v>
      </c>
      <c r="T322" s="36" t="s">
        <v>370</v>
      </c>
      <c r="U322" s="30" t="s">
        <v>370</v>
      </c>
      <c r="V322" s="37" t="e">
        <v>#N/A</v>
      </c>
      <c r="W322" s="31" t="s">
        <v>63</v>
      </c>
      <c r="X322" s="37" t="s">
        <v>52</v>
      </c>
      <c r="Y322" s="37">
        <f>COUNTIF(F:F,F322)</f>
        <v>3</v>
      </c>
      <c r="Z322" s="21" t="s">
        <v>1102</v>
      </c>
      <c r="AA322" s="21" t="s">
        <v>370</v>
      </c>
      <c r="AB322" s="21" t="s">
        <v>1119</v>
      </c>
    </row>
    <row r="323" spans="1:28" ht="13.9" customHeight="1" x14ac:dyDescent="0.3">
      <c r="A323" s="30" t="s">
        <v>20</v>
      </c>
      <c r="B323" s="30" t="s">
        <v>21</v>
      </c>
      <c r="C323" s="30" t="s">
        <v>22</v>
      </c>
      <c r="D323" s="30" t="s">
        <v>23</v>
      </c>
      <c r="E323" s="30" t="s">
        <v>372</v>
      </c>
      <c r="F323" s="31" t="s">
        <v>373</v>
      </c>
      <c r="G323" s="30" t="s">
        <v>26</v>
      </c>
      <c r="H323" s="30" t="s">
        <v>36</v>
      </c>
      <c r="I323" s="30">
        <v>3</v>
      </c>
      <c r="J323" s="30" t="s">
        <v>37</v>
      </c>
      <c r="K323" s="30" t="s">
        <v>38</v>
      </c>
      <c r="L323" s="32">
        <v>106.34081</v>
      </c>
      <c r="M323" s="32">
        <v>10.47864</v>
      </c>
      <c r="N323" s="32" t="s">
        <v>278</v>
      </c>
      <c r="O323" s="33">
        <v>0</v>
      </c>
      <c r="P323" s="30" t="s">
        <v>39</v>
      </c>
      <c r="Q323" s="30" t="s">
        <v>31</v>
      </c>
      <c r="R323" s="34" t="s">
        <v>47</v>
      </c>
      <c r="S323" s="35">
        <v>48010</v>
      </c>
      <c r="T323" s="36" t="s">
        <v>370</v>
      </c>
      <c r="U323" s="30" t="s">
        <v>370</v>
      </c>
      <c r="V323" s="37" t="s">
        <v>49</v>
      </c>
      <c r="W323" s="31" t="s">
        <v>50</v>
      </c>
      <c r="X323" s="37" t="s">
        <v>52</v>
      </c>
      <c r="Y323" s="37">
        <f>COUNTIF(F:F,F323)</f>
        <v>2</v>
      </c>
      <c r="Z323" s="21" t="s">
        <v>1102</v>
      </c>
      <c r="AA323" s="21" t="s">
        <v>370</v>
      </c>
      <c r="AB323" s="21" t="s">
        <v>1119</v>
      </c>
    </row>
    <row r="324" spans="1:28" ht="13.9" customHeight="1" x14ac:dyDescent="0.3">
      <c r="A324" s="30" t="s">
        <v>20</v>
      </c>
      <c r="B324" s="30" t="s">
        <v>21</v>
      </c>
      <c r="C324" s="30" t="s">
        <v>22</v>
      </c>
      <c r="D324" s="30" t="s">
        <v>23</v>
      </c>
      <c r="E324" s="30" t="s">
        <v>373</v>
      </c>
      <c r="F324" s="31" t="s">
        <v>373</v>
      </c>
      <c r="G324" s="30" t="s">
        <v>26</v>
      </c>
      <c r="H324" s="30" t="s">
        <v>36</v>
      </c>
      <c r="I324" s="30">
        <v>3</v>
      </c>
      <c r="J324" s="30" t="s">
        <v>37</v>
      </c>
      <c r="K324" s="30" t="s">
        <v>38</v>
      </c>
      <c r="L324" s="32">
        <v>106.34549</v>
      </c>
      <c r="M324" s="32">
        <v>10.468859999999999</v>
      </c>
      <c r="N324" s="32" t="s">
        <v>278</v>
      </c>
      <c r="O324" s="33">
        <v>0</v>
      </c>
      <c r="P324" s="30" t="s">
        <v>39</v>
      </c>
      <c r="Q324" s="30" t="s">
        <v>31</v>
      </c>
      <c r="R324" s="34" t="s">
        <v>47</v>
      </c>
      <c r="S324" s="35">
        <v>48010</v>
      </c>
      <c r="T324" s="36" t="s">
        <v>370</v>
      </c>
      <c r="U324" s="30" t="s">
        <v>370</v>
      </c>
      <c r="V324" s="37" t="e">
        <v>#N/A</v>
      </c>
      <c r="W324" s="31" t="s">
        <v>33</v>
      </c>
      <c r="X324" s="37" t="s">
        <v>42</v>
      </c>
      <c r="Y324" s="37">
        <f>COUNTIF(F:F,F324)</f>
        <v>2</v>
      </c>
      <c r="Z324" s="21" t="s">
        <v>1102</v>
      </c>
      <c r="AA324" s="21" t="s">
        <v>370</v>
      </c>
      <c r="AB324" s="21" t="s">
        <v>1119</v>
      </c>
    </row>
    <row r="325" spans="1:28" ht="13.9" customHeight="1" x14ac:dyDescent="0.3">
      <c r="A325" s="30" t="s">
        <v>20</v>
      </c>
      <c r="B325" s="30" t="s">
        <v>21</v>
      </c>
      <c r="C325" s="30" t="s">
        <v>22</v>
      </c>
      <c r="D325" s="30" t="s">
        <v>23</v>
      </c>
      <c r="E325" s="30" t="s">
        <v>434</v>
      </c>
      <c r="F325" s="31" t="s">
        <v>434</v>
      </c>
      <c r="G325" s="30" t="s">
        <v>26</v>
      </c>
      <c r="H325" s="30" t="s">
        <v>36</v>
      </c>
      <c r="I325" s="30">
        <v>3</v>
      </c>
      <c r="J325" s="30" t="s">
        <v>37</v>
      </c>
      <c r="K325" s="30" t="s">
        <v>38</v>
      </c>
      <c r="L325" s="32">
        <v>106.35854</v>
      </c>
      <c r="M325" s="32">
        <v>10.495939999999999</v>
      </c>
      <c r="N325" s="32" t="s">
        <v>278</v>
      </c>
      <c r="O325" s="33">
        <v>0</v>
      </c>
      <c r="P325" s="30" t="s">
        <v>39</v>
      </c>
      <c r="Q325" s="30" t="s">
        <v>31</v>
      </c>
      <c r="R325" s="34" t="s">
        <v>47</v>
      </c>
      <c r="S325" s="35">
        <v>48010</v>
      </c>
      <c r="T325" s="36" t="s">
        <v>370</v>
      </c>
      <c r="U325" s="30" t="s">
        <v>370</v>
      </c>
      <c r="V325" s="37" t="e">
        <v>#N/A</v>
      </c>
      <c r="W325" s="31" t="s">
        <v>33</v>
      </c>
      <c r="X325" s="37"/>
      <c r="Y325" s="37">
        <f>COUNTIF(F:F,F325)</f>
        <v>1</v>
      </c>
      <c r="Z325" s="21" t="s">
        <v>1102</v>
      </c>
      <c r="AA325" s="21" t="s">
        <v>370</v>
      </c>
      <c r="AB325" s="21" t="s">
        <v>1119</v>
      </c>
    </row>
    <row r="326" spans="1:28" s="22" customFormat="1" ht="13.5" customHeight="1" x14ac:dyDescent="0.3">
      <c r="A326" s="30" t="s">
        <v>20</v>
      </c>
      <c r="B326" s="30" t="s">
        <v>21</v>
      </c>
      <c r="C326" s="30" t="s">
        <v>22</v>
      </c>
      <c r="D326" s="30" t="s">
        <v>23</v>
      </c>
      <c r="E326" s="30" t="s">
        <v>435</v>
      </c>
      <c r="F326" s="31" t="s">
        <v>435</v>
      </c>
      <c r="G326" s="30" t="s">
        <v>26</v>
      </c>
      <c r="H326" s="30" t="s">
        <v>27</v>
      </c>
      <c r="I326" s="30">
        <v>3</v>
      </c>
      <c r="J326" s="30"/>
      <c r="K326" s="30"/>
      <c r="L326" s="32">
        <v>106.35111999999999</v>
      </c>
      <c r="M326" s="32">
        <v>10.47842</v>
      </c>
      <c r="N326" s="32" t="s">
        <v>278</v>
      </c>
      <c r="O326" s="33">
        <v>0</v>
      </c>
      <c r="P326" s="30" t="s">
        <v>30</v>
      </c>
      <c r="Q326" s="30" t="s">
        <v>31</v>
      </c>
      <c r="R326" s="34" t="s">
        <v>47</v>
      </c>
      <c r="S326" s="35">
        <v>48010</v>
      </c>
      <c r="T326" s="36" t="s">
        <v>370</v>
      </c>
      <c r="U326" s="30" t="s">
        <v>370</v>
      </c>
      <c r="V326" s="37" t="e">
        <v>#N/A</v>
      </c>
      <c r="W326" s="31" t="s">
        <v>33</v>
      </c>
      <c r="X326" s="37"/>
      <c r="Y326" s="37">
        <f>COUNTIF(F:F,F326)</f>
        <v>1</v>
      </c>
      <c r="Z326" s="21" t="s">
        <v>1102</v>
      </c>
      <c r="AA326" s="21" t="s">
        <v>370</v>
      </c>
      <c r="AB326" s="21" t="s">
        <v>1119</v>
      </c>
    </row>
    <row r="327" spans="1:28" ht="13.9" customHeight="1" x14ac:dyDescent="0.3">
      <c r="A327" s="30" t="s">
        <v>20</v>
      </c>
      <c r="B327" s="30" t="s">
        <v>21</v>
      </c>
      <c r="C327" s="30" t="s">
        <v>22</v>
      </c>
      <c r="D327" s="30" t="s">
        <v>23</v>
      </c>
      <c r="E327" s="30" t="s">
        <v>424</v>
      </c>
      <c r="F327" s="31" t="s">
        <v>424</v>
      </c>
      <c r="G327" s="30" t="s">
        <v>26</v>
      </c>
      <c r="H327" s="30" t="s">
        <v>27</v>
      </c>
      <c r="I327" s="30">
        <v>4</v>
      </c>
      <c r="J327" s="30" t="s">
        <v>26</v>
      </c>
      <c r="K327" s="30" t="s">
        <v>269</v>
      </c>
      <c r="L327" s="32">
        <v>106.3608</v>
      </c>
      <c r="M327" s="32">
        <v>10.485910000000001</v>
      </c>
      <c r="N327" s="32" t="s">
        <v>278</v>
      </c>
      <c r="O327" s="33">
        <v>0</v>
      </c>
      <c r="P327" s="30" t="s">
        <v>304</v>
      </c>
      <c r="Q327" s="30" t="s">
        <v>31</v>
      </c>
      <c r="R327" s="34" t="s">
        <v>47</v>
      </c>
      <c r="S327" s="35">
        <v>48010</v>
      </c>
      <c r="T327" s="36" t="s">
        <v>370</v>
      </c>
      <c r="U327" s="30" t="s">
        <v>370</v>
      </c>
      <c r="V327" s="37" t="e">
        <v>#N/A</v>
      </c>
      <c r="W327" s="31" t="s">
        <v>33</v>
      </c>
      <c r="X327" s="37"/>
      <c r="Y327" s="37">
        <f>COUNTIF(F:F,F327)</f>
        <v>1</v>
      </c>
      <c r="Z327" s="21" t="s">
        <v>1102</v>
      </c>
      <c r="AA327" s="21" t="s">
        <v>370</v>
      </c>
      <c r="AB327" s="21" t="s">
        <v>1119</v>
      </c>
    </row>
    <row r="328" spans="1:28" ht="13.9" customHeight="1" x14ac:dyDescent="0.3">
      <c r="A328" s="30" t="s">
        <v>20</v>
      </c>
      <c r="B328" s="30" t="s">
        <v>21</v>
      </c>
      <c r="C328" s="30" t="s">
        <v>22</v>
      </c>
      <c r="D328" s="30" t="s">
        <v>23</v>
      </c>
      <c r="E328" s="30" t="s">
        <v>423</v>
      </c>
      <c r="F328" s="31" t="s">
        <v>423</v>
      </c>
      <c r="G328" s="30" t="s">
        <v>26</v>
      </c>
      <c r="H328" s="30" t="s">
        <v>36</v>
      </c>
      <c r="I328" s="30">
        <v>4</v>
      </c>
      <c r="J328" s="30" t="s">
        <v>26</v>
      </c>
      <c r="K328" s="30" t="s">
        <v>405</v>
      </c>
      <c r="L328" s="32">
        <v>106.35720000000001</v>
      </c>
      <c r="M328" s="32">
        <v>10.479200000000001</v>
      </c>
      <c r="N328" s="32" t="s">
        <v>278</v>
      </c>
      <c r="O328" s="33">
        <v>0</v>
      </c>
      <c r="P328" s="30" t="s">
        <v>271</v>
      </c>
      <c r="Q328" s="30" t="s">
        <v>31</v>
      </c>
      <c r="R328" s="34" t="s">
        <v>47</v>
      </c>
      <c r="S328" s="35">
        <v>48010</v>
      </c>
      <c r="T328" s="36" t="s">
        <v>370</v>
      </c>
      <c r="U328" s="30" t="s">
        <v>370</v>
      </c>
      <c r="V328" s="37" t="e">
        <v>#N/A</v>
      </c>
      <c r="W328" s="31" t="s">
        <v>33</v>
      </c>
      <c r="X328" s="37"/>
      <c r="Y328" s="37">
        <f>COUNTIF(F:F,F328)</f>
        <v>1</v>
      </c>
      <c r="Z328" s="21" t="s">
        <v>1102</v>
      </c>
      <c r="AA328" s="21" t="s">
        <v>370</v>
      </c>
      <c r="AB328" s="21" t="s">
        <v>1119</v>
      </c>
    </row>
    <row r="329" spans="1:28" ht="13.9" customHeight="1" x14ac:dyDescent="0.3">
      <c r="A329" s="30" t="s">
        <v>20</v>
      </c>
      <c r="B329" s="30" t="s">
        <v>21</v>
      </c>
      <c r="C329" s="30" t="s">
        <v>22</v>
      </c>
      <c r="D329" s="30" t="s">
        <v>23</v>
      </c>
      <c r="E329" s="30" t="s">
        <v>454</v>
      </c>
      <c r="F329" s="31" t="s">
        <v>454</v>
      </c>
      <c r="G329" s="30" t="s">
        <v>26</v>
      </c>
      <c r="H329" s="30" t="s">
        <v>36</v>
      </c>
      <c r="I329" s="30">
        <v>3</v>
      </c>
      <c r="J329" s="30" t="s">
        <v>37</v>
      </c>
      <c r="K329" s="30" t="s">
        <v>38</v>
      </c>
      <c r="L329" s="32">
        <v>106.29640000000001</v>
      </c>
      <c r="M329" s="32">
        <v>10.458640000000001</v>
      </c>
      <c r="N329" s="32" t="s">
        <v>451</v>
      </c>
      <c r="O329" s="33">
        <v>0</v>
      </c>
      <c r="P329" s="30" t="s">
        <v>39</v>
      </c>
      <c r="Q329" s="30" t="s">
        <v>31</v>
      </c>
      <c r="R329" s="34" t="s">
        <v>47</v>
      </c>
      <c r="S329" s="35">
        <v>48070</v>
      </c>
      <c r="T329" s="36" t="s">
        <v>452</v>
      </c>
      <c r="U329" s="30" t="s">
        <v>452</v>
      </c>
      <c r="V329" s="37" t="e">
        <v>#N/A</v>
      </c>
      <c r="W329" s="31" t="s">
        <v>33</v>
      </c>
      <c r="X329" s="37"/>
      <c r="Y329" s="37">
        <f>COUNTIF(F:F,F329)</f>
        <v>1</v>
      </c>
      <c r="Z329" s="21" t="s">
        <v>1103</v>
      </c>
      <c r="AA329" s="21" t="s">
        <v>452</v>
      </c>
      <c r="AB329" s="21" t="s">
        <v>1119</v>
      </c>
    </row>
    <row r="330" spans="1:28" ht="13.9" customHeight="1" x14ac:dyDescent="0.3">
      <c r="A330" s="30" t="s">
        <v>20</v>
      </c>
      <c r="B330" s="30" t="s">
        <v>21</v>
      </c>
      <c r="C330" s="30" t="s">
        <v>22</v>
      </c>
      <c r="D330" s="30" t="s">
        <v>23</v>
      </c>
      <c r="E330" s="30" t="s">
        <v>465</v>
      </c>
      <c r="F330" s="31" t="s">
        <v>465</v>
      </c>
      <c r="G330" s="30" t="s">
        <v>26</v>
      </c>
      <c r="H330" s="30" t="s">
        <v>27</v>
      </c>
      <c r="I330" s="30">
        <v>3</v>
      </c>
      <c r="J330" s="30"/>
      <c r="K330" s="30"/>
      <c r="L330" s="32">
        <v>106.23338</v>
      </c>
      <c r="M330" s="32">
        <v>10.44759</v>
      </c>
      <c r="N330" s="32" t="s">
        <v>451</v>
      </c>
      <c r="O330" s="33">
        <v>0</v>
      </c>
      <c r="P330" s="30" t="s">
        <v>41</v>
      </c>
      <c r="Q330" s="30" t="s">
        <v>31</v>
      </c>
      <c r="R330" s="34" t="s">
        <v>47</v>
      </c>
      <c r="S330" s="35">
        <v>48070</v>
      </c>
      <c r="T330" s="36" t="s">
        <v>452</v>
      </c>
      <c r="U330" s="30" t="s">
        <v>452</v>
      </c>
      <c r="V330" s="37" t="e">
        <v>#N/A</v>
      </c>
      <c r="W330" s="31" t="s">
        <v>33</v>
      </c>
      <c r="X330" s="37"/>
      <c r="Y330" s="37">
        <f>COUNTIF(F:F,F330)</f>
        <v>1</v>
      </c>
      <c r="Z330" s="21" t="s">
        <v>1103</v>
      </c>
      <c r="AA330" s="21" t="s">
        <v>452</v>
      </c>
      <c r="AB330" s="21" t="s">
        <v>1119</v>
      </c>
    </row>
    <row r="331" spans="1:28" ht="13.9" customHeight="1" x14ac:dyDescent="0.3">
      <c r="A331" s="30" t="s">
        <v>20</v>
      </c>
      <c r="B331" s="30" t="s">
        <v>21</v>
      </c>
      <c r="C331" s="30" t="s">
        <v>22</v>
      </c>
      <c r="D331" s="30" t="s">
        <v>23</v>
      </c>
      <c r="E331" s="30" t="s">
        <v>466</v>
      </c>
      <c r="F331" s="31" t="s">
        <v>466</v>
      </c>
      <c r="G331" s="30" t="s">
        <v>26</v>
      </c>
      <c r="H331" s="30" t="s">
        <v>27</v>
      </c>
      <c r="I331" s="30">
        <v>4</v>
      </c>
      <c r="J331" s="30"/>
      <c r="K331" s="30"/>
      <c r="L331" s="32">
        <v>106.291</v>
      </c>
      <c r="M331" s="32">
        <v>10.489240000000001</v>
      </c>
      <c r="N331" s="32" t="s">
        <v>451</v>
      </c>
      <c r="O331" s="33">
        <v>0</v>
      </c>
      <c r="P331" s="30" t="s">
        <v>41</v>
      </c>
      <c r="Q331" s="30" t="s">
        <v>31</v>
      </c>
      <c r="R331" s="34" t="s">
        <v>47</v>
      </c>
      <c r="S331" s="35">
        <v>48070</v>
      </c>
      <c r="T331" s="36" t="s">
        <v>452</v>
      </c>
      <c r="U331" s="30" t="s">
        <v>452</v>
      </c>
      <c r="V331" s="37" t="e">
        <v>#N/A</v>
      </c>
      <c r="W331" s="31" t="s">
        <v>33</v>
      </c>
      <c r="X331" s="37"/>
      <c r="Y331" s="37">
        <f>COUNTIF(F:F,F331)</f>
        <v>1</v>
      </c>
      <c r="Z331" s="21" t="s">
        <v>1103</v>
      </c>
      <c r="AA331" s="21" t="s">
        <v>452</v>
      </c>
      <c r="AB331" s="21" t="s">
        <v>1119</v>
      </c>
    </row>
    <row r="332" spans="1:28" ht="13.9" customHeight="1" x14ac:dyDescent="0.3">
      <c r="A332" s="30" t="s">
        <v>20</v>
      </c>
      <c r="B332" s="30" t="s">
        <v>21</v>
      </c>
      <c r="C332" s="30" t="s">
        <v>22</v>
      </c>
      <c r="D332" s="30" t="s">
        <v>23</v>
      </c>
      <c r="E332" s="30" t="s">
        <v>469</v>
      </c>
      <c r="F332" s="31" t="s">
        <v>469</v>
      </c>
      <c r="G332" s="30" t="s">
        <v>26</v>
      </c>
      <c r="H332" s="30" t="s">
        <v>27</v>
      </c>
      <c r="I332" s="30">
        <v>3</v>
      </c>
      <c r="J332" s="30"/>
      <c r="K332" s="30"/>
      <c r="L332" s="32">
        <v>106.26244</v>
      </c>
      <c r="M332" s="32">
        <v>10.456939999999999</v>
      </c>
      <c r="N332" s="32" t="s">
        <v>451</v>
      </c>
      <c r="O332" s="33">
        <v>0</v>
      </c>
      <c r="P332" s="30" t="s">
        <v>30</v>
      </c>
      <c r="Q332" s="30" t="s">
        <v>31</v>
      </c>
      <c r="R332" s="34" t="s">
        <v>47</v>
      </c>
      <c r="S332" s="35">
        <v>48070</v>
      </c>
      <c r="T332" s="36" t="s">
        <v>452</v>
      </c>
      <c r="U332" s="30" t="s">
        <v>452</v>
      </c>
      <c r="V332" s="37" t="e">
        <v>#N/A</v>
      </c>
      <c r="W332" s="31" t="s">
        <v>33</v>
      </c>
      <c r="X332" s="37" t="s">
        <v>42</v>
      </c>
      <c r="Y332" s="37">
        <f>COUNTIF(F:F,F332)</f>
        <v>2</v>
      </c>
      <c r="Z332" s="21" t="s">
        <v>1103</v>
      </c>
      <c r="AA332" s="21" t="s">
        <v>452</v>
      </c>
      <c r="AB332" s="21" t="s">
        <v>1119</v>
      </c>
    </row>
    <row r="333" spans="1:28" ht="13.9" customHeight="1" x14ac:dyDescent="0.3">
      <c r="A333" s="30" t="s">
        <v>20</v>
      </c>
      <c r="B333" s="30" t="s">
        <v>21</v>
      </c>
      <c r="C333" s="30" t="s">
        <v>22</v>
      </c>
      <c r="D333" s="30" t="s">
        <v>23</v>
      </c>
      <c r="E333" s="30" t="s">
        <v>757</v>
      </c>
      <c r="F333" s="31" t="s">
        <v>469</v>
      </c>
      <c r="G333" s="30" t="s">
        <v>26</v>
      </c>
      <c r="H333" s="30" t="s">
        <v>27</v>
      </c>
      <c r="I333" s="30">
        <v>3</v>
      </c>
      <c r="J333" s="30"/>
      <c r="K333" s="30"/>
      <c r="L333" s="32">
        <v>106.279014</v>
      </c>
      <c r="M333" s="32">
        <v>10.447687999999999</v>
      </c>
      <c r="N333" s="32" t="s">
        <v>451</v>
      </c>
      <c r="O333" s="33">
        <v>0</v>
      </c>
      <c r="P333" s="30" t="s">
        <v>30</v>
      </c>
      <c r="Q333" s="30" t="s">
        <v>31</v>
      </c>
      <c r="R333" s="34" t="s">
        <v>47</v>
      </c>
      <c r="S333" s="35">
        <v>48070</v>
      </c>
      <c r="T333" s="36" t="s">
        <v>452</v>
      </c>
      <c r="U333" s="30" t="s">
        <v>452</v>
      </c>
      <c r="V333" s="37" t="s">
        <v>49</v>
      </c>
      <c r="W333" s="31" t="s">
        <v>50</v>
      </c>
      <c r="X333" s="37" t="s">
        <v>52</v>
      </c>
      <c r="Y333" s="37">
        <f>COUNTIF(F:F,F333)</f>
        <v>2</v>
      </c>
      <c r="Z333" s="21" t="s">
        <v>1103</v>
      </c>
      <c r="AA333" s="21" t="s">
        <v>452</v>
      </c>
      <c r="AB333" s="21" t="s">
        <v>1119</v>
      </c>
    </row>
    <row r="334" spans="1:28" ht="13.9" customHeight="1" x14ac:dyDescent="0.3">
      <c r="A334" s="30" t="s">
        <v>20</v>
      </c>
      <c r="B334" s="30" t="s">
        <v>21</v>
      </c>
      <c r="C334" s="30" t="s">
        <v>22</v>
      </c>
      <c r="D334" s="30" t="s">
        <v>23</v>
      </c>
      <c r="E334" s="30" t="s">
        <v>455</v>
      </c>
      <c r="F334" s="31" t="s">
        <v>455</v>
      </c>
      <c r="G334" s="30" t="s">
        <v>26</v>
      </c>
      <c r="H334" s="30" t="s">
        <v>27</v>
      </c>
      <c r="I334" s="30">
        <v>3</v>
      </c>
      <c r="J334" s="30"/>
      <c r="K334" s="30"/>
      <c r="L334" s="32">
        <v>106.32167</v>
      </c>
      <c r="M334" s="32">
        <v>10.503819999999999</v>
      </c>
      <c r="N334" s="32" t="s">
        <v>451</v>
      </c>
      <c r="O334" s="33">
        <v>0</v>
      </c>
      <c r="P334" s="30" t="s">
        <v>30</v>
      </c>
      <c r="Q334" s="30" t="s">
        <v>31</v>
      </c>
      <c r="R334" s="34" t="s">
        <v>47</v>
      </c>
      <c r="S334" s="35">
        <v>48070</v>
      </c>
      <c r="T334" s="36" t="s">
        <v>452</v>
      </c>
      <c r="U334" s="30" t="s">
        <v>452</v>
      </c>
      <c r="V334" s="37" t="e">
        <v>#N/A</v>
      </c>
      <c r="W334" s="31" t="s">
        <v>33</v>
      </c>
      <c r="X334" s="37"/>
      <c r="Y334" s="37">
        <f>COUNTIF(F:F,F334)</f>
        <v>1</v>
      </c>
      <c r="Z334" s="21" t="s">
        <v>1103</v>
      </c>
      <c r="AA334" s="21" t="s">
        <v>452</v>
      </c>
      <c r="AB334" s="21" t="s">
        <v>1119</v>
      </c>
    </row>
    <row r="335" spans="1:28" ht="13.9" customHeight="1" x14ac:dyDescent="0.3">
      <c r="A335" s="30" t="s">
        <v>20</v>
      </c>
      <c r="B335" s="30" t="s">
        <v>21</v>
      </c>
      <c r="C335" s="30" t="s">
        <v>22</v>
      </c>
      <c r="D335" s="30" t="s">
        <v>23</v>
      </c>
      <c r="E335" s="30" t="s">
        <v>456</v>
      </c>
      <c r="F335" s="31" t="s">
        <v>456</v>
      </c>
      <c r="G335" s="30" t="s">
        <v>26</v>
      </c>
      <c r="H335" s="30" t="s">
        <v>36</v>
      </c>
      <c r="I335" s="30">
        <v>4</v>
      </c>
      <c r="J335" s="30" t="s">
        <v>37</v>
      </c>
      <c r="K335" s="30" t="s">
        <v>38</v>
      </c>
      <c r="L335" s="32">
        <v>106.31976</v>
      </c>
      <c r="M335" s="32">
        <v>10.45086</v>
      </c>
      <c r="N335" s="32" t="s">
        <v>451</v>
      </c>
      <c r="O335" s="33">
        <v>0</v>
      </c>
      <c r="P335" s="30" t="s">
        <v>39</v>
      </c>
      <c r="Q335" s="30" t="s">
        <v>31</v>
      </c>
      <c r="R335" s="34" t="s">
        <v>47</v>
      </c>
      <c r="S335" s="35">
        <v>48070</v>
      </c>
      <c r="T335" s="36" t="s">
        <v>452</v>
      </c>
      <c r="U335" s="30" t="s">
        <v>452</v>
      </c>
      <c r="V335" s="37" t="e">
        <v>#N/A</v>
      </c>
      <c r="W335" s="31" t="s">
        <v>33</v>
      </c>
      <c r="X335" s="37"/>
      <c r="Y335" s="37">
        <f>COUNTIF(F:F,F335)</f>
        <v>1</v>
      </c>
      <c r="Z335" s="21" t="s">
        <v>1103</v>
      </c>
      <c r="AA335" s="21" t="s">
        <v>452</v>
      </c>
      <c r="AB335" s="21" t="s">
        <v>1119</v>
      </c>
    </row>
    <row r="336" spans="1:28" ht="13.9" customHeight="1" x14ac:dyDescent="0.3">
      <c r="A336" s="41" t="s">
        <v>20</v>
      </c>
      <c r="B336" s="41" t="s">
        <v>21</v>
      </c>
      <c r="C336" s="41" t="s">
        <v>22</v>
      </c>
      <c r="D336" s="41" t="s">
        <v>23</v>
      </c>
      <c r="E336" s="41" t="s">
        <v>472</v>
      </c>
      <c r="F336" s="31" t="s">
        <v>473</v>
      </c>
      <c r="G336" s="41" t="s">
        <v>26</v>
      </c>
      <c r="H336" s="36" t="s">
        <v>27</v>
      </c>
      <c r="I336" s="36">
        <v>3</v>
      </c>
      <c r="J336" s="36"/>
      <c r="K336" s="36"/>
      <c r="L336" s="38">
        <v>106.20654999999999</v>
      </c>
      <c r="M336" s="38">
        <v>10.44609</v>
      </c>
      <c r="N336" s="38" t="s">
        <v>278</v>
      </c>
      <c r="O336" s="39">
        <v>0</v>
      </c>
      <c r="P336" s="36" t="s">
        <v>30</v>
      </c>
      <c r="Q336" s="41" t="s">
        <v>31</v>
      </c>
      <c r="R336" s="42" t="s">
        <v>47</v>
      </c>
      <c r="S336" s="35">
        <v>48010</v>
      </c>
      <c r="T336" s="39" t="s">
        <v>474</v>
      </c>
      <c r="U336" s="30" t="s">
        <v>452</v>
      </c>
      <c r="V336" s="37" t="e">
        <v>#N/A</v>
      </c>
      <c r="W336" s="31" t="s">
        <v>63</v>
      </c>
      <c r="X336" s="37" t="s">
        <v>52</v>
      </c>
      <c r="Y336" s="37">
        <f>COUNTIF(F:F,F336)</f>
        <v>2</v>
      </c>
      <c r="Z336" s="21" t="s">
        <v>1103</v>
      </c>
      <c r="AA336" s="21" t="s">
        <v>452</v>
      </c>
      <c r="AB336" s="21" t="s">
        <v>1119</v>
      </c>
    </row>
    <row r="337" spans="1:28" ht="13.9" customHeight="1" x14ac:dyDescent="0.3">
      <c r="A337" s="30" t="s">
        <v>20</v>
      </c>
      <c r="B337" s="30" t="s">
        <v>21</v>
      </c>
      <c r="C337" s="30" t="s">
        <v>22</v>
      </c>
      <c r="D337" s="30" t="s">
        <v>23</v>
      </c>
      <c r="E337" s="30" t="s">
        <v>473</v>
      </c>
      <c r="F337" s="31" t="s">
        <v>473</v>
      </c>
      <c r="G337" s="30" t="s">
        <v>26</v>
      </c>
      <c r="H337" s="30" t="s">
        <v>27</v>
      </c>
      <c r="I337" s="30">
        <v>4</v>
      </c>
      <c r="J337" s="30"/>
      <c r="K337" s="30"/>
      <c r="L337" s="32">
        <v>106.21716379999999</v>
      </c>
      <c r="M337" s="32">
        <v>10.463243200000001</v>
      </c>
      <c r="N337" s="32" t="s">
        <v>451</v>
      </c>
      <c r="O337" s="33">
        <v>0</v>
      </c>
      <c r="P337" s="30" t="s">
        <v>30</v>
      </c>
      <c r="Q337" s="30" t="s">
        <v>31</v>
      </c>
      <c r="R337" s="34" t="s">
        <v>47</v>
      </c>
      <c r="S337" s="35">
        <v>48070</v>
      </c>
      <c r="T337" s="39" t="s">
        <v>452</v>
      </c>
      <c r="U337" s="30" t="s">
        <v>452</v>
      </c>
      <c r="V337" s="37" t="e">
        <v>#N/A</v>
      </c>
      <c r="W337" s="31" t="s">
        <v>33</v>
      </c>
      <c r="X337" s="37" t="s">
        <v>42</v>
      </c>
      <c r="Y337" s="37">
        <f>COUNTIF(F:F,F337)</f>
        <v>2</v>
      </c>
      <c r="Z337" s="21" t="s">
        <v>1103</v>
      </c>
      <c r="AA337" s="21" t="s">
        <v>452</v>
      </c>
      <c r="AB337" s="21" t="s">
        <v>1119</v>
      </c>
    </row>
    <row r="338" spans="1:28" ht="13.9" customHeight="1" x14ac:dyDescent="0.3">
      <c r="A338" s="30" t="s">
        <v>20</v>
      </c>
      <c r="B338" s="30" t="s">
        <v>21</v>
      </c>
      <c r="C338" s="30" t="s">
        <v>22</v>
      </c>
      <c r="D338" s="30" t="s">
        <v>23</v>
      </c>
      <c r="E338" s="30" t="s">
        <v>475</v>
      </c>
      <c r="F338" s="31" t="s">
        <v>475</v>
      </c>
      <c r="G338" s="30" t="s">
        <v>26</v>
      </c>
      <c r="H338" s="30" t="s">
        <v>36</v>
      </c>
      <c r="I338" s="30">
        <v>3</v>
      </c>
      <c r="J338" s="30" t="s">
        <v>26</v>
      </c>
      <c r="K338" s="30" t="s">
        <v>405</v>
      </c>
      <c r="L338" s="32">
        <v>106.30813999999999</v>
      </c>
      <c r="M338" s="32">
        <v>10.47667</v>
      </c>
      <c r="N338" s="32" t="s">
        <v>451</v>
      </c>
      <c r="O338" s="33">
        <v>0</v>
      </c>
      <c r="P338" s="30" t="s">
        <v>271</v>
      </c>
      <c r="Q338" s="30" t="s">
        <v>31</v>
      </c>
      <c r="R338" s="34" t="s">
        <v>47</v>
      </c>
      <c r="S338" s="35">
        <v>48070</v>
      </c>
      <c r="T338" s="36" t="s">
        <v>452</v>
      </c>
      <c r="U338" s="30" t="s">
        <v>452</v>
      </c>
      <c r="V338" s="37" t="e">
        <v>#N/A</v>
      </c>
      <c r="W338" s="31" t="s">
        <v>33</v>
      </c>
      <c r="X338" s="37" t="s">
        <v>42</v>
      </c>
      <c r="Y338" s="37">
        <f>COUNTIF(F:F,F338)</f>
        <v>2</v>
      </c>
      <c r="Z338" s="21" t="s">
        <v>1103</v>
      </c>
      <c r="AA338" s="21" t="s">
        <v>452</v>
      </c>
      <c r="AB338" s="21" t="s">
        <v>1119</v>
      </c>
    </row>
    <row r="339" spans="1:28" ht="13.9" customHeight="1" x14ac:dyDescent="0.3">
      <c r="A339" s="36" t="s">
        <v>20</v>
      </c>
      <c r="B339" s="36" t="s">
        <v>21</v>
      </c>
      <c r="C339" s="36" t="s">
        <v>22</v>
      </c>
      <c r="D339" s="36" t="s">
        <v>23</v>
      </c>
      <c r="E339" s="36" t="s">
        <v>476</v>
      </c>
      <c r="F339" s="31" t="s">
        <v>475</v>
      </c>
      <c r="G339" s="36" t="s">
        <v>26</v>
      </c>
      <c r="H339" s="36" t="s">
        <v>36</v>
      </c>
      <c r="I339" s="36">
        <v>3</v>
      </c>
      <c r="J339" s="36" t="s">
        <v>37</v>
      </c>
      <c r="K339" s="36" t="s">
        <v>38</v>
      </c>
      <c r="L339" s="38">
        <v>106.31468</v>
      </c>
      <c r="M339" s="38">
        <v>10.477130000000001</v>
      </c>
      <c r="N339" s="38" t="s">
        <v>451</v>
      </c>
      <c r="O339" s="39">
        <v>0</v>
      </c>
      <c r="P339" s="36" t="s">
        <v>39</v>
      </c>
      <c r="Q339" s="30" t="s">
        <v>31</v>
      </c>
      <c r="R339" s="40" t="s">
        <v>47</v>
      </c>
      <c r="S339" s="35">
        <v>48070</v>
      </c>
      <c r="T339" s="36" t="s">
        <v>452</v>
      </c>
      <c r="U339" s="30" t="s">
        <v>452</v>
      </c>
      <c r="V339" s="37" t="e">
        <v>#N/A</v>
      </c>
      <c r="W339" s="31" t="s">
        <v>63</v>
      </c>
      <c r="X339" s="37" t="s">
        <v>52</v>
      </c>
      <c r="Y339" s="37">
        <f>COUNTIF(F:F,F339)</f>
        <v>2</v>
      </c>
      <c r="Z339" s="21" t="s">
        <v>1103</v>
      </c>
      <c r="AA339" s="21" t="s">
        <v>452</v>
      </c>
      <c r="AB339" s="21" t="s">
        <v>1119</v>
      </c>
    </row>
    <row r="340" spans="1:28" ht="13.9" customHeight="1" x14ac:dyDescent="0.3">
      <c r="A340" s="30" t="s">
        <v>20</v>
      </c>
      <c r="B340" s="30" t="s">
        <v>21</v>
      </c>
      <c r="C340" s="30" t="s">
        <v>22</v>
      </c>
      <c r="D340" s="30" t="s">
        <v>23</v>
      </c>
      <c r="E340" s="30" t="s">
        <v>477</v>
      </c>
      <c r="F340" s="31" t="s">
        <v>477</v>
      </c>
      <c r="G340" s="30" t="s">
        <v>26</v>
      </c>
      <c r="H340" s="30" t="s">
        <v>36</v>
      </c>
      <c r="I340" s="30">
        <v>4</v>
      </c>
      <c r="J340" s="30" t="s">
        <v>37</v>
      </c>
      <c r="K340" s="30" t="s">
        <v>38</v>
      </c>
      <c r="L340" s="32">
        <v>106.3087</v>
      </c>
      <c r="M340" s="32">
        <v>10.4712</v>
      </c>
      <c r="N340" s="32" t="s">
        <v>451</v>
      </c>
      <c r="O340" s="33">
        <v>0</v>
      </c>
      <c r="P340" s="30" t="s">
        <v>39</v>
      </c>
      <c r="Q340" s="30" t="s">
        <v>31</v>
      </c>
      <c r="R340" s="34" t="s">
        <v>47</v>
      </c>
      <c r="S340" s="35">
        <v>48070</v>
      </c>
      <c r="T340" s="36" t="s">
        <v>452</v>
      </c>
      <c r="U340" s="30" t="s">
        <v>452</v>
      </c>
      <c r="V340" s="37" t="e">
        <v>#N/A</v>
      </c>
      <c r="W340" s="31" t="s">
        <v>33</v>
      </c>
      <c r="X340" s="37" t="s">
        <v>42</v>
      </c>
      <c r="Y340" s="37">
        <f>COUNTIF(F:F,F340)</f>
        <v>2</v>
      </c>
      <c r="Z340" s="21" t="s">
        <v>1103</v>
      </c>
      <c r="AA340" s="21" t="s">
        <v>452</v>
      </c>
      <c r="AB340" s="21" t="s">
        <v>1119</v>
      </c>
    </row>
    <row r="341" spans="1:28" ht="13.9" customHeight="1" x14ac:dyDescent="0.3">
      <c r="A341" s="36" t="s">
        <v>20</v>
      </c>
      <c r="B341" s="36" t="s">
        <v>21</v>
      </c>
      <c r="C341" s="36" t="s">
        <v>22</v>
      </c>
      <c r="D341" s="36" t="s">
        <v>23</v>
      </c>
      <c r="E341" s="36" t="s">
        <v>478</v>
      </c>
      <c r="F341" s="31" t="s">
        <v>477</v>
      </c>
      <c r="G341" s="36" t="s">
        <v>26</v>
      </c>
      <c r="H341" s="36" t="s">
        <v>36</v>
      </c>
      <c r="I341" s="36">
        <v>3</v>
      </c>
      <c r="J341" s="36" t="s">
        <v>37</v>
      </c>
      <c r="K341" s="36" t="s">
        <v>38</v>
      </c>
      <c r="L341" s="38">
        <v>106.30569010000001</v>
      </c>
      <c r="M341" s="38">
        <v>10.4669398</v>
      </c>
      <c r="N341" s="38" t="s">
        <v>451</v>
      </c>
      <c r="O341" s="39">
        <v>0</v>
      </c>
      <c r="P341" s="36" t="s">
        <v>39</v>
      </c>
      <c r="Q341" s="30" t="s">
        <v>31</v>
      </c>
      <c r="R341" s="40" t="s">
        <v>47</v>
      </c>
      <c r="S341" s="35">
        <v>48070</v>
      </c>
      <c r="T341" s="36" t="s">
        <v>452</v>
      </c>
      <c r="U341" s="30" t="s">
        <v>452</v>
      </c>
      <c r="V341" s="37" t="e">
        <v>#N/A</v>
      </c>
      <c r="W341" s="31" t="s">
        <v>63</v>
      </c>
      <c r="X341" s="37" t="s">
        <v>52</v>
      </c>
      <c r="Y341" s="37">
        <f>COUNTIF(F:F,F341)</f>
        <v>2</v>
      </c>
      <c r="Z341" s="21" t="s">
        <v>1103</v>
      </c>
      <c r="AA341" s="21" t="s">
        <v>452</v>
      </c>
      <c r="AB341" s="21" t="s">
        <v>1119</v>
      </c>
    </row>
    <row r="342" spans="1:28" ht="13.9" customHeight="1" x14ac:dyDescent="0.3">
      <c r="A342" s="30" t="s">
        <v>20</v>
      </c>
      <c r="B342" s="30" t="s">
        <v>21</v>
      </c>
      <c r="C342" s="30" t="s">
        <v>22</v>
      </c>
      <c r="D342" s="30" t="s">
        <v>23</v>
      </c>
      <c r="E342" s="30" t="s">
        <v>479</v>
      </c>
      <c r="F342" s="31" t="s">
        <v>479</v>
      </c>
      <c r="G342" s="30" t="s">
        <v>26</v>
      </c>
      <c r="H342" s="30" t="s">
        <v>36</v>
      </c>
      <c r="I342" s="30">
        <v>3</v>
      </c>
      <c r="J342" s="30" t="s">
        <v>37</v>
      </c>
      <c r="K342" s="30" t="s">
        <v>38</v>
      </c>
      <c r="L342" s="32">
        <v>106.29464</v>
      </c>
      <c r="M342" s="32">
        <v>10.47627</v>
      </c>
      <c r="N342" s="32" t="s">
        <v>451</v>
      </c>
      <c r="O342" s="33">
        <v>0</v>
      </c>
      <c r="P342" s="30" t="s">
        <v>39</v>
      </c>
      <c r="Q342" s="30" t="s">
        <v>31</v>
      </c>
      <c r="R342" s="34" t="s">
        <v>47</v>
      </c>
      <c r="S342" s="35">
        <v>48070</v>
      </c>
      <c r="T342" s="36" t="s">
        <v>452</v>
      </c>
      <c r="U342" s="30" t="s">
        <v>452</v>
      </c>
      <c r="V342" s="37" t="e">
        <v>#N/A</v>
      </c>
      <c r="W342" s="31" t="s">
        <v>33</v>
      </c>
      <c r="X342" s="37" t="s">
        <v>42</v>
      </c>
      <c r="Y342" s="37">
        <f>COUNTIF(F:F,F342)</f>
        <v>2</v>
      </c>
      <c r="Z342" s="21" t="s">
        <v>1103</v>
      </c>
      <c r="AA342" s="21" t="s">
        <v>452</v>
      </c>
      <c r="AB342" s="21" t="s">
        <v>1119</v>
      </c>
    </row>
    <row r="343" spans="1:28" ht="13.9" customHeight="1" x14ac:dyDescent="0.3">
      <c r="A343" s="30" t="s">
        <v>20</v>
      </c>
      <c r="B343" s="30" t="s">
        <v>21</v>
      </c>
      <c r="C343" s="30" t="s">
        <v>22</v>
      </c>
      <c r="D343" s="30" t="s">
        <v>23</v>
      </c>
      <c r="E343" s="30" t="s">
        <v>480</v>
      </c>
      <c r="F343" s="31" t="s">
        <v>479</v>
      </c>
      <c r="G343" s="30" t="s">
        <v>26</v>
      </c>
      <c r="H343" s="30" t="s">
        <v>36</v>
      </c>
      <c r="I343" s="30">
        <v>3</v>
      </c>
      <c r="J343" s="30" t="s">
        <v>37</v>
      </c>
      <c r="K343" s="30" t="s">
        <v>38</v>
      </c>
      <c r="L343" s="32">
        <v>106.3087</v>
      </c>
      <c r="M343" s="32">
        <v>10.4574</v>
      </c>
      <c r="N343" s="32" t="s">
        <v>451</v>
      </c>
      <c r="O343" s="33">
        <v>0</v>
      </c>
      <c r="P343" s="30" t="s">
        <v>39</v>
      </c>
      <c r="Q343" s="30" t="s">
        <v>31</v>
      </c>
      <c r="R343" s="34" t="s">
        <v>47</v>
      </c>
      <c r="S343" s="35">
        <v>48070</v>
      </c>
      <c r="T343" s="36" t="s">
        <v>452</v>
      </c>
      <c r="U343" s="30" t="s">
        <v>452</v>
      </c>
      <c r="V343" s="37" t="e">
        <v>#N/A</v>
      </c>
      <c r="W343" s="31" t="s">
        <v>63</v>
      </c>
      <c r="X343" s="37" t="s">
        <v>52</v>
      </c>
      <c r="Y343" s="37">
        <f>COUNTIF(F:F,F343)</f>
        <v>2</v>
      </c>
      <c r="Z343" s="21" t="s">
        <v>1103</v>
      </c>
      <c r="AA343" s="21" t="s">
        <v>452</v>
      </c>
      <c r="AB343" s="21" t="s">
        <v>1119</v>
      </c>
    </row>
    <row r="344" spans="1:28" ht="13.9" customHeight="1" x14ac:dyDescent="0.3">
      <c r="A344" s="30" t="s">
        <v>20</v>
      </c>
      <c r="B344" s="30" t="s">
        <v>21</v>
      </c>
      <c r="C344" s="30" t="s">
        <v>22</v>
      </c>
      <c r="D344" s="30" t="s">
        <v>23</v>
      </c>
      <c r="E344" s="30" t="s">
        <v>467</v>
      </c>
      <c r="F344" s="60" t="s">
        <v>467</v>
      </c>
      <c r="G344" s="30" t="s">
        <v>26</v>
      </c>
      <c r="H344" s="30" t="s">
        <v>27</v>
      </c>
      <c r="I344" s="30">
        <v>3</v>
      </c>
      <c r="J344" s="30"/>
      <c r="K344" s="30"/>
      <c r="L344" s="32">
        <v>106.26439999999999</v>
      </c>
      <c r="M344" s="32">
        <v>10.4373</v>
      </c>
      <c r="N344" s="32" t="s">
        <v>451</v>
      </c>
      <c r="O344" s="33">
        <v>0</v>
      </c>
      <c r="P344" s="30" t="s">
        <v>60</v>
      </c>
      <c r="Q344" s="30" t="s">
        <v>31</v>
      </c>
      <c r="R344" s="34" t="s">
        <v>47</v>
      </c>
      <c r="S344" s="35">
        <v>48070</v>
      </c>
      <c r="T344" s="36" t="s">
        <v>452</v>
      </c>
      <c r="U344" s="30" t="s">
        <v>452</v>
      </c>
      <c r="V344" s="37" t="e">
        <v>#N/A</v>
      </c>
      <c r="W344" s="31" t="s">
        <v>33</v>
      </c>
      <c r="X344" s="37"/>
      <c r="Y344" s="37">
        <f>COUNTIF(F:F,F344)</f>
        <v>1</v>
      </c>
      <c r="Z344" s="21" t="s">
        <v>1103</v>
      </c>
      <c r="AA344" s="21" t="s">
        <v>452</v>
      </c>
      <c r="AB344" s="21" t="s">
        <v>1119</v>
      </c>
    </row>
    <row r="345" spans="1:28" ht="13.9" customHeight="1" x14ac:dyDescent="0.3">
      <c r="A345" s="30" t="s">
        <v>20</v>
      </c>
      <c r="B345" s="30" t="s">
        <v>21</v>
      </c>
      <c r="C345" s="30" t="s">
        <v>22</v>
      </c>
      <c r="D345" s="30" t="s">
        <v>23</v>
      </c>
      <c r="E345" s="30" t="s">
        <v>453</v>
      </c>
      <c r="F345" s="60" t="s">
        <v>453</v>
      </c>
      <c r="G345" s="30" t="s">
        <v>26</v>
      </c>
      <c r="H345" s="30" t="s">
        <v>27</v>
      </c>
      <c r="I345" s="30">
        <v>4</v>
      </c>
      <c r="J345" s="30" t="s">
        <v>26</v>
      </c>
      <c r="K345" s="30" t="s">
        <v>269</v>
      </c>
      <c r="L345" s="32">
        <v>106.31148</v>
      </c>
      <c r="M345" s="32">
        <v>10.46264</v>
      </c>
      <c r="N345" s="32" t="s">
        <v>451</v>
      </c>
      <c r="O345" s="33">
        <v>0</v>
      </c>
      <c r="P345" s="30" t="s">
        <v>304</v>
      </c>
      <c r="Q345" s="30" t="s">
        <v>31</v>
      </c>
      <c r="R345" s="34" t="s">
        <v>47</v>
      </c>
      <c r="S345" s="35">
        <v>48070</v>
      </c>
      <c r="T345" s="36" t="s">
        <v>452</v>
      </c>
      <c r="U345" s="30" t="s">
        <v>452</v>
      </c>
      <c r="V345" s="37" t="e">
        <v>#N/A</v>
      </c>
      <c r="W345" s="31" t="s">
        <v>33</v>
      </c>
      <c r="X345" s="37"/>
      <c r="Y345" s="37">
        <f>COUNTIF(F:F,F345)</f>
        <v>1</v>
      </c>
      <c r="Z345" s="21" t="s">
        <v>1103</v>
      </c>
      <c r="AA345" s="21" t="s">
        <v>452</v>
      </c>
      <c r="AB345" s="21" t="s">
        <v>1119</v>
      </c>
    </row>
    <row r="346" spans="1:28" ht="13.9" customHeight="1" x14ac:dyDescent="0.3">
      <c r="A346" s="30" t="s">
        <v>20</v>
      </c>
      <c r="B346" s="30" t="s">
        <v>21</v>
      </c>
      <c r="C346" s="30" t="s">
        <v>22</v>
      </c>
      <c r="D346" s="30" t="s">
        <v>23</v>
      </c>
      <c r="E346" s="30" t="s">
        <v>460</v>
      </c>
      <c r="F346" s="60" t="s">
        <v>460</v>
      </c>
      <c r="G346" s="30" t="s">
        <v>26</v>
      </c>
      <c r="H346" s="30" t="s">
        <v>27</v>
      </c>
      <c r="I346" s="30">
        <v>3</v>
      </c>
      <c r="J346" s="30" t="s">
        <v>37</v>
      </c>
      <c r="K346" s="30" t="s">
        <v>38</v>
      </c>
      <c r="L346" s="32">
        <v>106.3183804</v>
      </c>
      <c r="M346" s="32">
        <v>10.476016700000001</v>
      </c>
      <c r="N346" s="32" t="s">
        <v>451</v>
      </c>
      <c r="O346" s="33">
        <v>0</v>
      </c>
      <c r="P346" s="30" t="s">
        <v>41</v>
      </c>
      <c r="Q346" s="30" t="s">
        <v>31</v>
      </c>
      <c r="R346" s="34" t="s">
        <v>47</v>
      </c>
      <c r="S346" s="35">
        <v>48070</v>
      </c>
      <c r="T346" s="36" t="s">
        <v>452</v>
      </c>
      <c r="U346" s="30" t="s">
        <v>452</v>
      </c>
      <c r="V346" s="37" t="e">
        <v>#N/A</v>
      </c>
      <c r="W346" s="31" t="s">
        <v>33</v>
      </c>
      <c r="X346" s="37"/>
      <c r="Y346" s="37">
        <f>COUNTIF(F:F,F346)</f>
        <v>1</v>
      </c>
      <c r="Z346" s="21" t="s">
        <v>1103</v>
      </c>
      <c r="AA346" s="21" t="s">
        <v>452</v>
      </c>
      <c r="AB346" s="21" t="s">
        <v>1119</v>
      </c>
    </row>
    <row r="347" spans="1:28" ht="13.9" customHeight="1" x14ac:dyDescent="0.3">
      <c r="A347" s="30" t="s">
        <v>20</v>
      </c>
      <c r="B347" s="30" t="s">
        <v>21</v>
      </c>
      <c r="C347" s="30" t="s">
        <v>22</v>
      </c>
      <c r="D347" s="30" t="s">
        <v>23</v>
      </c>
      <c r="E347" s="30" t="s">
        <v>450</v>
      </c>
      <c r="F347" s="60" t="s">
        <v>450</v>
      </c>
      <c r="G347" s="30" t="s">
        <v>26</v>
      </c>
      <c r="H347" s="30" t="s">
        <v>36</v>
      </c>
      <c r="I347" s="30">
        <v>3</v>
      </c>
      <c r="J347" s="30" t="s">
        <v>26</v>
      </c>
      <c r="K347" s="30" t="s">
        <v>405</v>
      </c>
      <c r="L347" s="32">
        <v>106.31808409999999</v>
      </c>
      <c r="M347" s="32">
        <v>10.467079200000001</v>
      </c>
      <c r="N347" s="32" t="s">
        <v>451</v>
      </c>
      <c r="O347" s="33">
        <v>0</v>
      </c>
      <c r="P347" s="30" t="s">
        <v>271</v>
      </c>
      <c r="Q347" s="30" t="s">
        <v>31</v>
      </c>
      <c r="R347" s="34" t="s">
        <v>47</v>
      </c>
      <c r="S347" s="35">
        <v>48070</v>
      </c>
      <c r="T347" s="36" t="s">
        <v>452</v>
      </c>
      <c r="U347" s="30" t="s">
        <v>452</v>
      </c>
      <c r="V347" s="37" t="e">
        <v>#N/A</v>
      </c>
      <c r="W347" s="31" t="s">
        <v>33</v>
      </c>
      <c r="X347" s="37"/>
      <c r="Y347" s="37">
        <f>COUNTIF(F:F,F347)</f>
        <v>1</v>
      </c>
      <c r="Z347" s="21" t="s">
        <v>1103</v>
      </c>
      <c r="AA347" s="21" t="s">
        <v>452</v>
      </c>
      <c r="AB347" s="21" t="s">
        <v>1119</v>
      </c>
    </row>
    <row r="348" spans="1:28" ht="13.9" customHeight="1" x14ac:dyDescent="0.3">
      <c r="A348" s="30" t="s">
        <v>20</v>
      </c>
      <c r="B348" s="30" t="s">
        <v>21</v>
      </c>
      <c r="C348" s="30" t="s">
        <v>22</v>
      </c>
      <c r="D348" s="30" t="s">
        <v>23</v>
      </c>
      <c r="E348" s="30" t="s">
        <v>461</v>
      </c>
      <c r="F348" s="60" t="s">
        <v>461</v>
      </c>
      <c r="G348" s="30" t="s">
        <v>26</v>
      </c>
      <c r="H348" s="30" t="s">
        <v>27</v>
      </c>
      <c r="I348" s="30">
        <v>4</v>
      </c>
      <c r="J348" s="30" t="s">
        <v>37</v>
      </c>
      <c r="K348" s="30" t="s">
        <v>38</v>
      </c>
      <c r="L348" s="32">
        <v>106.31959999999999</v>
      </c>
      <c r="M348" s="32">
        <v>10.472</v>
      </c>
      <c r="N348" s="32" t="s">
        <v>451</v>
      </c>
      <c r="O348" s="33">
        <v>0</v>
      </c>
      <c r="P348" s="30" t="s">
        <v>41</v>
      </c>
      <c r="Q348" s="30" t="s">
        <v>31</v>
      </c>
      <c r="R348" s="34" t="s">
        <v>47</v>
      </c>
      <c r="S348" s="35">
        <v>48070</v>
      </c>
      <c r="T348" s="36" t="s">
        <v>452</v>
      </c>
      <c r="U348" s="30" t="s">
        <v>452</v>
      </c>
      <c r="V348" s="37" t="e">
        <v>#N/A</v>
      </c>
      <c r="W348" s="31" t="s">
        <v>33</v>
      </c>
      <c r="X348" s="37"/>
      <c r="Y348" s="37">
        <f>COUNTIF(F:F,F348)</f>
        <v>1</v>
      </c>
      <c r="Z348" s="21" t="s">
        <v>1103</v>
      </c>
      <c r="AA348" s="21" t="s">
        <v>452</v>
      </c>
      <c r="AB348" s="21" t="s">
        <v>1119</v>
      </c>
    </row>
    <row r="349" spans="1:28" ht="13.9" customHeight="1" x14ac:dyDescent="0.3">
      <c r="A349" s="30" t="s">
        <v>20</v>
      </c>
      <c r="B349" s="30" t="s">
        <v>21</v>
      </c>
      <c r="C349" s="30" t="s">
        <v>22</v>
      </c>
      <c r="D349" s="30" t="s">
        <v>23</v>
      </c>
      <c r="E349" s="30" t="s">
        <v>462</v>
      </c>
      <c r="F349" s="60" t="s">
        <v>462</v>
      </c>
      <c r="G349" s="30" t="s">
        <v>26</v>
      </c>
      <c r="H349" s="30" t="s">
        <v>27</v>
      </c>
      <c r="I349" s="30">
        <v>4</v>
      </c>
      <c r="J349" s="30" t="s">
        <v>37</v>
      </c>
      <c r="K349" s="30" t="s">
        <v>38</v>
      </c>
      <c r="L349" s="32">
        <v>106.30338999999999</v>
      </c>
      <c r="M349" s="32">
        <v>10.46227</v>
      </c>
      <c r="N349" s="32" t="s">
        <v>451</v>
      </c>
      <c r="O349" s="33">
        <v>0</v>
      </c>
      <c r="P349" s="30" t="s">
        <v>41</v>
      </c>
      <c r="Q349" s="30" t="s">
        <v>31</v>
      </c>
      <c r="R349" s="34" t="s">
        <v>47</v>
      </c>
      <c r="S349" s="35">
        <v>48070</v>
      </c>
      <c r="T349" s="36" t="s">
        <v>452</v>
      </c>
      <c r="U349" s="30" t="s">
        <v>452</v>
      </c>
      <c r="V349" s="37" t="e">
        <v>#N/A</v>
      </c>
      <c r="W349" s="31" t="s">
        <v>33</v>
      </c>
      <c r="X349" s="37"/>
      <c r="Y349" s="37">
        <f>COUNTIF(F:F,F349)</f>
        <v>1</v>
      </c>
      <c r="Z349" s="21" t="s">
        <v>1103</v>
      </c>
      <c r="AA349" s="21" t="s">
        <v>452</v>
      </c>
      <c r="AB349" s="21" t="s">
        <v>1119</v>
      </c>
    </row>
    <row r="350" spans="1:28" ht="13.9" customHeight="1" x14ac:dyDescent="0.3">
      <c r="A350" s="30" t="s">
        <v>20</v>
      </c>
      <c r="B350" s="30" t="s">
        <v>21</v>
      </c>
      <c r="C350" s="30" t="s">
        <v>22</v>
      </c>
      <c r="D350" s="30" t="s">
        <v>23</v>
      </c>
      <c r="E350" s="30" t="s">
        <v>463</v>
      </c>
      <c r="F350" s="60" t="s">
        <v>463</v>
      </c>
      <c r="G350" s="30" t="s">
        <v>26</v>
      </c>
      <c r="H350" s="30" t="s">
        <v>36</v>
      </c>
      <c r="I350" s="30">
        <v>3</v>
      </c>
      <c r="J350" s="30" t="s">
        <v>37</v>
      </c>
      <c r="K350" s="30" t="s">
        <v>38</v>
      </c>
      <c r="L350" s="32">
        <v>106.31898</v>
      </c>
      <c r="M350" s="32">
        <v>10.46313</v>
      </c>
      <c r="N350" s="32" t="s">
        <v>451</v>
      </c>
      <c r="O350" s="33">
        <v>0</v>
      </c>
      <c r="P350" s="30" t="s">
        <v>39</v>
      </c>
      <c r="Q350" s="30" t="s">
        <v>31</v>
      </c>
      <c r="R350" s="34" t="s">
        <v>47</v>
      </c>
      <c r="S350" s="35">
        <v>48070</v>
      </c>
      <c r="T350" s="36" t="s">
        <v>452</v>
      </c>
      <c r="U350" s="30" t="s">
        <v>452</v>
      </c>
      <c r="V350" s="37" t="e">
        <v>#N/A</v>
      </c>
      <c r="W350" s="31" t="s">
        <v>33</v>
      </c>
      <c r="X350" s="37"/>
      <c r="Y350" s="37">
        <f>COUNTIF(F:F,F350)</f>
        <v>1</v>
      </c>
      <c r="Z350" s="21" t="s">
        <v>1103</v>
      </c>
      <c r="AA350" s="21" t="s">
        <v>452</v>
      </c>
      <c r="AB350" s="21" t="s">
        <v>1119</v>
      </c>
    </row>
    <row r="351" spans="1:28" ht="13.9" customHeight="1" x14ac:dyDescent="0.3">
      <c r="A351" s="30" t="s">
        <v>20</v>
      </c>
      <c r="B351" s="30" t="s">
        <v>21</v>
      </c>
      <c r="C351" s="30" t="s">
        <v>22</v>
      </c>
      <c r="D351" s="30" t="s">
        <v>23</v>
      </c>
      <c r="E351" s="30" t="s">
        <v>468</v>
      </c>
      <c r="F351" s="60" t="s">
        <v>468</v>
      </c>
      <c r="G351" s="30" t="s">
        <v>26</v>
      </c>
      <c r="H351" s="30" t="s">
        <v>27</v>
      </c>
      <c r="I351" s="30">
        <v>3</v>
      </c>
      <c r="J351" s="30"/>
      <c r="K351" s="30"/>
      <c r="L351" s="32">
        <v>106.2717</v>
      </c>
      <c r="M351" s="32">
        <v>10.4856</v>
      </c>
      <c r="N351" s="32" t="s">
        <v>451</v>
      </c>
      <c r="O351" s="33">
        <v>0</v>
      </c>
      <c r="P351" s="30" t="s">
        <v>60</v>
      </c>
      <c r="Q351" s="30" t="s">
        <v>31</v>
      </c>
      <c r="R351" s="34" t="s">
        <v>47</v>
      </c>
      <c r="S351" s="35">
        <v>48070</v>
      </c>
      <c r="T351" s="36" t="s">
        <v>452</v>
      </c>
      <c r="U351" s="30" t="s">
        <v>452</v>
      </c>
      <c r="V351" s="37" t="e">
        <v>#N/A</v>
      </c>
      <c r="W351" s="31" t="s">
        <v>33</v>
      </c>
      <c r="X351" s="37"/>
      <c r="Y351" s="37">
        <f>COUNTIF(F:F,F351)</f>
        <v>1</v>
      </c>
      <c r="Z351" s="21" t="s">
        <v>1103</v>
      </c>
      <c r="AA351" s="21" t="s">
        <v>452</v>
      </c>
      <c r="AB351" s="21" t="s">
        <v>1119</v>
      </c>
    </row>
    <row r="352" spans="1:28" ht="13.9" customHeight="1" x14ac:dyDescent="0.3">
      <c r="A352" s="30" t="s">
        <v>20</v>
      </c>
      <c r="B352" s="30" t="s">
        <v>21</v>
      </c>
      <c r="C352" s="30" t="s">
        <v>22</v>
      </c>
      <c r="D352" s="30" t="s">
        <v>23</v>
      </c>
      <c r="E352" s="30" t="s">
        <v>464</v>
      </c>
      <c r="F352" s="31" t="s">
        <v>464</v>
      </c>
      <c r="G352" s="30" t="s">
        <v>26</v>
      </c>
      <c r="H352" s="30" t="s">
        <v>27</v>
      </c>
      <c r="I352" s="30">
        <v>3</v>
      </c>
      <c r="J352" s="30"/>
      <c r="K352" s="30"/>
      <c r="L352" s="32">
        <v>106.24442999999999</v>
      </c>
      <c r="M352" s="32">
        <v>10.46733</v>
      </c>
      <c r="N352" s="32" t="s">
        <v>451</v>
      </c>
      <c r="O352" s="33">
        <v>0</v>
      </c>
      <c r="P352" s="30" t="s">
        <v>30</v>
      </c>
      <c r="Q352" s="30" t="s">
        <v>31</v>
      </c>
      <c r="R352" s="34" t="s">
        <v>47</v>
      </c>
      <c r="S352" s="35">
        <v>48070</v>
      </c>
      <c r="T352" s="36" t="s">
        <v>452</v>
      </c>
      <c r="U352" s="30" t="s">
        <v>452</v>
      </c>
      <c r="V352" s="37" t="e">
        <v>#N/A</v>
      </c>
      <c r="W352" s="31" t="s">
        <v>33</v>
      </c>
      <c r="X352" s="37"/>
      <c r="Y352" s="37">
        <f>COUNTIF(F:F,F352)</f>
        <v>1</v>
      </c>
      <c r="Z352" s="21" t="s">
        <v>1103</v>
      </c>
      <c r="AA352" s="21" t="s">
        <v>452</v>
      </c>
      <c r="AB352" s="21" t="s">
        <v>1119</v>
      </c>
    </row>
    <row r="353" spans="1:28" ht="13.9" customHeight="1" x14ac:dyDescent="0.3">
      <c r="A353" s="30" t="s">
        <v>20</v>
      </c>
      <c r="B353" s="30" t="s">
        <v>21</v>
      </c>
      <c r="C353" s="30" t="s">
        <v>22</v>
      </c>
      <c r="D353" s="30" t="s">
        <v>23</v>
      </c>
      <c r="E353" s="30" t="s">
        <v>481</v>
      </c>
      <c r="F353" s="31" t="s">
        <v>481</v>
      </c>
      <c r="G353" s="30" t="s">
        <v>26</v>
      </c>
      <c r="H353" s="30" t="s">
        <v>36</v>
      </c>
      <c r="I353" s="30">
        <v>4</v>
      </c>
      <c r="J353" s="30" t="s">
        <v>37</v>
      </c>
      <c r="K353" s="30" t="s">
        <v>38</v>
      </c>
      <c r="L353" s="32">
        <v>106.1962</v>
      </c>
      <c r="M353" s="32">
        <v>10.47369</v>
      </c>
      <c r="N353" s="32" t="s">
        <v>451</v>
      </c>
      <c r="O353" s="33">
        <v>0</v>
      </c>
      <c r="P353" s="30" t="s">
        <v>39</v>
      </c>
      <c r="Q353" s="30" t="s">
        <v>31</v>
      </c>
      <c r="R353" s="34" t="s">
        <v>47</v>
      </c>
      <c r="S353" s="35">
        <v>48070</v>
      </c>
      <c r="T353" s="36" t="s">
        <v>482</v>
      </c>
      <c r="U353" s="30" t="s">
        <v>482</v>
      </c>
      <c r="V353" s="37" t="e">
        <v>#N/A</v>
      </c>
      <c r="W353" s="31" t="s">
        <v>33</v>
      </c>
      <c r="X353" s="37"/>
      <c r="Y353" s="37">
        <f>COUNTIF(F:F,F353)</f>
        <v>1</v>
      </c>
      <c r="Z353" s="21" t="s">
        <v>1103</v>
      </c>
      <c r="AA353" s="21" t="s">
        <v>482</v>
      </c>
      <c r="AB353" s="21" t="s">
        <v>1119</v>
      </c>
    </row>
    <row r="354" spans="1:28" s="22" customFormat="1" ht="13.9" customHeight="1" x14ac:dyDescent="0.3">
      <c r="A354" s="30" t="s">
        <v>20</v>
      </c>
      <c r="B354" s="30" t="s">
        <v>21</v>
      </c>
      <c r="C354" s="30" t="s">
        <v>22</v>
      </c>
      <c r="D354" s="30" t="s">
        <v>23</v>
      </c>
      <c r="E354" s="30" t="s">
        <v>483</v>
      </c>
      <c r="F354" s="31" t="s">
        <v>483</v>
      </c>
      <c r="G354" s="30" t="s">
        <v>26</v>
      </c>
      <c r="H354" s="30" t="s">
        <v>27</v>
      </c>
      <c r="I354" s="30">
        <v>3</v>
      </c>
      <c r="J354" s="30" t="s">
        <v>37</v>
      </c>
      <c r="K354" s="30" t="s">
        <v>38</v>
      </c>
      <c r="L354" s="32">
        <v>106.33076</v>
      </c>
      <c r="M354" s="32">
        <v>10.54138</v>
      </c>
      <c r="N354" s="32" t="s">
        <v>451</v>
      </c>
      <c r="O354" s="33">
        <v>0</v>
      </c>
      <c r="P354" s="30" t="s">
        <v>41</v>
      </c>
      <c r="Q354" s="30" t="s">
        <v>31</v>
      </c>
      <c r="R354" s="34" t="s">
        <v>47</v>
      </c>
      <c r="S354" s="35">
        <v>48070</v>
      </c>
      <c r="T354" s="36" t="s">
        <v>482</v>
      </c>
      <c r="U354" s="30" t="s">
        <v>482</v>
      </c>
      <c r="V354" s="37" t="e">
        <v>#N/A</v>
      </c>
      <c r="W354" s="31" t="s">
        <v>33</v>
      </c>
      <c r="X354" s="37"/>
      <c r="Y354" s="37">
        <f>COUNTIF(F:F,F354)</f>
        <v>1</v>
      </c>
      <c r="Z354" s="21" t="s">
        <v>1103</v>
      </c>
      <c r="AA354" s="21" t="s">
        <v>482</v>
      </c>
      <c r="AB354" s="21" t="s">
        <v>1119</v>
      </c>
    </row>
    <row r="355" spans="1:28" ht="13.9" customHeight="1" x14ac:dyDescent="0.3">
      <c r="A355" s="30" t="s">
        <v>20</v>
      </c>
      <c r="B355" s="30" t="s">
        <v>21</v>
      </c>
      <c r="C355" s="30" t="s">
        <v>22</v>
      </c>
      <c r="D355" s="30" t="s">
        <v>23</v>
      </c>
      <c r="E355" s="30" t="s">
        <v>484</v>
      </c>
      <c r="F355" s="31" t="s">
        <v>484</v>
      </c>
      <c r="G355" s="30" t="s">
        <v>26</v>
      </c>
      <c r="H355" s="30" t="s">
        <v>27</v>
      </c>
      <c r="I355" s="30">
        <v>3</v>
      </c>
      <c r="J355" s="30"/>
      <c r="K355" s="30"/>
      <c r="L355" s="32">
        <v>106.23900999999999</v>
      </c>
      <c r="M355" s="32">
        <v>10.495039999999999</v>
      </c>
      <c r="N355" s="32" t="s">
        <v>451</v>
      </c>
      <c r="O355" s="33">
        <v>0</v>
      </c>
      <c r="P355" s="30" t="s">
        <v>30</v>
      </c>
      <c r="Q355" s="30" t="s">
        <v>31</v>
      </c>
      <c r="R355" s="34" t="s">
        <v>47</v>
      </c>
      <c r="S355" s="35">
        <v>48070</v>
      </c>
      <c r="T355" s="36" t="s">
        <v>482</v>
      </c>
      <c r="U355" s="30" t="s">
        <v>482</v>
      </c>
      <c r="V355" s="37" t="e">
        <v>#N/A</v>
      </c>
      <c r="W355" s="31" t="s">
        <v>33</v>
      </c>
      <c r="X355" s="37"/>
      <c r="Y355" s="37">
        <f>COUNTIF(F:F,F355)</f>
        <v>1</v>
      </c>
      <c r="Z355" s="21" t="s">
        <v>1103</v>
      </c>
      <c r="AA355" s="21" t="s">
        <v>482</v>
      </c>
      <c r="AB355" s="21" t="s">
        <v>1119</v>
      </c>
    </row>
    <row r="356" spans="1:28" ht="13.9" customHeight="1" x14ac:dyDescent="0.3">
      <c r="A356" s="30" t="s">
        <v>20</v>
      </c>
      <c r="B356" s="30" t="s">
        <v>21</v>
      </c>
      <c r="C356" s="30" t="s">
        <v>22</v>
      </c>
      <c r="D356" s="30" t="s">
        <v>23</v>
      </c>
      <c r="E356" s="30" t="s">
        <v>507</v>
      </c>
      <c r="F356" s="31" t="s">
        <v>507</v>
      </c>
      <c r="G356" s="30" t="s">
        <v>26</v>
      </c>
      <c r="H356" s="30" t="s">
        <v>27</v>
      </c>
      <c r="I356" s="30">
        <v>3</v>
      </c>
      <c r="J356" s="30" t="s">
        <v>37</v>
      </c>
      <c r="K356" s="30" t="s">
        <v>38</v>
      </c>
      <c r="L356" s="32">
        <v>106.33712</v>
      </c>
      <c r="M356" s="32">
        <v>10.534750000000001</v>
      </c>
      <c r="N356" s="32" t="s">
        <v>451</v>
      </c>
      <c r="O356" s="33">
        <v>0</v>
      </c>
      <c r="P356" s="30" t="s">
        <v>41</v>
      </c>
      <c r="Q356" s="30" t="s">
        <v>31</v>
      </c>
      <c r="R356" s="34" t="s">
        <v>47</v>
      </c>
      <c r="S356" s="35">
        <v>48070</v>
      </c>
      <c r="T356" s="36" t="s">
        <v>482</v>
      </c>
      <c r="U356" s="30" t="s">
        <v>482</v>
      </c>
      <c r="V356" s="37" t="e">
        <v>#N/A</v>
      </c>
      <c r="W356" s="31" t="s">
        <v>33</v>
      </c>
      <c r="X356" s="37" t="s">
        <v>42</v>
      </c>
      <c r="Y356" s="37">
        <f>COUNTIF(F:F,F356)</f>
        <v>3</v>
      </c>
      <c r="Z356" s="21" t="s">
        <v>1103</v>
      </c>
      <c r="AA356" s="21" t="s">
        <v>482</v>
      </c>
      <c r="AB356" s="21" t="s">
        <v>1119</v>
      </c>
    </row>
    <row r="357" spans="1:28" ht="13.9" customHeight="1" x14ac:dyDescent="0.3">
      <c r="A357" s="36" t="s">
        <v>20</v>
      </c>
      <c r="B357" s="36" t="s">
        <v>21</v>
      </c>
      <c r="C357" s="36" t="s">
        <v>22</v>
      </c>
      <c r="D357" s="36" t="s">
        <v>23</v>
      </c>
      <c r="E357" s="36" t="s">
        <v>508</v>
      </c>
      <c r="F357" s="31" t="s">
        <v>507</v>
      </c>
      <c r="G357" s="36" t="s">
        <v>26</v>
      </c>
      <c r="H357" s="36" t="s">
        <v>27</v>
      </c>
      <c r="I357" s="36">
        <v>3</v>
      </c>
      <c r="J357" s="36"/>
      <c r="K357" s="36"/>
      <c r="L357" s="38">
        <v>106.32594</v>
      </c>
      <c r="M357" s="38">
        <v>10.52181</v>
      </c>
      <c r="N357" s="38" t="s">
        <v>451</v>
      </c>
      <c r="O357" s="39">
        <v>0</v>
      </c>
      <c r="P357" s="36" t="s">
        <v>30</v>
      </c>
      <c r="Q357" s="30" t="s">
        <v>31</v>
      </c>
      <c r="R357" s="40" t="s">
        <v>47</v>
      </c>
      <c r="S357" s="35">
        <v>48070</v>
      </c>
      <c r="T357" s="36" t="s">
        <v>482</v>
      </c>
      <c r="U357" s="30" t="s">
        <v>482</v>
      </c>
      <c r="V357" s="37" t="e">
        <v>#N/A</v>
      </c>
      <c r="W357" s="31" t="s">
        <v>63</v>
      </c>
      <c r="X357" s="37" t="s">
        <v>52</v>
      </c>
      <c r="Y357" s="37">
        <f>COUNTIF(F:F,F357)</f>
        <v>3</v>
      </c>
      <c r="Z357" s="21" t="s">
        <v>1103</v>
      </c>
      <c r="AA357" s="21" t="s">
        <v>482</v>
      </c>
      <c r="AB357" s="21" t="s">
        <v>1119</v>
      </c>
    </row>
    <row r="358" spans="1:28" ht="13.9" customHeight="1" x14ac:dyDescent="0.3">
      <c r="A358" s="36" t="s">
        <v>20</v>
      </c>
      <c r="B358" s="36" t="s">
        <v>21</v>
      </c>
      <c r="C358" s="36" t="s">
        <v>22</v>
      </c>
      <c r="D358" s="36" t="s">
        <v>23</v>
      </c>
      <c r="E358" s="36" t="s">
        <v>509</v>
      </c>
      <c r="F358" s="31" t="s">
        <v>507</v>
      </c>
      <c r="G358" s="36" t="s">
        <v>26</v>
      </c>
      <c r="H358" s="36" t="s">
        <v>27</v>
      </c>
      <c r="I358" s="36">
        <v>3</v>
      </c>
      <c r="J358" s="36"/>
      <c r="K358" s="36"/>
      <c r="L358" s="38">
        <v>106.31619999999999</v>
      </c>
      <c r="M358" s="38">
        <v>10.5572</v>
      </c>
      <c r="N358" s="38" t="s">
        <v>451</v>
      </c>
      <c r="O358" s="39">
        <v>0</v>
      </c>
      <c r="P358" s="36" t="s">
        <v>30</v>
      </c>
      <c r="Q358" s="30" t="s">
        <v>31</v>
      </c>
      <c r="R358" s="40" t="s">
        <v>47</v>
      </c>
      <c r="S358" s="35">
        <v>48070</v>
      </c>
      <c r="T358" s="36" t="s">
        <v>482</v>
      </c>
      <c r="U358" s="30" t="s">
        <v>482</v>
      </c>
      <c r="V358" s="37" t="e">
        <v>#N/A</v>
      </c>
      <c r="W358" s="31" t="s">
        <v>63</v>
      </c>
      <c r="X358" s="37" t="s">
        <v>52</v>
      </c>
      <c r="Y358" s="37">
        <f>COUNTIF(F:F,F358)</f>
        <v>3</v>
      </c>
      <c r="Z358" s="21" t="s">
        <v>1103</v>
      </c>
      <c r="AA358" s="21" t="s">
        <v>482</v>
      </c>
      <c r="AB358" s="21" t="s">
        <v>1119</v>
      </c>
    </row>
    <row r="359" spans="1:28" ht="13.9" customHeight="1" x14ac:dyDescent="0.3">
      <c r="A359" s="30" t="s">
        <v>20</v>
      </c>
      <c r="B359" s="30" t="s">
        <v>21</v>
      </c>
      <c r="C359" s="30" t="s">
        <v>22</v>
      </c>
      <c r="D359" s="30" t="s">
        <v>23</v>
      </c>
      <c r="E359" s="30" t="s">
        <v>494</v>
      </c>
      <c r="F359" s="31" t="s">
        <v>494</v>
      </c>
      <c r="G359" s="30" t="s">
        <v>26</v>
      </c>
      <c r="H359" s="30" t="s">
        <v>27</v>
      </c>
      <c r="I359" s="30">
        <v>3</v>
      </c>
      <c r="J359" s="30"/>
      <c r="K359" s="30"/>
      <c r="L359" s="32">
        <v>106.1970061</v>
      </c>
      <c r="M359" s="32">
        <v>10.579753699999999</v>
      </c>
      <c r="N359" s="32" t="s">
        <v>451</v>
      </c>
      <c r="O359" s="33">
        <v>0</v>
      </c>
      <c r="P359" s="30" t="s">
        <v>60</v>
      </c>
      <c r="Q359" s="30" t="s">
        <v>31</v>
      </c>
      <c r="R359" s="34" t="s">
        <v>47</v>
      </c>
      <c r="S359" s="35">
        <v>48070</v>
      </c>
      <c r="T359" s="36" t="s">
        <v>482</v>
      </c>
      <c r="U359" s="30" t="s">
        <v>482</v>
      </c>
      <c r="V359" s="37" t="e">
        <v>#N/A</v>
      </c>
      <c r="W359" s="31" t="s">
        <v>33</v>
      </c>
      <c r="X359" s="37"/>
      <c r="Y359" s="37">
        <f>COUNTIF(F:F,F359)</f>
        <v>1</v>
      </c>
      <c r="Z359" s="21" t="s">
        <v>1103</v>
      </c>
      <c r="AA359" s="21" t="s">
        <v>482</v>
      </c>
      <c r="AB359" s="21" t="s">
        <v>1119</v>
      </c>
    </row>
    <row r="360" spans="1:28" ht="13.9" customHeight="1" x14ac:dyDescent="0.3">
      <c r="A360" s="30" t="s">
        <v>20</v>
      </c>
      <c r="B360" s="30" t="s">
        <v>21</v>
      </c>
      <c r="C360" s="30" t="s">
        <v>22</v>
      </c>
      <c r="D360" s="30" t="s">
        <v>23</v>
      </c>
      <c r="E360" s="30" t="s">
        <v>485</v>
      </c>
      <c r="F360" s="31" t="s">
        <v>485</v>
      </c>
      <c r="G360" s="30" t="s">
        <v>26</v>
      </c>
      <c r="H360" s="30" t="s">
        <v>27</v>
      </c>
      <c r="I360" s="30">
        <v>3</v>
      </c>
      <c r="J360" s="30" t="s">
        <v>37</v>
      </c>
      <c r="K360" s="30" t="s">
        <v>38</v>
      </c>
      <c r="L360" s="32">
        <v>106.28740000000001</v>
      </c>
      <c r="M360" s="32">
        <v>10.52112</v>
      </c>
      <c r="N360" s="32" t="s">
        <v>451</v>
      </c>
      <c r="O360" s="33">
        <v>0</v>
      </c>
      <c r="P360" s="30" t="s">
        <v>41</v>
      </c>
      <c r="Q360" s="30" t="s">
        <v>31</v>
      </c>
      <c r="R360" s="34" t="s">
        <v>47</v>
      </c>
      <c r="S360" s="35">
        <v>48070</v>
      </c>
      <c r="T360" s="36" t="s">
        <v>482</v>
      </c>
      <c r="U360" s="30" t="s">
        <v>482</v>
      </c>
      <c r="V360" s="37" t="e">
        <v>#N/A</v>
      </c>
      <c r="W360" s="31" t="s">
        <v>33</v>
      </c>
      <c r="X360" s="37"/>
      <c r="Y360" s="37">
        <f>COUNTIF(F:F,F360)</f>
        <v>1</v>
      </c>
      <c r="Z360" s="21" t="s">
        <v>1103</v>
      </c>
      <c r="AA360" s="21" t="s">
        <v>482</v>
      </c>
      <c r="AB360" s="21" t="s">
        <v>1119</v>
      </c>
    </row>
    <row r="361" spans="1:28" ht="13.9" customHeight="1" x14ac:dyDescent="0.3">
      <c r="A361" s="30" t="s">
        <v>20</v>
      </c>
      <c r="B361" s="30" t="s">
        <v>21</v>
      </c>
      <c r="C361" s="30" t="s">
        <v>22</v>
      </c>
      <c r="D361" s="30" t="s">
        <v>23</v>
      </c>
      <c r="E361" s="30" t="s">
        <v>486</v>
      </c>
      <c r="F361" s="31" t="s">
        <v>486</v>
      </c>
      <c r="G361" s="30" t="s">
        <v>26</v>
      </c>
      <c r="H361" s="30" t="s">
        <v>27</v>
      </c>
      <c r="I361" s="30">
        <v>3</v>
      </c>
      <c r="J361" s="30"/>
      <c r="K361" s="30"/>
      <c r="L361" s="32">
        <v>106.2528367</v>
      </c>
      <c r="M361" s="32">
        <v>10.5458728</v>
      </c>
      <c r="N361" s="32" t="s">
        <v>451</v>
      </c>
      <c r="O361" s="33">
        <v>0</v>
      </c>
      <c r="P361" s="30" t="s">
        <v>30</v>
      </c>
      <c r="Q361" s="30" t="s">
        <v>31</v>
      </c>
      <c r="R361" s="34" t="s">
        <v>47</v>
      </c>
      <c r="S361" s="35">
        <v>48070</v>
      </c>
      <c r="T361" s="36" t="s">
        <v>482</v>
      </c>
      <c r="U361" s="30" t="s">
        <v>482</v>
      </c>
      <c r="V361" s="37" t="e">
        <v>#N/A</v>
      </c>
      <c r="W361" s="31" t="s">
        <v>33</v>
      </c>
      <c r="X361" s="37"/>
      <c r="Y361" s="37">
        <f>COUNTIF(F:F,F361)</f>
        <v>1</v>
      </c>
      <c r="Z361" s="21" t="s">
        <v>1103</v>
      </c>
      <c r="AA361" s="21" t="s">
        <v>482</v>
      </c>
      <c r="AB361" s="21" t="s">
        <v>1119</v>
      </c>
    </row>
    <row r="362" spans="1:28" ht="13.9" customHeight="1" x14ac:dyDescent="0.3">
      <c r="A362" s="30" t="s">
        <v>20</v>
      </c>
      <c r="B362" s="30" t="s">
        <v>21</v>
      </c>
      <c r="C362" s="30" t="s">
        <v>22</v>
      </c>
      <c r="D362" s="30" t="s">
        <v>23</v>
      </c>
      <c r="E362" s="30" t="s">
        <v>487</v>
      </c>
      <c r="F362" s="31" t="s">
        <v>487</v>
      </c>
      <c r="G362" s="30" t="s">
        <v>26</v>
      </c>
      <c r="H362" s="30" t="s">
        <v>27</v>
      </c>
      <c r="I362" s="30">
        <v>3</v>
      </c>
      <c r="J362" s="30"/>
      <c r="K362" s="30"/>
      <c r="L362" s="32">
        <v>106.1940791</v>
      </c>
      <c r="M362" s="32">
        <v>10.503965000000001</v>
      </c>
      <c r="N362" s="32" t="s">
        <v>451</v>
      </c>
      <c r="O362" s="33">
        <v>0</v>
      </c>
      <c r="P362" s="30" t="s">
        <v>30</v>
      </c>
      <c r="Q362" s="30" t="s">
        <v>31</v>
      </c>
      <c r="R362" s="34" t="s">
        <v>47</v>
      </c>
      <c r="S362" s="35">
        <v>48070</v>
      </c>
      <c r="T362" s="36" t="s">
        <v>482</v>
      </c>
      <c r="U362" s="30" t="s">
        <v>482</v>
      </c>
      <c r="V362" s="37" t="e">
        <v>#N/A</v>
      </c>
      <c r="W362" s="31" t="s">
        <v>33</v>
      </c>
      <c r="X362" s="37"/>
      <c r="Y362" s="37">
        <f>COUNTIF(F:F,F362)</f>
        <v>1</v>
      </c>
      <c r="Z362" s="21" t="s">
        <v>1103</v>
      </c>
      <c r="AA362" s="21" t="s">
        <v>482</v>
      </c>
      <c r="AB362" s="21" t="s">
        <v>1119</v>
      </c>
    </row>
    <row r="363" spans="1:28" ht="13.9" customHeight="1" x14ac:dyDescent="0.3">
      <c r="A363" s="30" t="s">
        <v>20</v>
      </c>
      <c r="B363" s="30" t="s">
        <v>21</v>
      </c>
      <c r="C363" s="30" t="s">
        <v>22</v>
      </c>
      <c r="D363" s="30" t="s">
        <v>23</v>
      </c>
      <c r="E363" s="30" t="s">
        <v>495</v>
      </c>
      <c r="F363" s="31" t="s">
        <v>496</v>
      </c>
      <c r="G363" s="30" t="s">
        <v>26</v>
      </c>
      <c r="H363" s="30" t="s">
        <v>27</v>
      </c>
      <c r="I363" s="30">
        <v>3</v>
      </c>
      <c r="J363" s="30"/>
      <c r="K363" s="30"/>
      <c r="L363" s="32">
        <v>106.14979</v>
      </c>
      <c r="M363" s="32">
        <v>10.485519999999999</v>
      </c>
      <c r="N363" s="32" t="s">
        <v>451</v>
      </c>
      <c r="O363" s="33">
        <v>0</v>
      </c>
      <c r="P363" s="30" t="s">
        <v>60</v>
      </c>
      <c r="Q363" s="30" t="s">
        <v>31</v>
      </c>
      <c r="R363" s="34" t="s">
        <v>47</v>
      </c>
      <c r="S363" s="35">
        <v>48070</v>
      </c>
      <c r="T363" s="36" t="s">
        <v>497</v>
      </c>
      <c r="U363" s="30" t="s">
        <v>482</v>
      </c>
      <c r="V363" s="37" t="e">
        <v>#N/A</v>
      </c>
      <c r="W363" s="31" t="s">
        <v>33</v>
      </c>
      <c r="X363" s="37"/>
      <c r="Y363" s="37">
        <f>COUNTIF(F:F,F363)</f>
        <v>1</v>
      </c>
      <c r="Z363" s="21" t="s">
        <v>1103</v>
      </c>
      <c r="AA363" s="21" t="s">
        <v>482</v>
      </c>
      <c r="AB363" s="21" t="s">
        <v>1119</v>
      </c>
    </row>
    <row r="364" spans="1:28" ht="13.9" customHeight="1" x14ac:dyDescent="0.3">
      <c r="A364" s="30" t="s">
        <v>20</v>
      </c>
      <c r="B364" s="30" t="s">
        <v>21</v>
      </c>
      <c r="C364" s="30" t="s">
        <v>22</v>
      </c>
      <c r="D364" s="30" t="s">
        <v>23</v>
      </c>
      <c r="E364" s="30" t="s">
        <v>498</v>
      </c>
      <c r="F364" s="31" t="s">
        <v>498</v>
      </c>
      <c r="G364" s="30" t="s">
        <v>26</v>
      </c>
      <c r="H364" s="30" t="s">
        <v>27</v>
      </c>
      <c r="I364" s="30">
        <v>3</v>
      </c>
      <c r="J364" s="30"/>
      <c r="K364" s="30"/>
      <c r="L364" s="32">
        <v>106.30959</v>
      </c>
      <c r="M364" s="32">
        <v>10.531739999999999</v>
      </c>
      <c r="N364" s="32" t="s">
        <v>451</v>
      </c>
      <c r="O364" s="33">
        <v>0</v>
      </c>
      <c r="P364" s="30" t="s">
        <v>60</v>
      </c>
      <c r="Q364" s="30" t="s">
        <v>31</v>
      </c>
      <c r="R364" s="34" t="s">
        <v>47</v>
      </c>
      <c r="S364" s="35">
        <v>48070</v>
      </c>
      <c r="T364" s="36" t="s">
        <v>482</v>
      </c>
      <c r="U364" s="30" t="s">
        <v>482</v>
      </c>
      <c r="V364" s="37" t="e">
        <v>#N/A</v>
      </c>
      <c r="W364" s="31" t="s">
        <v>33</v>
      </c>
      <c r="X364" s="37"/>
      <c r="Y364" s="37">
        <f>COUNTIF(F:F,F364)</f>
        <v>1</v>
      </c>
      <c r="Z364" s="21" t="s">
        <v>1103</v>
      </c>
      <c r="AA364" s="21" t="s">
        <v>482</v>
      </c>
      <c r="AB364" s="21" t="s">
        <v>1119</v>
      </c>
    </row>
    <row r="365" spans="1:28" ht="13.9" customHeight="1" x14ac:dyDescent="0.3">
      <c r="A365" s="30" t="s">
        <v>20</v>
      </c>
      <c r="B365" s="30" t="s">
        <v>21</v>
      </c>
      <c r="C365" s="30" t="s">
        <v>22</v>
      </c>
      <c r="D365" s="30" t="s">
        <v>23</v>
      </c>
      <c r="E365" s="30" t="s">
        <v>488</v>
      </c>
      <c r="F365" s="31" t="s">
        <v>488</v>
      </c>
      <c r="G365" s="30" t="s">
        <v>26</v>
      </c>
      <c r="H365" s="30" t="s">
        <v>27</v>
      </c>
      <c r="I365" s="30">
        <v>3</v>
      </c>
      <c r="J365" s="30"/>
      <c r="K365" s="30"/>
      <c r="L365" s="32">
        <v>106.19741</v>
      </c>
      <c r="M365" s="32">
        <v>10.55251</v>
      </c>
      <c r="N365" s="32" t="s">
        <v>451</v>
      </c>
      <c r="O365" s="33">
        <v>0</v>
      </c>
      <c r="P365" s="30" t="s">
        <v>30</v>
      </c>
      <c r="Q365" s="30" t="s">
        <v>31</v>
      </c>
      <c r="R365" s="34" t="s">
        <v>47</v>
      </c>
      <c r="S365" s="35">
        <v>48070</v>
      </c>
      <c r="T365" s="36" t="s">
        <v>482</v>
      </c>
      <c r="U365" s="30" t="s">
        <v>482</v>
      </c>
      <c r="V365" s="37" t="e">
        <v>#N/A</v>
      </c>
      <c r="W365" s="31" t="s">
        <v>33</v>
      </c>
      <c r="X365" s="37"/>
      <c r="Y365" s="37">
        <f>COUNTIF(F:F,F365)</f>
        <v>1</v>
      </c>
      <c r="Z365" s="21" t="s">
        <v>1103</v>
      </c>
      <c r="AA365" s="21" t="s">
        <v>482</v>
      </c>
      <c r="AB365" s="21" t="s">
        <v>1119</v>
      </c>
    </row>
    <row r="366" spans="1:28" ht="13.9" customHeight="1" x14ac:dyDescent="0.3">
      <c r="A366" s="45" t="s">
        <v>20</v>
      </c>
      <c r="B366" s="45" t="s">
        <v>21</v>
      </c>
      <c r="C366" s="45" t="s">
        <v>500</v>
      </c>
      <c r="D366" s="45" t="s">
        <v>23</v>
      </c>
      <c r="E366" s="64" t="s">
        <v>512</v>
      </c>
      <c r="F366" s="31" t="s">
        <v>511</v>
      </c>
      <c r="G366" s="45" t="s">
        <v>26</v>
      </c>
      <c r="H366" s="45" t="s">
        <v>36</v>
      </c>
      <c r="I366" s="45">
        <v>2</v>
      </c>
      <c r="J366" s="45"/>
      <c r="K366" s="45"/>
      <c r="L366" s="49">
        <v>106.20269999999999</v>
      </c>
      <c r="M366" s="49">
        <v>10.48757</v>
      </c>
      <c r="N366" s="49" t="s">
        <v>503</v>
      </c>
      <c r="O366" s="50">
        <v>0</v>
      </c>
      <c r="P366" s="41" t="s">
        <v>504</v>
      </c>
      <c r="Q366" s="45"/>
      <c r="R366" s="51"/>
      <c r="S366" s="35" t="e">
        <v>#N/A</v>
      </c>
      <c r="T366" s="36" t="s">
        <v>497</v>
      </c>
      <c r="U366" s="30" t="s">
        <v>482</v>
      </c>
      <c r="V366" s="37" t="e">
        <v>#N/A</v>
      </c>
      <c r="W366" s="31" t="s">
        <v>63</v>
      </c>
      <c r="X366" s="37" t="s">
        <v>52</v>
      </c>
      <c r="Y366" s="37">
        <f>COUNTIF(F:F,F366)</f>
        <v>3</v>
      </c>
      <c r="Z366" s="21" t="s">
        <v>1103</v>
      </c>
      <c r="AA366" s="21" t="s">
        <v>482</v>
      </c>
      <c r="AB366" s="21" t="s">
        <v>1119</v>
      </c>
    </row>
    <row r="367" spans="1:28" ht="13.9" customHeight="1" x14ac:dyDescent="0.3">
      <c r="A367" s="36" t="s">
        <v>20</v>
      </c>
      <c r="B367" s="36" t="s">
        <v>21</v>
      </c>
      <c r="C367" s="36" t="s">
        <v>22</v>
      </c>
      <c r="D367" s="36" t="s">
        <v>23</v>
      </c>
      <c r="E367" s="36" t="s">
        <v>510</v>
      </c>
      <c r="F367" s="31" t="s">
        <v>511</v>
      </c>
      <c r="G367" s="36" t="s">
        <v>26</v>
      </c>
      <c r="H367" s="36" t="s">
        <v>27</v>
      </c>
      <c r="I367" s="36">
        <v>3</v>
      </c>
      <c r="J367" s="36"/>
      <c r="K367" s="36"/>
      <c r="L367" s="38">
        <v>106.1981943</v>
      </c>
      <c r="M367" s="38">
        <v>10.5274126</v>
      </c>
      <c r="N367" s="38" t="s">
        <v>451</v>
      </c>
      <c r="O367" s="39">
        <v>0</v>
      </c>
      <c r="P367" s="36" t="s">
        <v>30</v>
      </c>
      <c r="Q367" s="30" t="s">
        <v>31</v>
      </c>
      <c r="R367" s="40" t="s">
        <v>47</v>
      </c>
      <c r="S367" s="35">
        <v>48070</v>
      </c>
      <c r="T367" s="36" t="s">
        <v>482</v>
      </c>
      <c r="U367" s="30" t="s">
        <v>482</v>
      </c>
      <c r="V367" s="37" t="e">
        <v>#N/A</v>
      </c>
      <c r="W367" s="31" t="s">
        <v>63</v>
      </c>
      <c r="X367" s="37" t="s">
        <v>52</v>
      </c>
      <c r="Y367" s="37">
        <f>COUNTIF(F:F,F367)</f>
        <v>3</v>
      </c>
      <c r="Z367" s="21" t="s">
        <v>1103</v>
      </c>
      <c r="AA367" s="21" t="s">
        <v>482</v>
      </c>
      <c r="AB367" s="21" t="s">
        <v>1119</v>
      </c>
    </row>
    <row r="368" spans="1:28" ht="13.9" customHeight="1" x14ac:dyDescent="0.3">
      <c r="A368" s="30" t="s">
        <v>20</v>
      </c>
      <c r="B368" s="30" t="s">
        <v>21</v>
      </c>
      <c r="C368" s="30" t="s">
        <v>22</v>
      </c>
      <c r="D368" s="30" t="s">
        <v>23</v>
      </c>
      <c r="E368" s="30" t="s">
        <v>511</v>
      </c>
      <c r="F368" s="31" t="s">
        <v>511</v>
      </c>
      <c r="G368" s="30" t="s">
        <v>26</v>
      </c>
      <c r="H368" s="30" t="s">
        <v>27</v>
      </c>
      <c r="I368" s="30">
        <v>3</v>
      </c>
      <c r="J368" s="30" t="s">
        <v>37</v>
      </c>
      <c r="K368" s="30" t="s">
        <v>38</v>
      </c>
      <c r="L368" s="32">
        <v>106.19352000000001</v>
      </c>
      <c r="M368" s="32">
        <v>10.48279</v>
      </c>
      <c r="N368" s="32" t="s">
        <v>451</v>
      </c>
      <c r="O368" s="33">
        <v>0</v>
      </c>
      <c r="P368" s="30" t="s">
        <v>41</v>
      </c>
      <c r="Q368" s="30" t="s">
        <v>31</v>
      </c>
      <c r="R368" s="34" t="s">
        <v>47</v>
      </c>
      <c r="S368" s="35">
        <v>48070</v>
      </c>
      <c r="T368" s="36" t="s">
        <v>482</v>
      </c>
      <c r="U368" s="30" t="s">
        <v>482</v>
      </c>
      <c r="V368" s="37" t="e">
        <v>#N/A</v>
      </c>
      <c r="W368" s="31" t="s">
        <v>33</v>
      </c>
      <c r="X368" s="37" t="s">
        <v>42</v>
      </c>
      <c r="Y368" s="37">
        <f>COUNTIF(F:F,F368)</f>
        <v>3</v>
      </c>
      <c r="Z368" s="21" t="s">
        <v>1103</v>
      </c>
      <c r="AA368" s="21" t="s">
        <v>482</v>
      </c>
      <c r="AB368" s="21" t="s">
        <v>1119</v>
      </c>
    </row>
    <row r="369" spans="1:28" ht="13.9" customHeight="1" x14ac:dyDescent="0.3">
      <c r="A369" s="30" t="s">
        <v>20</v>
      </c>
      <c r="B369" s="30" t="s">
        <v>21</v>
      </c>
      <c r="C369" s="30" t="s">
        <v>22</v>
      </c>
      <c r="D369" s="30" t="s">
        <v>23</v>
      </c>
      <c r="E369" s="30" t="s">
        <v>499</v>
      </c>
      <c r="F369" s="31" t="s">
        <v>499</v>
      </c>
      <c r="G369" s="30" t="s">
        <v>26</v>
      </c>
      <c r="H369" s="30" t="s">
        <v>27</v>
      </c>
      <c r="I369" s="30">
        <v>3</v>
      </c>
      <c r="J369" s="30"/>
      <c r="K369" s="30"/>
      <c r="L369" s="32">
        <v>106.15141269999999</v>
      </c>
      <c r="M369" s="32">
        <v>10.5502748</v>
      </c>
      <c r="N369" s="32" t="s">
        <v>451</v>
      </c>
      <c r="O369" s="33">
        <v>0</v>
      </c>
      <c r="P369" s="30" t="s">
        <v>60</v>
      </c>
      <c r="Q369" s="30" t="s">
        <v>31</v>
      </c>
      <c r="R369" s="34" t="s">
        <v>47</v>
      </c>
      <c r="S369" s="35">
        <v>48070</v>
      </c>
      <c r="T369" s="36" t="s">
        <v>482</v>
      </c>
      <c r="U369" s="30" t="s">
        <v>482</v>
      </c>
      <c r="V369" s="37" t="e">
        <v>#N/A</v>
      </c>
      <c r="W369" s="31" t="s">
        <v>33</v>
      </c>
      <c r="X369" s="37"/>
      <c r="Y369" s="37">
        <f>COUNTIF(F:F,F369)</f>
        <v>1</v>
      </c>
      <c r="Z369" s="21" t="s">
        <v>1103</v>
      </c>
      <c r="AA369" s="21" t="s">
        <v>482</v>
      </c>
      <c r="AB369" s="21" t="s">
        <v>1119</v>
      </c>
    </row>
    <row r="370" spans="1:28" ht="13.9" customHeight="1" x14ac:dyDescent="0.3">
      <c r="A370" s="30" t="s">
        <v>20</v>
      </c>
      <c r="B370" s="30" t="s">
        <v>21</v>
      </c>
      <c r="C370" s="30" t="s">
        <v>22</v>
      </c>
      <c r="D370" s="30" t="s">
        <v>23</v>
      </c>
      <c r="E370" s="30" t="s">
        <v>489</v>
      </c>
      <c r="F370" s="60" t="s">
        <v>489</v>
      </c>
      <c r="G370" s="30" t="s">
        <v>26</v>
      </c>
      <c r="H370" s="30" t="s">
        <v>27</v>
      </c>
      <c r="I370" s="30">
        <v>3</v>
      </c>
      <c r="J370" s="30" t="s">
        <v>37</v>
      </c>
      <c r="K370" s="30" t="s">
        <v>38</v>
      </c>
      <c r="L370" s="32">
        <v>106.2154771</v>
      </c>
      <c r="M370" s="32">
        <v>10.4881759</v>
      </c>
      <c r="N370" s="32" t="s">
        <v>451</v>
      </c>
      <c r="O370" s="33">
        <v>0</v>
      </c>
      <c r="P370" s="30" t="s">
        <v>41</v>
      </c>
      <c r="Q370" s="30" t="s">
        <v>31</v>
      </c>
      <c r="R370" s="34" t="s">
        <v>47</v>
      </c>
      <c r="S370" s="35">
        <v>48070</v>
      </c>
      <c r="T370" s="36" t="s">
        <v>482</v>
      </c>
      <c r="U370" s="30" t="s">
        <v>482</v>
      </c>
      <c r="V370" s="37" t="e">
        <v>#N/A</v>
      </c>
      <c r="W370" s="31" t="s">
        <v>33</v>
      </c>
      <c r="X370" s="37"/>
      <c r="Y370" s="37">
        <f>COUNTIF(F:F,F370)</f>
        <v>1</v>
      </c>
      <c r="Z370" s="21" t="s">
        <v>1103</v>
      </c>
      <c r="AA370" s="21" t="s">
        <v>482</v>
      </c>
      <c r="AB370" s="21" t="s">
        <v>1119</v>
      </c>
    </row>
    <row r="371" spans="1:28" ht="13.9" customHeight="1" x14ac:dyDescent="0.3">
      <c r="A371" s="30" t="s">
        <v>20</v>
      </c>
      <c r="B371" s="30" t="s">
        <v>21</v>
      </c>
      <c r="C371" s="30" t="s">
        <v>22</v>
      </c>
      <c r="D371" s="30" t="s">
        <v>23</v>
      </c>
      <c r="E371" s="30" t="s">
        <v>490</v>
      </c>
      <c r="F371" s="60" t="s">
        <v>490</v>
      </c>
      <c r="G371" s="30" t="s">
        <v>26</v>
      </c>
      <c r="H371" s="30" t="s">
        <v>27</v>
      </c>
      <c r="I371" s="30">
        <v>3</v>
      </c>
      <c r="J371" s="30"/>
      <c r="K371" s="30"/>
      <c r="L371" s="32">
        <v>106.25944</v>
      </c>
      <c r="M371" s="32">
        <v>10.50816</v>
      </c>
      <c r="N371" s="32" t="s">
        <v>451</v>
      </c>
      <c r="O371" s="33">
        <v>0</v>
      </c>
      <c r="P371" s="30" t="s">
        <v>30</v>
      </c>
      <c r="Q371" s="30" t="s">
        <v>31</v>
      </c>
      <c r="R371" s="34" t="s">
        <v>47</v>
      </c>
      <c r="S371" s="35">
        <v>48070</v>
      </c>
      <c r="T371" s="36" t="s">
        <v>482</v>
      </c>
      <c r="U371" s="30" t="s">
        <v>482</v>
      </c>
      <c r="V371" s="37" t="e">
        <v>#N/A</v>
      </c>
      <c r="W371" s="31" t="s">
        <v>33</v>
      </c>
      <c r="X371" s="37"/>
      <c r="Y371" s="37">
        <f>COUNTIF(F:F,F371)</f>
        <v>1</v>
      </c>
      <c r="Z371" s="21" t="s">
        <v>1103</v>
      </c>
      <c r="AA371" s="21" t="s">
        <v>482</v>
      </c>
      <c r="AB371" s="21" t="s">
        <v>1119</v>
      </c>
    </row>
    <row r="372" spans="1:28" ht="13.9" customHeight="1" x14ac:dyDescent="0.3">
      <c r="A372" s="36" t="s">
        <v>20</v>
      </c>
      <c r="B372" s="36" t="s">
        <v>21</v>
      </c>
      <c r="C372" s="36" t="s">
        <v>22</v>
      </c>
      <c r="D372" s="36" t="s">
        <v>23</v>
      </c>
      <c r="E372" s="36" t="s">
        <v>513</v>
      </c>
      <c r="F372" s="31" t="s">
        <v>514</v>
      </c>
      <c r="G372" s="36" t="s">
        <v>26</v>
      </c>
      <c r="H372" s="36" t="s">
        <v>27</v>
      </c>
      <c r="I372" s="36">
        <v>3</v>
      </c>
      <c r="J372" s="36"/>
      <c r="K372" s="36"/>
      <c r="L372" s="38">
        <v>106.26151</v>
      </c>
      <c r="M372" s="38">
        <v>10.58412</v>
      </c>
      <c r="N372" s="38" t="s">
        <v>451</v>
      </c>
      <c r="O372" s="39">
        <v>0</v>
      </c>
      <c r="P372" s="36" t="s">
        <v>30</v>
      </c>
      <c r="Q372" s="30" t="s">
        <v>31</v>
      </c>
      <c r="R372" s="40" t="s">
        <v>47</v>
      </c>
      <c r="S372" s="35">
        <v>48070</v>
      </c>
      <c r="T372" s="36" t="s">
        <v>482</v>
      </c>
      <c r="U372" s="30" t="s">
        <v>482</v>
      </c>
      <c r="V372" s="37" t="e">
        <v>#N/A</v>
      </c>
      <c r="W372" s="31" t="s">
        <v>63</v>
      </c>
      <c r="X372" s="37" t="s">
        <v>52</v>
      </c>
      <c r="Y372" s="37">
        <f>COUNTIF(F:F,F372)</f>
        <v>2</v>
      </c>
      <c r="Z372" s="21" t="s">
        <v>1103</v>
      </c>
      <c r="AA372" s="21" t="s">
        <v>482</v>
      </c>
      <c r="AB372" s="21" t="s">
        <v>1119</v>
      </c>
    </row>
    <row r="373" spans="1:28" ht="13.9" customHeight="1" x14ac:dyDescent="0.3">
      <c r="A373" s="30" t="s">
        <v>20</v>
      </c>
      <c r="B373" s="30" t="s">
        <v>21</v>
      </c>
      <c r="C373" s="30" t="s">
        <v>22</v>
      </c>
      <c r="D373" s="30" t="s">
        <v>23</v>
      </c>
      <c r="E373" s="30" t="s">
        <v>514</v>
      </c>
      <c r="F373" s="31" t="s">
        <v>514</v>
      </c>
      <c r="G373" s="30" t="s">
        <v>26</v>
      </c>
      <c r="H373" s="30" t="s">
        <v>27</v>
      </c>
      <c r="I373" s="30">
        <v>3</v>
      </c>
      <c r="J373" s="30"/>
      <c r="K373" s="30"/>
      <c r="L373" s="32">
        <v>106.22836</v>
      </c>
      <c r="M373" s="32">
        <v>10.58014</v>
      </c>
      <c r="N373" s="32" t="s">
        <v>451</v>
      </c>
      <c r="O373" s="33">
        <v>0</v>
      </c>
      <c r="P373" s="30" t="s">
        <v>30</v>
      </c>
      <c r="Q373" s="30" t="s">
        <v>31</v>
      </c>
      <c r="R373" s="34" t="s">
        <v>47</v>
      </c>
      <c r="S373" s="35">
        <v>48070</v>
      </c>
      <c r="T373" s="36" t="s">
        <v>482</v>
      </c>
      <c r="U373" s="30" t="s">
        <v>482</v>
      </c>
      <c r="V373" s="37" t="e">
        <v>#N/A</v>
      </c>
      <c r="W373" s="31" t="s">
        <v>33</v>
      </c>
      <c r="X373" s="37" t="s">
        <v>42</v>
      </c>
      <c r="Y373" s="37">
        <f>COUNTIF(F:F,F373)</f>
        <v>2</v>
      </c>
      <c r="Z373" s="21" t="s">
        <v>1103</v>
      </c>
      <c r="AA373" s="21" t="s">
        <v>482</v>
      </c>
      <c r="AB373" s="21" t="s">
        <v>1119</v>
      </c>
    </row>
    <row r="374" spans="1:28" ht="13.9" customHeight="1" x14ac:dyDescent="0.3">
      <c r="A374" s="30" t="s">
        <v>20</v>
      </c>
      <c r="B374" s="30" t="s">
        <v>21</v>
      </c>
      <c r="C374" s="30" t="s">
        <v>22</v>
      </c>
      <c r="D374" s="30" t="s">
        <v>23</v>
      </c>
      <c r="E374" s="30" t="s">
        <v>491</v>
      </c>
      <c r="F374" s="31" t="s">
        <v>491</v>
      </c>
      <c r="G374" s="30" t="s">
        <v>26</v>
      </c>
      <c r="H374" s="30" t="s">
        <v>27</v>
      </c>
      <c r="I374" s="30">
        <v>3</v>
      </c>
      <c r="J374" s="30"/>
      <c r="K374" s="30"/>
      <c r="L374" s="32">
        <v>106.12833999999999</v>
      </c>
      <c r="M374" s="32">
        <v>10.520770000000001</v>
      </c>
      <c r="N374" s="32" t="s">
        <v>451</v>
      </c>
      <c r="O374" s="33">
        <v>0</v>
      </c>
      <c r="P374" s="30" t="s">
        <v>30</v>
      </c>
      <c r="Q374" s="30" t="s">
        <v>31</v>
      </c>
      <c r="R374" s="34" t="s">
        <v>47</v>
      </c>
      <c r="S374" s="35">
        <v>48070</v>
      </c>
      <c r="T374" s="36" t="s">
        <v>482</v>
      </c>
      <c r="U374" s="30" t="s">
        <v>482</v>
      </c>
      <c r="V374" s="37" t="e">
        <v>#N/A</v>
      </c>
      <c r="W374" s="31" t="s">
        <v>33</v>
      </c>
      <c r="X374" s="37"/>
      <c r="Y374" s="37">
        <f>COUNTIF(F:F,F374)</f>
        <v>1</v>
      </c>
      <c r="Z374" s="21" t="s">
        <v>1103</v>
      </c>
      <c r="AA374" s="21" t="s">
        <v>482</v>
      </c>
      <c r="AB374" s="21" t="s">
        <v>1119</v>
      </c>
    </row>
    <row r="375" spans="1:28" ht="13.9" customHeight="1" x14ac:dyDescent="0.3">
      <c r="A375" s="30" t="s">
        <v>20</v>
      </c>
      <c r="B375" s="30" t="s">
        <v>21</v>
      </c>
      <c r="C375" s="30" t="s">
        <v>22</v>
      </c>
      <c r="D375" s="30" t="s">
        <v>23</v>
      </c>
      <c r="E375" s="30" t="s">
        <v>492</v>
      </c>
      <c r="F375" s="31" t="s">
        <v>492</v>
      </c>
      <c r="G375" s="30" t="s">
        <v>26</v>
      </c>
      <c r="H375" s="30" t="s">
        <v>36</v>
      </c>
      <c r="I375" s="30">
        <v>3</v>
      </c>
      <c r="J375" s="30"/>
      <c r="K375" s="30"/>
      <c r="L375" s="32">
        <v>106.16503</v>
      </c>
      <c r="M375" s="32">
        <v>10.5459</v>
      </c>
      <c r="N375" s="32" t="s">
        <v>451</v>
      </c>
      <c r="O375" s="33">
        <v>0</v>
      </c>
      <c r="P375" s="30" t="s">
        <v>109</v>
      </c>
      <c r="Q375" s="30" t="s">
        <v>31</v>
      </c>
      <c r="R375" s="34" t="s">
        <v>47</v>
      </c>
      <c r="S375" s="35">
        <v>48070</v>
      </c>
      <c r="T375" s="36" t="s">
        <v>482</v>
      </c>
      <c r="U375" s="30" t="s">
        <v>482</v>
      </c>
      <c r="V375" s="37" t="e">
        <v>#N/A</v>
      </c>
      <c r="W375" s="31" t="s">
        <v>33</v>
      </c>
      <c r="X375" s="37"/>
      <c r="Y375" s="37">
        <f>COUNTIF(F:F,F375)</f>
        <v>1</v>
      </c>
      <c r="Z375" s="21" t="s">
        <v>1103</v>
      </c>
      <c r="AA375" s="21" t="s">
        <v>482</v>
      </c>
      <c r="AB375" s="21" t="s">
        <v>1119</v>
      </c>
    </row>
    <row r="376" spans="1:28" ht="13.9" customHeight="1" x14ac:dyDescent="0.3">
      <c r="A376" s="30" t="s">
        <v>20</v>
      </c>
      <c r="B376" s="30" t="s">
        <v>21</v>
      </c>
      <c r="C376" s="30" t="s">
        <v>22</v>
      </c>
      <c r="D376" s="30" t="s">
        <v>23</v>
      </c>
      <c r="E376" s="30" t="s">
        <v>493</v>
      </c>
      <c r="F376" s="31" t="s">
        <v>493</v>
      </c>
      <c r="G376" s="30" t="s">
        <v>26</v>
      </c>
      <c r="H376" s="30" t="s">
        <v>27</v>
      </c>
      <c r="I376" s="30">
        <v>3</v>
      </c>
      <c r="J376" s="30"/>
      <c r="K376" s="30"/>
      <c r="L376" s="32">
        <v>106.12367</v>
      </c>
      <c r="M376" s="32">
        <v>10.551443000000001</v>
      </c>
      <c r="N376" s="32" t="s">
        <v>451</v>
      </c>
      <c r="O376" s="33">
        <v>0</v>
      </c>
      <c r="P376" s="30" t="s">
        <v>30</v>
      </c>
      <c r="Q376" s="30" t="s">
        <v>31</v>
      </c>
      <c r="R376" s="34" t="s">
        <v>47</v>
      </c>
      <c r="S376" s="35">
        <v>48070</v>
      </c>
      <c r="T376" s="36" t="s">
        <v>482</v>
      </c>
      <c r="U376" s="30" t="s">
        <v>482</v>
      </c>
      <c r="V376" s="37" t="e">
        <v>#N/A</v>
      </c>
      <c r="W376" s="31" t="s">
        <v>33</v>
      </c>
      <c r="X376" s="37"/>
      <c r="Y376" s="37">
        <f>COUNTIF(F:F,F376)</f>
        <v>1</v>
      </c>
      <c r="Z376" s="21" t="s">
        <v>1103</v>
      </c>
      <c r="AA376" s="21" t="s">
        <v>482</v>
      </c>
      <c r="AB376" s="21" t="s">
        <v>1119</v>
      </c>
    </row>
    <row r="377" spans="1:28" ht="13.9" customHeight="1" x14ac:dyDescent="0.3">
      <c r="A377" s="30" t="s">
        <v>20</v>
      </c>
      <c r="B377" s="30" t="s">
        <v>21</v>
      </c>
      <c r="C377" s="30" t="s">
        <v>22</v>
      </c>
      <c r="D377" s="30" t="s">
        <v>23</v>
      </c>
      <c r="E377" s="30" t="s">
        <v>526</v>
      </c>
      <c r="F377" s="31" t="s">
        <v>526</v>
      </c>
      <c r="G377" s="30" t="s">
        <v>26</v>
      </c>
      <c r="H377" s="30" t="s">
        <v>36</v>
      </c>
      <c r="I377" s="30">
        <v>3</v>
      </c>
      <c r="J377" s="30" t="s">
        <v>26</v>
      </c>
      <c r="K377" s="30" t="s">
        <v>405</v>
      </c>
      <c r="L377" s="32">
        <v>106.2552</v>
      </c>
      <c r="M377" s="32">
        <v>10.40211</v>
      </c>
      <c r="N377" s="32" t="s">
        <v>278</v>
      </c>
      <c r="O377" s="33">
        <v>0</v>
      </c>
      <c r="P377" s="30" t="s">
        <v>271</v>
      </c>
      <c r="Q377" s="30" t="s">
        <v>31</v>
      </c>
      <c r="R377" s="34" t="s">
        <v>47</v>
      </c>
      <c r="S377" s="35">
        <v>48010</v>
      </c>
      <c r="T377" s="36" t="s">
        <v>287</v>
      </c>
      <c r="U377" s="30" t="s">
        <v>287</v>
      </c>
      <c r="V377" s="37" t="e">
        <v>#N/A</v>
      </c>
      <c r="W377" s="31" t="s">
        <v>33</v>
      </c>
      <c r="X377" s="37" t="s">
        <v>42</v>
      </c>
      <c r="Y377" s="37">
        <f>COUNTIF(F:F,F377)</f>
        <v>2</v>
      </c>
      <c r="Z377" s="21" t="s">
        <v>1103</v>
      </c>
      <c r="AA377" s="21" t="s">
        <v>287</v>
      </c>
      <c r="AB377" s="21" t="s">
        <v>1119</v>
      </c>
    </row>
    <row r="378" spans="1:28" ht="13.9" customHeight="1" x14ac:dyDescent="0.3">
      <c r="A378" s="41" t="s">
        <v>20</v>
      </c>
      <c r="B378" s="41" t="s">
        <v>21</v>
      </c>
      <c r="C378" s="41" t="s">
        <v>22</v>
      </c>
      <c r="D378" s="41" t="s">
        <v>23</v>
      </c>
      <c r="E378" s="41" t="s">
        <v>527</v>
      </c>
      <c r="F378" s="31" t="s">
        <v>526</v>
      </c>
      <c r="G378" s="41" t="s">
        <v>26</v>
      </c>
      <c r="H378" s="36" t="s">
        <v>27</v>
      </c>
      <c r="I378" s="36">
        <v>3</v>
      </c>
      <c r="J378" s="36"/>
      <c r="K378" s="36"/>
      <c r="L378" s="38">
        <v>106.24527</v>
      </c>
      <c r="M378" s="38">
        <v>10.39099</v>
      </c>
      <c r="N378" s="38" t="s">
        <v>278</v>
      </c>
      <c r="O378" s="39">
        <v>0</v>
      </c>
      <c r="P378" s="36" t="s">
        <v>30</v>
      </c>
      <c r="Q378" s="41" t="s">
        <v>31</v>
      </c>
      <c r="R378" s="42" t="s">
        <v>47</v>
      </c>
      <c r="S378" s="35">
        <v>48010</v>
      </c>
      <c r="T378" s="36" t="s">
        <v>523</v>
      </c>
      <c r="U378" s="30" t="s">
        <v>287</v>
      </c>
      <c r="V378" s="37" t="e">
        <v>#N/A</v>
      </c>
      <c r="W378" s="31" t="s">
        <v>63</v>
      </c>
      <c r="X378" s="37" t="s">
        <v>52</v>
      </c>
      <c r="Y378" s="37">
        <f>COUNTIF(F:F,F378)</f>
        <v>2</v>
      </c>
      <c r="Z378" s="21" t="s">
        <v>1103</v>
      </c>
      <c r="AA378" s="21" t="s">
        <v>287</v>
      </c>
      <c r="AB378" s="21" t="s">
        <v>1119</v>
      </c>
    </row>
    <row r="379" spans="1:28" ht="13.9" customHeight="1" x14ac:dyDescent="0.3">
      <c r="A379" s="30" t="s">
        <v>20</v>
      </c>
      <c r="B379" s="30" t="s">
        <v>21</v>
      </c>
      <c r="C379" s="30" t="s">
        <v>22</v>
      </c>
      <c r="D379" s="30" t="s">
        <v>23</v>
      </c>
      <c r="E379" s="30" t="s">
        <v>528</v>
      </c>
      <c r="F379" s="31" t="s">
        <v>367</v>
      </c>
      <c r="G379" s="30" t="s">
        <v>26</v>
      </c>
      <c r="H379" s="30" t="s">
        <v>36</v>
      </c>
      <c r="I379" s="30">
        <v>3</v>
      </c>
      <c r="J379" s="30" t="s">
        <v>37</v>
      </c>
      <c r="K379" s="30" t="s">
        <v>38</v>
      </c>
      <c r="L379" s="32">
        <v>106.21947</v>
      </c>
      <c r="M379" s="32">
        <v>10.405200000000001</v>
      </c>
      <c r="N379" s="32" t="s">
        <v>278</v>
      </c>
      <c r="O379" s="33">
        <v>0</v>
      </c>
      <c r="P379" s="30" t="s">
        <v>39</v>
      </c>
      <c r="Q379" s="30" t="s">
        <v>31</v>
      </c>
      <c r="R379" s="34" t="s">
        <v>47</v>
      </c>
      <c r="S379" s="35">
        <v>48010</v>
      </c>
      <c r="T379" s="36" t="s">
        <v>287</v>
      </c>
      <c r="U379" s="30" t="s">
        <v>287</v>
      </c>
      <c r="V379" s="37" t="e">
        <v>#N/A</v>
      </c>
      <c r="W379" s="31" t="s">
        <v>33</v>
      </c>
      <c r="X379" s="37" t="s">
        <v>42</v>
      </c>
      <c r="Y379" s="37">
        <f>COUNTIF(F:F,F379)</f>
        <v>5</v>
      </c>
      <c r="Z379" s="21" t="s">
        <v>1103</v>
      </c>
      <c r="AA379" s="21" t="s">
        <v>287</v>
      </c>
      <c r="AB379" s="21" t="s">
        <v>1119</v>
      </c>
    </row>
    <row r="380" spans="1:28" ht="13.9" customHeight="1" x14ac:dyDescent="0.3">
      <c r="A380" s="30" t="s">
        <v>20</v>
      </c>
      <c r="B380" s="30" t="s">
        <v>21</v>
      </c>
      <c r="C380" s="30" t="s">
        <v>22</v>
      </c>
      <c r="D380" s="30" t="s">
        <v>23</v>
      </c>
      <c r="E380" s="30" t="s">
        <v>366</v>
      </c>
      <c r="F380" s="31" t="s">
        <v>367</v>
      </c>
      <c r="G380" s="30" t="s">
        <v>26</v>
      </c>
      <c r="H380" s="30" t="s">
        <v>36</v>
      </c>
      <c r="I380" s="30">
        <v>4</v>
      </c>
      <c r="J380" s="30" t="s">
        <v>37</v>
      </c>
      <c r="K380" s="30" t="s">
        <v>38</v>
      </c>
      <c r="L380" s="32">
        <v>106.21856270000001</v>
      </c>
      <c r="M380" s="32">
        <v>10.421725199999999</v>
      </c>
      <c r="N380" s="32" t="s">
        <v>278</v>
      </c>
      <c r="O380" s="33">
        <v>0</v>
      </c>
      <c r="P380" s="30" t="s">
        <v>39</v>
      </c>
      <c r="Q380" s="30" t="s">
        <v>31</v>
      </c>
      <c r="R380" s="34" t="s">
        <v>47</v>
      </c>
      <c r="S380" s="35">
        <v>48010</v>
      </c>
      <c r="T380" s="36" t="s">
        <v>287</v>
      </c>
      <c r="U380" s="30" t="s">
        <v>287</v>
      </c>
      <c r="V380" s="37" t="s">
        <v>49</v>
      </c>
      <c r="W380" s="31" t="s">
        <v>50</v>
      </c>
      <c r="X380" s="37" t="s">
        <v>52</v>
      </c>
      <c r="Y380" s="37">
        <f>COUNTIF(F:F,F380)</f>
        <v>5</v>
      </c>
      <c r="Z380" s="21" t="s">
        <v>1103</v>
      </c>
      <c r="AA380" s="21" t="s">
        <v>287</v>
      </c>
      <c r="AB380" s="21" t="s">
        <v>1119</v>
      </c>
    </row>
    <row r="381" spans="1:28" ht="13.9" customHeight="1" x14ac:dyDescent="0.3">
      <c r="A381" s="36" t="s">
        <v>20</v>
      </c>
      <c r="B381" s="36" t="s">
        <v>21</v>
      </c>
      <c r="C381" s="36" t="s">
        <v>22</v>
      </c>
      <c r="D381" s="36" t="s">
        <v>23</v>
      </c>
      <c r="E381" s="36" t="s">
        <v>529</v>
      </c>
      <c r="F381" s="31" t="s">
        <v>367</v>
      </c>
      <c r="G381" s="36" t="s">
        <v>26</v>
      </c>
      <c r="H381" s="36" t="s">
        <v>36</v>
      </c>
      <c r="I381" s="36">
        <v>3</v>
      </c>
      <c r="J381" s="36" t="s">
        <v>37</v>
      </c>
      <c r="K381" s="36" t="s">
        <v>38</v>
      </c>
      <c r="L381" s="38">
        <v>106.21082</v>
      </c>
      <c r="M381" s="38">
        <v>10.40138</v>
      </c>
      <c r="N381" s="38" t="s">
        <v>278</v>
      </c>
      <c r="O381" s="39">
        <v>0</v>
      </c>
      <c r="P381" s="36" t="s">
        <v>39</v>
      </c>
      <c r="Q381" s="30" t="s">
        <v>31</v>
      </c>
      <c r="R381" s="40" t="s">
        <v>47</v>
      </c>
      <c r="S381" s="35">
        <v>48010</v>
      </c>
      <c r="T381" s="36" t="s">
        <v>287</v>
      </c>
      <c r="U381" s="30" t="s">
        <v>287</v>
      </c>
      <c r="V381" s="37" t="e">
        <v>#N/A</v>
      </c>
      <c r="W381" s="31" t="s">
        <v>63</v>
      </c>
      <c r="X381" s="37" t="s">
        <v>52</v>
      </c>
      <c r="Y381" s="37">
        <f>COUNTIF(F:F,F381)</f>
        <v>5</v>
      </c>
      <c r="Z381" s="21" t="s">
        <v>1103</v>
      </c>
      <c r="AA381" s="21" t="s">
        <v>287</v>
      </c>
      <c r="AB381" s="21" t="s">
        <v>1119</v>
      </c>
    </row>
    <row r="382" spans="1:28" ht="13.9" customHeight="1" x14ac:dyDescent="0.3">
      <c r="A382" s="41" t="s">
        <v>20</v>
      </c>
      <c r="B382" s="41" t="s">
        <v>21</v>
      </c>
      <c r="C382" s="41" t="s">
        <v>22</v>
      </c>
      <c r="D382" s="41" t="s">
        <v>23</v>
      </c>
      <c r="E382" s="41" t="s">
        <v>530</v>
      </c>
      <c r="F382" s="31" t="s">
        <v>367</v>
      </c>
      <c r="G382" s="41" t="s">
        <v>26</v>
      </c>
      <c r="H382" s="36" t="s">
        <v>27</v>
      </c>
      <c r="I382" s="36">
        <v>3</v>
      </c>
      <c r="J382" s="36"/>
      <c r="K382" s="36"/>
      <c r="L382" s="38">
        <v>106.2124</v>
      </c>
      <c r="M382" s="38">
        <v>10.389659999999999</v>
      </c>
      <c r="N382" s="38" t="s">
        <v>278</v>
      </c>
      <c r="O382" s="39">
        <v>0</v>
      </c>
      <c r="P382" s="36" t="s">
        <v>30</v>
      </c>
      <c r="Q382" s="41" t="s">
        <v>31</v>
      </c>
      <c r="R382" s="42" t="s">
        <v>47</v>
      </c>
      <c r="S382" s="35">
        <v>48010</v>
      </c>
      <c r="T382" s="36" t="s">
        <v>523</v>
      </c>
      <c r="U382" s="30" t="s">
        <v>287</v>
      </c>
      <c r="V382" s="37" t="e">
        <v>#N/A</v>
      </c>
      <c r="W382" s="31" t="s">
        <v>63</v>
      </c>
      <c r="X382" s="37" t="s">
        <v>52</v>
      </c>
      <c r="Y382" s="37">
        <f>COUNTIF(F:F,F382)</f>
        <v>5</v>
      </c>
      <c r="Z382" s="21" t="s">
        <v>1103</v>
      </c>
      <c r="AA382" s="21" t="s">
        <v>287</v>
      </c>
      <c r="AB382" s="21" t="s">
        <v>1119</v>
      </c>
    </row>
    <row r="383" spans="1:28" ht="13.9" customHeight="1" x14ac:dyDescent="0.3">
      <c r="A383" s="30" t="s">
        <v>20</v>
      </c>
      <c r="B383" s="30" t="s">
        <v>21</v>
      </c>
      <c r="C383" s="30" t="s">
        <v>22</v>
      </c>
      <c r="D383" s="30" t="s">
        <v>23</v>
      </c>
      <c r="E383" s="30" t="s">
        <v>531</v>
      </c>
      <c r="F383" s="31" t="s">
        <v>367</v>
      </c>
      <c r="G383" s="30" t="s">
        <v>26</v>
      </c>
      <c r="H383" s="30" t="s">
        <v>27</v>
      </c>
      <c r="I383" s="30">
        <v>3</v>
      </c>
      <c r="J383" s="30" t="s">
        <v>37</v>
      </c>
      <c r="K383" s="30" t="s">
        <v>38</v>
      </c>
      <c r="L383" s="32">
        <v>106.23033</v>
      </c>
      <c r="M383" s="32">
        <v>10.402072</v>
      </c>
      <c r="N383" s="32" t="s">
        <v>278</v>
      </c>
      <c r="O383" s="33">
        <v>0</v>
      </c>
      <c r="P383" s="30" t="s">
        <v>41</v>
      </c>
      <c r="Q383" s="30" t="s">
        <v>31</v>
      </c>
      <c r="R383" s="34" t="s">
        <v>47</v>
      </c>
      <c r="S383" s="35">
        <v>48010</v>
      </c>
      <c r="T383" s="36" t="s">
        <v>523</v>
      </c>
      <c r="U383" s="30" t="s">
        <v>287</v>
      </c>
      <c r="V383" s="37" t="e">
        <v>#N/A</v>
      </c>
      <c r="W383" s="31" t="s">
        <v>63</v>
      </c>
      <c r="X383" s="37" t="s">
        <v>52</v>
      </c>
      <c r="Y383" s="37">
        <f>COUNTIF(F:F,F383)</f>
        <v>5</v>
      </c>
      <c r="Z383" s="21" t="s">
        <v>1103</v>
      </c>
      <c r="AA383" s="21" t="s">
        <v>287</v>
      </c>
      <c r="AB383" s="21" t="s">
        <v>1119</v>
      </c>
    </row>
    <row r="384" spans="1:28" s="22" customFormat="1" ht="13.9" customHeight="1" x14ac:dyDescent="0.3">
      <c r="A384" s="30" t="s">
        <v>20</v>
      </c>
      <c r="B384" s="30" t="s">
        <v>21</v>
      </c>
      <c r="C384" s="30" t="s">
        <v>22</v>
      </c>
      <c r="D384" s="30" t="s">
        <v>23</v>
      </c>
      <c r="E384" s="30" t="s">
        <v>515</v>
      </c>
      <c r="F384" s="31" t="s">
        <v>515</v>
      </c>
      <c r="G384" s="30" t="s">
        <v>26</v>
      </c>
      <c r="H384" s="30" t="s">
        <v>36</v>
      </c>
      <c r="I384" s="30">
        <v>3</v>
      </c>
      <c r="J384" s="30" t="s">
        <v>37</v>
      </c>
      <c r="K384" s="30" t="s">
        <v>38</v>
      </c>
      <c r="L384" s="32">
        <v>106.29062999999999</v>
      </c>
      <c r="M384" s="32">
        <v>10.39494</v>
      </c>
      <c r="N384" s="32" t="s">
        <v>278</v>
      </c>
      <c r="O384" s="33">
        <v>0</v>
      </c>
      <c r="P384" s="30" t="s">
        <v>39</v>
      </c>
      <c r="Q384" s="30" t="s">
        <v>31</v>
      </c>
      <c r="R384" s="34" t="s">
        <v>47</v>
      </c>
      <c r="S384" s="35">
        <v>48010</v>
      </c>
      <c r="T384" s="36" t="s">
        <v>287</v>
      </c>
      <c r="U384" s="30" t="s">
        <v>287</v>
      </c>
      <c r="V384" s="37" t="e">
        <v>#N/A</v>
      </c>
      <c r="W384" s="31" t="s">
        <v>33</v>
      </c>
      <c r="X384" s="37"/>
      <c r="Y384" s="37">
        <f>COUNTIF(F:F,F384)</f>
        <v>1</v>
      </c>
      <c r="Z384" s="21" t="s">
        <v>1103</v>
      </c>
      <c r="AA384" s="21" t="s">
        <v>287</v>
      </c>
      <c r="AB384" s="21" t="s">
        <v>1119</v>
      </c>
    </row>
    <row r="385" spans="1:28" ht="13.9" customHeight="1" x14ac:dyDescent="0.3">
      <c r="A385" s="30" t="s">
        <v>20</v>
      </c>
      <c r="B385" s="30" t="s">
        <v>21</v>
      </c>
      <c r="C385" s="30" t="s">
        <v>22</v>
      </c>
      <c r="D385" s="30" t="s">
        <v>23</v>
      </c>
      <c r="E385" s="30" t="s">
        <v>532</v>
      </c>
      <c r="F385" s="31" t="s">
        <v>532</v>
      </c>
      <c r="G385" s="30" t="s">
        <v>26</v>
      </c>
      <c r="H385" s="30" t="s">
        <v>36</v>
      </c>
      <c r="I385" s="30">
        <v>4</v>
      </c>
      <c r="J385" s="30" t="s">
        <v>37</v>
      </c>
      <c r="K385" s="30" t="s">
        <v>38</v>
      </c>
      <c r="L385" s="32">
        <v>106.24569459999999</v>
      </c>
      <c r="M385" s="32">
        <v>10.4209519</v>
      </c>
      <c r="N385" s="32" t="s">
        <v>278</v>
      </c>
      <c r="O385" s="33">
        <v>0</v>
      </c>
      <c r="P385" s="30" t="s">
        <v>39</v>
      </c>
      <c r="Q385" s="30" t="s">
        <v>31</v>
      </c>
      <c r="R385" s="34" t="s">
        <v>47</v>
      </c>
      <c r="S385" s="35">
        <v>48010</v>
      </c>
      <c r="T385" s="36" t="s">
        <v>287</v>
      </c>
      <c r="U385" s="30" t="s">
        <v>287</v>
      </c>
      <c r="V385" s="37" t="e">
        <v>#N/A</v>
      </c>
      <c r="W385" s="31" t="s">
        <v>33</v>
      </c>
      <c r="X385" s="37" t="s">
        <v>42</v>
      </c>
      <c r="Y385" s="37">
        <f>COUNTIF(F:F,F385)</f>
        <v>3</v>
      </c>
      <c r="Z385" s="21" t="s">
        <v>1103</v>
      </c>
      <c r="AA385" s="21" t="s">
        <v>287</v>
      </c>
      <c r="AB385" s="21" t="s">
        <v>1119</v>
      </c>
    </row>
    <row r="386" spans="1:28" ht="13.9" customHeight="1" x14ac:dyDescent="0.3">
      <c r="A386" s="36" t="s">
        <v>20</v>
      </c>
      <c r="B386" s="36" t="s">
        <v>21</v>
      </c>
      <c r="C386" s="36" t="s">
        <v>22</v>
      </c>
      <c r="D386" s="36" t="s">
        <v>23</v>
      </c>
      <c r="E386" s="36" t="s">
        <v>533</v>
      </c>
      <c r="F386" s="31" t="s">
        <v>532</v>
      </c>
      <c r="G386" s="36" t="s">
        <v>26</v>
      </c>
      <c r="H386" s="36" t="s">
        <v>27</v>
      </c>
      <c r="I386" s="36">
        <v>3</v>
      </c>
      <c r="J386" s="36" t="s">
        <v>37</v>
      </c>
      <c r="K386" s="36" t="s">
        <v>38</v>
      </c>
      <c r="L386" s="38">
        <v>106.23230770000001</v>
      </c>
      <c r="M386" s="38">
        <v>10.413912</v>
      </c>
      <c r="N386" s="38" t="s">
        <v>278</v>
      </c>
      <c r="O386" s="39">
        <v>0</v>
      </c>
      <c r="P386" s="36" t="s">
        <v>41</v>
      </c>
      <c r="Q386" s="30" t="s">
        <v>31</v>
      </c>
      <c r="R386" s="40" t="s">
        <v>47</v>
      </c>
      <c r="S386" s="35">
        <v>48010</v>
      </c>
      <c r="T386" s="36" t="s">
        <v>523</v>
      </c>
      <c r="U386" s="30" t="s">
        <v>287</v>
      </c>
      <c r="V386" s="37" t="e">
        <v>#N/A</v>
      </c>
      <c r="W386" s="31" t="s">
        <v>63</v>
      </c>
      <c r="X386" s="37" t="s">
        <v>52</v>
      </c>
      <c r="Y386" s="37">
        <f>COUNTIF(F:F,F386)</f>
        <v>3</v>
      </c>
      <c r="Z386" s="21" t="s">
        <v>1103</v>
      </c>
      <c r="AA386" s="21" t="s">
        <v>287</v>
      </c>
      <c r="AB386" s="21" t="s">
        <v>1119</v>
      </c>
    </row>
    <row r="387" spans="1:28" s="22" customFormat="1" ht="13.9" customHeight="1" x14ac:dyDescent="0.3">
      <c r="A387" s="30" t="s">
        <v>20</v>
      </c>
      <c r="B387" s="30" t="s">
        <v>21</v>
      </c>
      <c r="C387" s="30" t="s">
        <v>22</v>
      </c>
      <c r="D387" s="30" t="s">
        <v>23</v>
      </c>
      <c r="E387" s="30" t="s">
        <v>992</v>
      </c>
      <c r="F387" s="31" t="s">
        <v>532</v>
      </c>
      <c r="G387" s="30" t="s">
        <v>26</v>
      </c>
      <c r="H387" s="30" t="s">
        <v>36</v>
      </c>
      <c r="I387" s="30">
        <v>3</v>
      </c>
      <c r="J387" s="30" t="s">
        <v>37</v>
      </c>
      <c r="K387" s="30" t="s">
        <v>38</v>
      </c>
      <c r="L387" s="32">
        <v>106.24075000000001</v>
      </c>
      <c r="M387" s="32">
        <v>10.435449999999999</v>
      </c>
      <c r="N387" s="32" t="s">
        <v>451</v>
      </c>
      <c r="O387" s="33">
        <v>0</v>
      </c>
      <c r="P387" s="30" t="s">
        <v>39</v>
      </c>
      <c r="Q387" s="30" t="s">
        <v>31</v>
      </c>
      <c r="R387" s="34" t="s">
        <v>47</v>
      </c>
      <c r="S387" s="35">
        <v>48070</v>
      </c>
      <c r="T387" s="36" t="s">
        <v>452</v>
      </c>
      <c r="U387" s="30" t="s">
        <v>287</v>
      </c>
      <c r="V387" s="37" t="s">
        <v>49</v>
      </c>
      <c r="W387" s="31" t="s">
        <v>50</v>
      </c>
      <c r="X387" s="37" t="s">
        <v>52</v>
      </c>
      <c r="Y387" s="37">
        <f>COUNTIF(F:F,F387)</f>
        <v>3</v>
      </c>
      <c r="Z387" s="21" t="s">
        <v>1103</v>
      </c>
      <c r="AA387" s="21" t="s">
        <v>287</v>
      </c>
      <c r="AB387" s="21" t="s">
        <v>1119</v>
      </c>
    </row>
    <row r="388" spans="1:28" ht="13.9" customHeight="1" x14ac:dyDescent="0.3">
      <c r="A388" s="30" t="s">
        <v>20</v>
      </c>
      <c r="B388" s="30" t="s">
        <v>21</v>
      </c>
      <c r="C388" s="30" t="s">
        <v>22</v>
      </c>
      <c r="D388" s="30" t="s">
        <v>23</v>
      </c>
      <c r="E388" s="30" t="s">
        <v>520</v>
      </c>
      <c r="F388" s="31" t="s">
        <v>520</v>
      </c>
      <c r="G388" s="30" t="s">
        <v>26</v>
      </c>
      <c r="H388" s="30" t="s">
        <v>36</v>
      </c>
      <c r="I388" s="30">
        <v>4</v>
      </c>
      <c r="J388" s="30" t="s">
        <v>37</v>
      </c>
      <c r="K388" s="30" t="s">
        <v>38</v>
      </c>
      <c r="L388" s="32">
        <v>106.24424999999999</v>
      </c>
      <c r="M388" s="32">
        <v>10.40165</v>
      </c>
      <c r="N388" s="32" t="s">
        <v>278</v>
      </c>
      <c r="O388" s="33">
        <v>0</v>
      </c>
      <c r="P388" s="30" t="s">
        <v>39</v>
      </c>
      <c r="Q388" s="30" t="s">
        <v>31</v>
      </c>
      <c r="R388" s="34" t="s">
        <v>47</v>
      </c>
      <c r="S388" s="35">
        <v>48010</v>
      </c>
      <c r="T388" s="36" t="s">
        <v>287</v>
      </c>
      <c r="U388" s="30" t="s">
        <v>287</v>
      </c>
      <c r="V388" s="37" t="e">
        <v>#N/A</v>
      </c>
      <c r="W388" s="31" t="s">
        <v>33</v>
      </c>
      <c r="X388" s="37"/>
      <c r="Y388" s="37">
        <f>COUNTIF(F:F,F388)</f>
        <v>1</v>
      </c>
      <c r="Z388" s="21" t="s">
        <v>1103</v>
      </c>
      <c r="AA388" s="21" t="s">
        <v>287</v>
      </c>
      <c r="AB388" s="21" t="s">
        <v>1119</v>
      </c>
    </row>
    <row r="389" spans="1:28" ht="13.9" customHeight="1" x14ac:dyDescent="0.3">
      <c r="A389" s="30" t="s">
        <v>20</v>
      </c>
      <c r="B389" s="30" t="s">
        <v>21</v>
      </c>
      <c r="C389" s="30" t="s">
        <v>22</v>
      </c>
      <c r="D389" s="30" t="s">
        <v>23</v>
      </c>
      <c r="E389" s="30" t="s">
        <v>534</v>
      </c>
      <c r="F389" s="31" t="s">
        <v>534</v>
      </c>
      <c r="G389" s="30" t="s">
        <v>26</v>
      </c>
      <c r="H389" s="30" t="s">
        <v>36</v>
      </c>
      <c r="I389" s="30">
        <v>3</v>
      </c>
      <c r="J389" s="30" t="s">
        <v>37</v>
      </c>
      <c r="K389" s="30" t="s">
        <v>38</v>
      </c>
      <c r="L389" s="32">
        <v>106.27103870000001</v>
      </c>
      <c r="M389" s="32">
        <v>10.397076200000001</v>
      </c>
      <c r="N389" s="32" t="s">
        <v>278</v>
      </c>
      <c r="O389" s="33">
        <v>0</v>
      </c>
      <c r="P389" s="30" t="s">
        <v>39</v>
      </c>
      <c r="Q389" s="30" t="s">
        <v>31</v>
      </c>
      <c r="R389" s="34" t="s">
        <v>47</v>
      </c>
      <c r="S389" s="35">
        <v>48010</v>
      </c>
      <c r="T389" s="36" t="s">
        <v>287</v>
      </c>
      <c r="U389" s="30" t="s">
        <v>287</v>
      </c>
      <c r="V389" s="37" t="e">
        <v>#N/A</v>
      </c>
      <c r="W389" s="31" t="s">
        <v>33</v>
      </c>
      <c r="X389" s="37" t="s">
        <v>42</v>
      </c>
      <c r="Y389" s="37">
        <f>COUNTIF(F:F,F389)</f>
        <v>2</v>
      </c>
      <c r="Z389" s="21" t="s">
        <v>1103</v>
      </c>
      <c r="AA389" s="21" t="s">
        <v>287</v>
      </c>
      <c r="AB389" s="21" t="s">
        <v>1119</v>
      </c>
    </row>
    <row r="390" spans="1:28" ht="13.9" customHeight="1" x14ac:dyDescent="0.3">
      <c r="A390" s="30" t="s">
        <v>20</v>
      </c>
      <c r="B390" s="30" t="s">
        <v>21</v>
      </c>
      <c r="C390" s="30" t="s">
        <v>22</v>
      </c>
      <c r="D390" s="30" t="s">
        <v>23</v>
      </c>
      <c r="E390" s="30" t="s">
        <v>535</v>
      </c>
      <c r="F390" s="31" t="s">
        <v>534</v>
      </c>
      <c r="G390" s="30" t="s">
        <v>26</v>
      </c>
      <c r="H390" s="30" t="s">
        <v>27</v>
      </c>
      <c r="I390" s="30">
        <v>3</v>
      </c>
      <c r="J390" s="30"/>
      <c r="K390" s="30"/>
      <c r="L390" s="32">
        <v>106.26649999999999</v>
      </c>
      <c r="M390" s="32">
        <v>10.4132</v>
      </c>
      <c r="N390" s="32" t="s">
        <v>278</v>
      </c>
      <c r="O390" s="33">
        <v>0</v>
      </c>
      <c r="P390" s="30" t="s">
        <v>30</v>
      </c>
      <c r="Q390" s="30" t="s">
        <v>31</v>
      </c>
      <c r="R390" s="34" t="s">
        <v>47</v>
      </c>
      <c r="S390" s="35">
        <v>48010</v>
      </c>
      <c r="T390" s="36" t="s">
        <v>523</v>
      </c>
      <c r="U390" s="30" t="s">
        <v>287</v>
      </c>
      <c r="V390" s="37" t="e">
        <v>#N/A</v>
      </c>
      <c r="W390" s="31" t="s">
        <v>63</v>
      </c>
      <c r="X390" s="37" t="s">
        <v>52</v>
      </c>
      <c r="Y390" s="37">
        <f>COUNTIF(F:F,F390)</f>
        <v>2</v>
      </c>
      <c r="Z390" s="21" t="s">
        <v>1103</v>
      </c>
      <c r="AA390" s="21" t="s">
        <v>287</v>
      </c>
      <c r="AB390" s="21" t="s">
        <v>1119</v>
      </c>
    </row>
    <row r="391" spans="1:28" ht="13.9" customHeight="1" x14ac:dyDescent="0.3">
      <c r="A391" s="30" t="s">
        <v>20</v>
      </c>
      <c r="B391" s="30" t="s">
        <v>21</v>
      </c>
      <c r="C391" s="30" t="s">
        <v>22</v>
      </c>
      <c r="D391" s="30" t="s">
        <v>23</v>
      </c>
      <c r="E391" s="30" t="s">
        <v>521</v>
      </c>
      <c r="F391" s="31" t="s">
        <v>521</v>
      </c>
      <c r="G391" s="30" t="s">
        <v>26</v>
      </c>
      <c r="H391" s="30" t="s">
        <v>36</v>
      </c>
      <c r="I391" s="30">
        <v>3</v>
      </c>
      <c r="J391" s="30" t="s">
        <v>37</v>
      </c>
      <c r="K391" s="30" t="s">
        <v>38</v>
      </c>
      <c r="L391" s="32">
        <v>106.19443</v>
      </c>
      <c r="M391" s="32">
        <v>10.40395</v>
      </c>
      <c r="N391" s="32" t="s">
        <v>278</v>
      </c>
      <c r="O391" s="33">
        <v>0</v>
      </c>
      <c r="P391" s="30" t="s">
        <v>39</v>
      </c>
      <c r="Q391" s="30" t="s">
        <v>31</v>
      </c>
      <c r="R391" s="34" t="s">
        <v>47</v>
      </c>
      <c r="S391" s="35">
        <v>48010</v>
      </c>
      <c r="T391" s="36" t="s">
        <v>287</v>
      </c>
      <c r="U391" s="30" t="s">
        <v>287</v>
      </c>
      <c r="V391" s="37" t="e">
        <v>#N/A</v>
      </c>
      <c r="W391" s="31" t="s">
        <v>33</v>
      </c>
      <c r="X391" s="37"/>
      <c r="Y391" s="37">
        <f>COUNTIF(F:F,F391)</f>
        <v>1</v>
      </c>
      <c r="Z391" s="21" t="s">
        <v>1103</v>
      </c>
      <c r="AA391" s="21" t="s">
        <v>287</v>
      </c>
      <c r="AB391" s="21" t="s">
        <v>1119</v>
      </c>
    </row>
    <row r="392" spans="1:28" ht="13.9" customHeight="1" x14ac:dyDescent="0.3">
      <c r="A392" s="30" t="s">
        <v>20</v>
      </c>
      <c r="B392" s="30" t="s">
        <v>21</v>
      </c>
      <c r="C392" s="30" t="s">
        <v>22</v>
      </c>
      <c r="D392" s="30" t="s">
        <v>23</v>
      </c>
      <c r="E392" s="30" t="s">
        <v>522</v>
      </c>
      <c r="F392" s="31" t="s">
        <v>522</v>
      </c>
      <c r="G392" s="30" t="s">
        <v>26</v>
      </c>
      <c r="H392" s="30" t="s">
        <v>27</v>
      </c>
      <c r="I392" s="30">
        <v>3</v>
      </c>
      <c r="J392" s="30" t="s">
        <v>37</v>
      </c>
      <c r="K392" s="30" t="s">
        <v>38</v>
      </c>
      <c r="L392" s="32">
        <v>106.2040563</v>
      </c>
      <c r="M392" s="32">
        <v>10.4242249</v>
      </c>
      <c r="N392" s="32" t="s">
        <v>278</v>
      </c>
      <c r="O392" s="33">
        <v>0</v>
      </c>
      <c r="P392" s="30" t="s">
        <v>41</v>
      </c>
      <c r="Q392" s="30" t="s">
        <v>31</v>
      </c>
      <c r="R392" s="34" t="s">
        <v>47</v>
      </c>
      <c r="S392" s="35">
        <v>48010</v>
      </c>
      <c r="T392" s="36" t="s">
        <v>523</v>
      </c>
      <c r="U392" s="30" t="s">
        <v>287</v>
      </c>
      <c r="V392" s="37" t="e">
        <v>#N/A</v>
      </c>
      <c r="W392" s="31" t="s">
        <v>33</v>
      </c>
      <c r="X392" s="37"/>
      <c r="Y392" s="37">
        <f>COUNTIF(F:F,F392)</f>
        <v>1</v>
      </c>
      <c r="Z392" s="21" t="s">
        <v>1103</v>
      </c>
      <c r="AA392" s="21" t="s">
        <v>287</v>
      </c>
      <c r="AB392" s="21" t="s">
        <v>1119</v>
      </c>
    </row>
    <row r="393" spans="1:28" ht="13.9" customHeight="1" x14ac:dyDescent="0.3">
      <c r="A393" s="45" t="s">
        <v>20</v>
      </c>
      <c r="B393" s="45" t="s">
        <v>21</v>
      </c>
      <c r="C393" s="45" t="s">
        <v>22</v>
      </c>
      <c r="D393" s="45" t="s">
        <v>23</v>
      </c>
      <c r="E393" s="45" t="s">
        <v>525</v>
      </c>
      <c r="F393" s="31" t="s">
        <v>525</v>
      </c>
      <c r="G393" s="30" t="s">
        <v>26</v>
      </c>
      <c r="H393" s="30" t="s">
        <v>27</v>
      </c>
      <c r="I393" s="30">
        <v>3</v>
      </c>
      <c r="J393" s="30"/>
      <c r="K393" s="30"/>
      <c r="L393" s="32">
        <v>106.2307211</v>
      </c>
      <c r="M393" s="32">
        <v>10.3901176</v>
      </c>
      <c r="N393" s="32" t="s">
        <v>278</v>
      </c>
      <c r="O393" s="33">
        <v>0</v>
      </c>
      <c r="P393" s="30" t="s">
        <v>30</v>
      </c>
      <c r="Q393" s="30" t="s">
        <v>31</v>
      </c>
      <c r="R393" s="34" t="s">
        <v>47</v>
      </c>
      <c r="S393" s="35">
        <v>48010</v>
      </c>
      <c r="T393" s="36" t="s">
        <v>523</v>
      </c>
      <c r="U393" s="30" t="s">
        <v>287</v>
      </c>
      <c r="V393" s="37" t="e">
        <v>#N/A</v>
      </c>
      <c r="W393" s="31" t="s">
        <v>33</v>
      </c>
      <c r="X393" s="37"/>
      <c r="Y393" s="37">
        <f>COUNTIF(F:F,F393)</f>
        <v>1</v>
      </c>
      <c r="Z393" s="21" t="s">
        <v>1103</v>
      </c>
      <c r="AA393" s="21" t="s">
        <v>287</v>
      </c>
      <c r="AB393" s="21" t="s">
        <v>1119</v>
      </c>
    </row>
    <row r="394" spans="1:28" ht="13.9" customHeight="1" x14ac:dyDescent="0.3">
      <c r="A394" s="30" t="s">
        <v>20</v>
      </c>
      <c r="B394" s="30" t="s">
        <v>21</v>
      </c>
      <c r="C394" s="30" t="s">
        <v>22</v>
      </c>
      <c r="D394" s="30" t="s">
        <v>23</v>
      </c>
      <c r="E394" s="30" t="s">
        <v>536</v>
      </c>
      <c r="F394" s="31" t="s">
        <v>536</v>
      </c>
      <c r="G394" s="30" t="s">
        <v>26</v>
      </c>
      <c r="H394" s="30" t="s">
        <v>27</v>
      </c>
      <c r="I394" s="30">
        <v>3</v>
      </c>
      <c r="J394" s="30"/>
      <c r="K394" s="30"/>
      <c r="L394" s="32">
        <v>106.21747000000001</v>
      </c>
      <c r="M394" s="32">
        <v>10.377319999999999</v>
      </c>
      <c r="N394" s="32" t="s">
        <v>278</v>
      </c>
      <c r="O394" s="33">
        <v>0</v>
      </c>
      <c r="P394" s="30" t="s">
        <v>30</v>
      </c>
      <c r="Q394" s="30" t="s">
        <v>31</v>
      </c>
      <c r="R394" s="34" t="s">
        <v>47</v>
      </c>
      <c r="S394" s="35">
        <v>48010</v>
      </c>
      <c r="T394" s="36" t="s">
        <v>279</v>
      </c>
      <c r="U394" s="30" t="s">
        <v>279</v>
      </c>
      <c r="V394" s="37" t="e">
        <v>#N/A</v>
      </c>
      <c r="W394" s="31" t="s">
        <v>33</v>
      </c>
      <c r="X394" s="37"/>
      <c r="Y394" s="37">
        <f>COUNTIF(F:F,F394)</f>
        <v>1</v>
      </c>
      <c r="Z394" s="21" t="s">
        <v>1105</v>
      </c>
      <c r="AA394" s="21" t="s">
        <v>279</v>
      </c>
      <c r="AB394" s="21" t="s">
        <v>1119</v>
      </c>
    </row>
    <row r="395" spans="1:28" ht="13.9" customHeight="1" x14ac:dyDescent="0.3">
      <c r="A395" s="30" t="s">
        <v>20</v>
      </c>
      <c r="B395" s="30" t="s">
        <v>21</v>
      </c>
      <c r="C395" s="30" t="s">
        <v>22</v>
      </c>
      <c r="D395" s="30" t="s">
        <v>23</v>
      </c>
      <c r="E395" s="30" t="s">
        <v>537</v>
      </c>
      <c r="F395" s="31" t="s">
        <v>537</v>
      </c>
      <c r="G395" s="30" t="s">
        <v>26</v>
      </c>
      <c r="H395" s="30" t="s">
        <v>27</v>
      </c>
      <c r="I395" s="30">
        <v>3</v>
      </c>
      <c r="J395" s="30" t="s">
        <v>37</v>
      </c>
      <c r="K395" s="30" t="s">
        <v>38</v>
      </c>
      <c r="L395" s="32">
        <v>106.24486</v>
      </c>
      <c r="M395" s="32">
        <v>10.3264</v>
      </c>
      <c r="N395" s="32" t="s">
        <v>278</v>
      </c>
      <c r="O395" s="33">
        <v>0</v>
      </c>
      <c r="P395" s="30" t="s">
        <v>41</v>
      </c>
      <c r="Q395" s="30" t="s">
        <v>31</v>
      </c>
      <c r="R395" s="34" t="s">
        <v>47</v>
      </c>
      <c r="S395" s="35">
        <v>48010</v>
      </c>
      <c r="T395" s="36" t="s">
        <v>298</v>
      </c>
      <c r="U395" s="30" t="s">
        <v>279</v>
      </c>
      <c r="V395" s="37" t="e">
        <v>#N/A</v>
      </c>
      <c r="W395" s="31" t="s">
        <v>33</v>
      </c>
      <c r="X395" s="37"/>
      <c r="Y395" s="37">
        <f>COUNTIF(F:F,F395)</f>
        <v>1</v>
      </c>
      <c r="Z395" s="21" t="s">
        <v>1105</v>
      </c>
      <c r="AA395" s="21" t="s">
        <v>279</v>
      </c>
      <c r="AB395" s="21" t="s">
        <v>1119</v>
      </c>
    </row>
    <row r="396" spans="1:28" ht="13.9" customHeight="1" x14ac:dyDescent="0.3">
      <c r="A396" s="30" t="s">
        <v>20</v>
      </c>
      <c r="B396" s="30" t="s">
        <v>21</v>
      </c>
      <c r="C396" s="30" t="s">
        <v>22</v>
      </c>
      <c r="D396" s="30" t="s">
        <v>23</v>
      </c>
      <c r="E396" s="30" t="s">
        <v>556</v>
      </c>
      <c r="F396" s="31" t="s">
        <v>556</v>
      </c>
      <c r="G396" s="30" t="s">
        <v>26</v>
      </c>
      <c r="H396" s="30" t="s">
        <v>27</v>
      </c>
      <c r="I396" s="30">
        <v>3</v>
      </c>
      <c r="J396" s="30"/>
      <c r="K396" s="30"/>
      <c r="L396" s="32">
        <v>106.2745268</v>
      </c>
      <c r="M396" s="32">
        <v>10.364713699999999</v>
      </c>
      <c r="N396" s="32" t="s">
        <v>278</v>
      </c>
      <c r="O396" s="33">
        <v>0</v>
      </c>
      <c r="P396" s="30" t="s">
        <v>60</v>
      </c>
      <c r="Q396" s="30" t="s">
        <v>31</v>
      </c>
      <c r="R396" s="34" t="s">
        <v>47</v>
      </c>
      <c r="S396" s="35">
        <v>48010</v>
      </c>
      <c r="T396" s="36" t="s">
        <v>279</v>
      </c>
      <c r="U396" s="30" t="s">
        <v>279</v>
      </c>
      <c r="V396" s="37" t="e">
        <v>#N/A</v>
      </c>
      <c r="W396" s="31" t="s">
        <v>33</v>
      </c>
      <c r="X396" s="37" t="s">
        <v>42</v>
      </c>
      <c r="Y396" s="37">
        <f>COUNTIF(F:F,F396)</f>
        <v>3</v>
      </c>
      <c r="Z396" s="21" t="s">
        <v>1105</v>
      </c>
      <c r="AA396" s="21" t="s">
        <v>279</v>
      </c>
      <c r="AB396" s="21" t="s">
        <v>1119</v>
      </c>
    </row>
    <row r="397" spans="1:28" ht="13.9" customHeight="1" x14ac:dyDescent="0.3">
      <c r="A397" s="36" t="s">
        <v>20</v>
      </c>
      <c r="B397" s="36" t="s">
        <v>21</v>
      </c>
      <c r="C397" s="36" t="s">
        <v>22</v>
      </c>
      <c r="D397" s="36" t="s">
        <v>23</v>
      </c>
      <c r="E397" s="36" t="s">
        <v>555</v>
      </c>
      <c r="F397" s="31" t="s">
        <v>556</v>
      </c>
      <c r="G397" s="36" t="s">
        <v>26</v>
      </c>
      <c r="H397" s="36" t="s">
        <v>27</v>
      </c>
      <c r="I397" s="36">
        <v>3</v>
      </c>
      <c r="J397" s="36"/>
      <c r="K397" s="36"/>
      <c r="L397" s="38">
        <v>106.28305</v>
      </c>
      <c r="M397" s="38">
        <v>10.362159999999999</v>
      </c>
      <c r="N397" s="38" t="s">
        <v>278</v>
      </c>
      <c r="O397" s="39">
        <v>0</v>
      </c>
      <c r="P397" s="36" t="s">
        <v>30</v>
      </c>
      <c r="Q397" s="30" t="s">
        <v>31</v>
      </c>
      <c r="R397" s="40" t="s">
        <v>47</v>
      </c>
      <c r="S397" s="35">
        <v>48010</v>
      </c>
      <c r="T397" s="36" t="s">
        <v>279</v>
      </c>
      <c r="U397" s="30" t="s">
        <v>279</v>
      </c>
      <c r="V397" s="37" t="e">
        <v>#N/A</v>
      </c>
      <c r="W397" s="31" t="s">
        <v>63</v>
      </c>
      <c r="X397" s="37" t="s">
        <v>52</v>
      </c>
      <c r="Y397" s="37">
        <f>COUNTIF(F:F,F397)</f>
        <v>3</v>
      </c>
      <c r="Z397" s="21" t="s">
        <v>1105</v>
      </c>
      <c r="AA397" s="21" t="s">
        <v>279</v>
      </c>
      <c r="AB397" s="21" t="s">
        <v>1119</v>
      </c>
    </row>
    <row r="398" spans="1:28" ht="13.9" customHeight="1" x14ac:dyDescent="0.3">
      <c r="A398" s="36" t="s">
        <v>20</v>
      </c>
      <c r="B398" s="36" t="s">
        <v>21</v>
      </c>
      <c r="C398" s="36" t="s">
        <v>22</v>
      </c>
      <c r="D398" s="36" t="s">
        <v>23</v>
      </c>
      <c r="E398" s="36" t="s">
        <v>557</v>
      </c>
      <c r="F398" s="31" t="s">
        <v>556</v>
      </c>
      <c r="G398" s="36" t="s">
        <v>26</v>
      </c>
      <c r="H398" s="36" t="s">
        <v>27</v>
      </c>
      <c r="I398" s="36">
        <v>3</v>
      </c>
      <c r="J398" s="36" t="s">
        <v>37</v>
      </c>
      <c r="K398" s="36" t="s">
        <v>38</v>
      </c>
      <c r="L398" s="38">
        <v>106.2966</v>
      </c>
      <c r="M398" s="38">
        <v>10.3552</v>
      </c>
      <c r="N398" s="38" t="s">
        <v>278</v>
      </c>
      <c r="O398" s="39">
        <v>0</v>
      </c>
      <c r="P398" s="36" t="s">
        <v>41</v>
      </c>
      <c r="Q398" s="30" t="s">
        <v>31</v>
      </c>
      <c r="R398" s="40" t="s">
        <v>47</v>
      </c>
      <c r="S398" s="35">
        <v>48010</v>
      </c>
      <c r="T398" s="36" t="s">
        <v>279</v>
      </c>
      <c r="U398" s="30" t="s">
        <v>279</v>
      </c>
      <c r="V398" s="37" t="e">
        <v>#N/A</v>
      </c>
      <c r="W398" s="31" t="s">
        <v>63</v>
      </c>
      <c r="X398" s="37" t="s">
        <v>52</v>
      </c>
      <c r="Y398" s="37">
        <f>COUNTIF(F:F,F398)</f>
        <v>3</v>
      </c>
      <c r="Z398" s="21" t="s">
        <v>1105</v>
      </c>
      <c r="AA398" s="21" t="s">
        <v>279</v>
      </c>
      <c r="AB398" s="21" t="s">
        <v>1119</v>
      </c>
    </row>
    <row r="399" spans="1:28" ht="13.9" customHeight="1" x14ac:dyDescent="0.3">
      <c r="A399" s="30" t="s">
        <v>20</v>
      </c>
      <c r="B399" s="30" t="s">
        <v>21</v>
      </c>
      <c r="C399" s="30" t="s">
        <v>22</v>
      </c>
      <c r="D399" s="30" t="s">
        <v>23</v>
      </c>
      <c r="E399" s="30" t="s">
        <v>558</v>
      </c>
      <c r="F399" s="31" t="s">
        <v>558</v>
      </c>
      <c r="G399" s="30" t="s">
        <v>26</v>
      </c>
      <c r="H399" s="30" t="s">
        <v>27</v>
      </c>
      <c r="I399" s="30">
        <v>3</v>
      </c>
      <c r="J399" s="30" t="s">
        <v>37</v>
      </c>
      <c r="K399" s="30" t="s">
        <v>38</v>
      </c>
      <c r="L399" s="32">
        <v>106.20639</v>
      </c>
      <c r="M399" s="32">
        <v>10.32246</v>
      </c>
      <c r="N399" s="32" t="s">
        <v>278</v>
      </c>
      <c r="O399" s="33">
        <v>0</v>
      </c>
      <c r="P399" s="30" t="s">
        <v>41</v>
      </c>
      <c r="Q399" s="30" t="s">
        <v>31</v>
      </c>
      <c r="R399" s="34" t="s">
        <v>47</v>
      </c>
      <c r="S399" s="35">
        <v>48010</v>
      </c>
      <c r="T399" s="36" t="s">
        <v>298</v>
      </c>
      <c r="U399" s="30" t="s">
        <v>279</v>
      </c>
      <c r="V399" s="37" t="e">
        <v>#N/A</v>
      </c>
      <c r="W399" s="31" t="s">
        <v>33</v>
      </c>
      <c r="X399" s="37" t="s">
        <v>42</v>
      </c>
      <c r="Y399" s="37">
        <f>COUNTIF(F:F,F399)</f>
        <v>3</v>
      </c>
      <c r="Z399" s="21" t="s">
        <v>1105</v>
      </c>
      <c r="AA399" s="21" t="s">
        <v>279</v>
      </c>
      <c r="AB399" s="21" t="s">
        <v>1119</v>
      </c>
    </row>
    <row r="400" spans="1:28" ht="13.9" customHeight="1" x14ac:dyDescent="0.3">
      <c r="A400" s="36" t="s">
        <v>20</v>
      </c>
      <c r="B400" s="36" t="s">
        <v>21</v>
      </c>
      <c r="C400" s="36" t="s">
        <v>22</v>
      </c>
      <c r="D400" s="36" t="s">
        <v>23</v>
      </c>
      <c r="E400" s="36" t="s">
        <v>559</v>
      </c>
      <c r="F400" s="31" t="s">
        <v>558</v>
      </c>
      <c r="G400" s="36" t="s">
        <v>26</v>
      </c>
      <c r="H400" s="36" t="s">
        <v>27</v>
      </c>
      <c r="I400" s="36">
        <v>3</v>
      </c>
      <c r="J400" s="36"/>
      <c r="K400" s="36"/>
      <c r="L400" s="38">
        <v>106.20440000000001</v>
      </c>
      <c r="M400" s="38">
        <v>10.337719999999999</v>
      </c>
      <c r="N400" s="38" t="s">
        <v>278</v>
      </c>
      <c r="O400" s="39">
        <v>0</v>
      </c>
      <c r="P400" s="36" t="s">
        <v>30</v>
      </c>
      <c r="Q400" s="30" t="s">
        <v>31</v>
      </c>
      <c r="R400" s="40" t="s">
        <v>47</v>
      </c>
      <c r="S400" s="35">
        <v>48010</v>
      </c>
      <c r="T400" s="36" t="s">
        <v>298</v>
      </c>
      <c r="U400" s="30" t="s">
        <v>279</v>
      </c>
      <c r="V400" s="37" t="e">
        <v>#N/A</v>
      </c>
      <c r="W400" s="31" t="s">
        <v>63</v>
      </c>
      <c r="X400" s="37" t="s">
        <v>52</v>
      </c>
      <c r="Y400" s="37">
        <f>COUNTIF(F:F,F400)</f>
        <v>3</v>
      </c>
      <c r="Z400" s="21" t="s">
        <v>1105</v>
      </c>
      <c r="AA400" s="21" t="s">
        <v>279</v>
      </c>
      <c r="AB400" s="21" t="s">
        <v>1119</v>
      </c>
    </row>
    <row r="401" spans="1:28" ht="13.9" customHeight="1" x14ac:dyDescent="0.3">
      <c r="A401" s="36" t="s">
        <v>20</v>
      </c>
      <c r="B401" s="36" t="s">
        <v>21</v>
      </c>
      <c r="C401" s="36" t="s">
        <v>22</v>
      </c>
      <c r="D401" s="36" t="s">
        <v>23</v>
      </c>
      <c r="E401" s="36" t="s">
        <v>560</v>
      </c>
      <c r="F401" s="31" t="s">
        <v>558</v>
      </c>
      <c r="G401" s="36" t="s">
        <v>26</v>
      </c>
      <c r="H401" s="36" t="s">
        <v>27</v>
      </c>
      <c r="I401" s="36">
        <v>3</v>
      </c>
      <c r="J401" s="36"/>
      <c r="K401" s="36"/>
      <c r="L401" s="38">
        <v>106.19</v>
      </c>
      <c r="M401" s="38">
        <v>10.3285</v>
      </c>
      <c r="N401" s="38" t="s">
        <v>278</v>
      </c>
      <c r="O401" s="39">
        <v>0</v>
      </c>
      <c r="P401" s="36" t="s">
        <v>30</v>
      </c>
      <c r="Q401" s="30" t="s">
        <v>31</v>
      </c>
      <c r="R401" s="40" t="s">
        <v>47</v>
      </c>
      <c r="S401" s="35">
        <v>48010</v>
      </c>
      <c r="T401" s="36" t="s">
        <v>298</v>
      </c>
      <c r="U401" s="30" t="s">
        <v>279</v>
      </c>
      <c r="V401" s="37" t="e">
        <v>#N/A</v>
      </c>
      <c r="W401" s="31" t="s">
        <v>63</v>
      </c>
      <c r="X401" s="37" t="s">
        <v>52</v>
      </c>
      <c r="Y401" s="37">
        <f>COUNTIF(F:F,F401)</f>
        <v>3</v>
      </c>
      <c r="Z401" s="21" t="s">
        <v>1105</v>
      </c>
      <c r="AA401" s="21" t="s">
        <v>279</v>
      </c>
      <c r="AB401" s="21" t="s">
        <v>1119</v>
      </c>
    </row>
    <row r="402" spans="1:28" ht="13.9" customHeight="1" x14ac:dyDescent="0.3">
      <c r="A402" s="30" t="s">
        <v>20</v>
      </c>
      <c r="B402" s="30" t="s">
        <v>21</v>
      </c>
      <c r="C402" s="30" t="s">
        <v>22</v>
      </c>
      <c r="D402" s="30" t="s">
        <v>23</v>
      </c>
      <c r="E402" s="30" t="s">
        <v>538</v>
      </c>
      <c r="F402" s="31" t="s">
        <v>538</v>
      </c>
      <c r="G402" s="30" t="s">
        <v>26</v>
      </c>
      <c r="H402" s="30" t="s">
        <v>36</v>
      </c>
      <c r="I402" s="30">
        <v>4</v>
      </c>
      <c r="J402" s="30" t="s">
        <v>37</v>
      </c>
      <c r="K402" s="30" t="s">
        <v>38</v>
      </c>
      <c r="L402" s="32">
        <v>106.30540000000001</v>
      </c>
      <c r="M402" s="32">
        <v>10.375730000000001</v>
      </c>
      <c r="N402" s="32" t="s">
        <v>278</v>
      </c>
      <c r="O402" s="33">
        <v>0</v>
      </c>
      <c r="P402" s="30" t="s">
        <v>39</v>
      </c>
      <c r="Q402" s="30" t="s">
        <v>31</v>
      </c>
      <c r="R402" s="34" t="s">
        <v>47</v>
      </c>
      <c r="S402" s="35">
        <v>48010</v>
      </c>
      <c r="T402" s="36" t="s">
        <v>279</v>
      </c>
      <c r="U402" s="30" t="s">
        <v>279</v>
      </c>
      <c r="V402" s="37" t="e">
        <v>#N/A</v>
      </c>
      <c r="W402" s="31" t="s">
        <v>33</v>
      </c>
      <c r="X402" s="37"/>
      <c r="Y402" s="37">
        <f>COUNTIF(F:F,F402)</f>
        <v>1</v>
      </c>
      <c r="Z402" s="21" t="s">
        <v>1105</v>
      </c>
      <c r="AA402" s="21" t="s">
        <v>279</v>
      </c>
      <c r="AB402" s="21" t="s">
        <v>1119</v>
      </c>
    </row>
    <row r="403" spans="1:28" ht="13.9" customHeight="1" x14ac:dyDescent="0.3">
      <c r="A403" s="30" t="s">
        <v>20</v>
      </c>
      <c r="B403" s="30" t="s">
        <v>21</v>
      </c>
      <c r="C403" s="30" t="s">
        <v>22</v>
      </c>
      <c r="D403" s="30" t="s">
        <v>23</v>
      </c>
      <c r="E403" s="30" t="s">
        <v>539</v>
      </c>
      <c r="F403" s="31" t="s">
        <v>539</v>
      </c>
      <c r="G403" s="30" t="s">
        <v>26</v>
      </c>
      <c r="H403" s="30" t="s">
        <v>36</v>
      </c>
      <c r="I403" s="30">
        <v>4</v>
      </c>
      <c r="J403" s="30" t="s">
        <v>37</v>
      </c>
      <c r="K403" s="30" t="s">
        <v>38</v>
      </c>
      <c r="L403" s="32">
        <v>106.26869000000001</v>
      </c>
      <c r="M403" s="32">
        <v>10.33291</v>
      </c>
      <c r="N403" s="32" t="s">
        <v>278</v>
      </c>
      <c r="O403" s="33">
        <v>0</v>
      </c>
      <c r="P403" s="30" t="s">
        <v>39</v>
      </c>
      <c r="Q403" s="30" t="s">
        <v>31</v>
      </c>
      <c r="R403" s="34" t="s">
        <v>47</v>
      </c>
      <c r="S403" s="35">
        <v>48010</v>
      </c>
      <c r="T403" s="36" t="s">
        <v>279</v>
      </c>
      <c r="U403" s="30" t="s">
        <v>279</v>
      </c>
      <c r="V403" s="37" t="e">
        <v>#N/A</v>
      </c>
      <c r="W403" s="31" t="s">
        <v>33</v>
      </c>
      <c r="X403" s="37"/>
      <c r="Y403" s="37">
        <f>COUNTIF(F:F,F403)</f>
        <v>1</v>
      </c>
      <c r="Z403" s="21" t="s">
        <v>1105</v>
      </c>
      <c r="AA403" s="21" t="s">
        <v>279</v>
      </c>
      <c r="AB403" s="21" t="s">
        <v>1119</v>
      </c>
    </row>
    <row r="404" spans="1:28" ht="13.9" customHeight="1" x14ac:dyDescent="0.3">
      <c r="A404" s="30" t="s">
        <v>20</v>
      </c>
      <c r="B404" s="30" t="s">
        <v>21</v>
      </c>
      <c r="C404" s="30" t="s">
        <v>22</v>
      </c>
      <c r="D404" s="30" t="s">
        <v>23</v>
      </c>
      <c r="E404" s="30" t="s">
        <v>543</v>
      </c>
      <c r="F404" s="31" t="s">
        <v>543</v>
      </c>
      <c r="G404" s="30" t="s">
        <v>26</v>
      </c>
      <c r="H404" s="30" t="s">
        <v>27</v>
      </c>
      <c r="I404" s="30">
        <v>3</v>
      </c>
      <c r="J404" s="30"/>
      <c r="K404" s="30"/>
      <c r="L404" s="32">
        <v>106.24536000000001</v>
      </c>
      <c r="M404" s="32">
        <v>10.381740000000001</v>
      </c>
      <c r="N404" s="32" t="s">
        <v>278</v>
      </c>
      <c r="O404" s="33">
        <v>0</v>
      </c>
      <c r="P404" s="30" t="s">
        <v>30</v>
      </c>
      <c r="Q404" s="30" t="s">
        <v>31</v>
      </c>
      <c r="R404" s="34" t="s">
        <v>47</v>
      </c>
      <c r="S404" s="35">
        <v>48010</v>
      </c>
      <c r="T404" s="36" t="s">
        <v>279</v>
      </c>
      <c r="U404" s="30" t="s">
        <v>279</v>
      </c>
      <c r="V404" s="37" t="e">
        <v>#N/A</v>
      </c>
      <c r="W404" s="31" t="s">
        <v>33</v>
      </c>
      <c r="X404" s="37"/>
      <c r="Y404" s="37">
        <f>COUNTIF(F:F,F404)</f>
        <v>1</v>
      </c>
      <c r="Z404" s="21" t="s">
        <v>1105</v>
      </c>
      <c r="AA404" s="21" t="s">
        <v>279</v>
      </c>
      <c r="AB404" s="21" t="s">
        <v>1119</v>
      </c>
    </row>
    <row r="405" spans="1:28" ht="13.9" customHeight="1" x14ac:dyDescent="0.3">
      <c r="A405" s="30" t="s">
        <v>20</v>
      </c>
      <c r="B405" s="30" t="s">
        <v>21</v>
      </c>
      <c r="C405" s="30" t="s">
        <v>22</v>
      </c>
      <c r="D405" s="30" t="s">
        <v>23</v>
      </c>
      <c r="E405" s="30" t="s">
        <v>545</v>
      </c>
      <c r="F405" s="31" t="s">
        <v>545</v>
      </c>
      <c r="G405" s="30" t="s">
        <v>26</v>
      </c>
      <c r="H405" s="30" t="s">
        <v>27</v>
      </c>
      <c r="I405" s="30">
        <v>3</v>
      </c>
      <c r="J405" s="30"/>
      <c r="K405" s="30"/>
      <c r="L405" s="32">
        <v>106.28791</v>
      </c>
      <c r="M405" s="32">
        <v>10.37457</v>
      </c>
      <c r="N405" s="32" t="s">
        <v>278</v>
      </c>
      <c r="O405" s="33">
        <v>0</v>
      </c>
      <c r="P405" s="30" t="s">
        <v>30</v>
      </c>
      <c r="Q405" s="30" t="s">
        <v>31</v>
      </c>
      <c r="R405" s="34" t="s">
        <v>47</v>
      </c>
      <c r="S405" s="35">
        <v>48010</v>
      </c>
      <c r="T405" s="36" t="s">
        <v>279</v>
      </c>
      <c r="U405" s="30" t="s">
        <v>279</v>
      </c>
      <c r="V405" s="37" t="e">
        <v>#N/A</v>
      </c>
      <c r="W405" s="31" t="s">
        <v>33</v>
      </c>
      <c r="X405" s="37"/>
      <c r="Y405" s="37">
        <f>COUNTIF(F:F,F405)</f>
        <v>1</v>
      </c>
      <c r="Z405" s="21" t="s">
        <v>1105</v>
      </c>
      <c r="AA405" s="21" t="s">
        <v>279</v>
      </c>
      <c r="AB405" s="21" t="s">
        <v>1119</v>
      </c>
    </row>
    <row r="406" spans="1:28" ht="13.9" customHeight="1" x14ac:dyDescent="0.3">
      <c r="A406" s="30" t="s">
        <v>20</v>
      </c>
      <c r="B406" s="30" t="s">
        <v>21</v>
      </c>
      <c r="C406" s="30" t="s">
        <v>22</v>
      </c>
      <c r="D406" s="30" t="s">
        <v>23</v>
      </c>
      <c r="E406" s="30" t="s">
        <v>546</v>
      </c>
      <c r="F406" s="31" t="s">
        <v>546</v>
      </c>
      <c r="G406" s="30" t="s">
        <v>26</v>
      </c>
      <c r="H406" s="30" t="s">
        <v>27</v>
      </c>
      <c r="I406" s="30">
        <v>3</v>
      </c>
      <c r="J406" s="30"/>
      <c r="K406" s="30"/>
      <c r="L406" s="32">
        <v>106.23309999999999</v>
      </c>
      <c r="M406" s="32">
        <v>10.36984</v>
      </c>
      <c r="N406" s="32" t="s">
        <v>278</v>
      </c>
      <c r="O406" s="33">
        <v>0</v>
      </c>
      <c r="P406" s="30" t="s">
        <v>30</v>
      </c>
      <c r="Q406" s="30" t="s">
        <v>31</v>
      </c>
      <c r="R406" s="34" t="s">
        <v>47</v>
      </c>
      <c r="S406" s="35">
        <v>48010</v>
      </c>
      <c r="T406" s="36" t="s">
        <v>279</v>
      </c>
      <c r="U406" s="30" t="s">
        <v>279</v>
      </c>
      <c r="V406" s="37" t="e">
        <v>#N/A</v>
      </c>
      <c r="W406" s="31" t="s">
        <v>33</v>
      </c>
      <c r="X406" s="37"/>
      <c r="Y406" s="37">
        <f>COUNTIF(F:F,F406)</f>
        <v>1</v>
      </c>
      <c r="Z406" s="21" t="s">
        <v>1105</v>
      </c>
      <c r="AA406" s="21" t="s">
        <v>279</v>
      </c>
      <c r="AB406" s="21" t="s">
        <v>1119</v>
      </c>
    </row>
    <row r="407" spans="1:28" ht="13.9" customHeight="1" x14ac:dyDescent="0.3">
      <c r="A407" s="30" t="s">
        <v>20</v>
      </c>
      <c r="B407" s="30" t="s">
        <v>21</v>
      </c>
      <c r="C407" s="30" t="s">
        <v>22</v>
      </c>
      <c r="D407" s="30" t="s">
        <v>23</v>
      </c>
      <c r="E407" s="30" t="s">
        <v>547</v>
      </c>
      <c r="F407" s="31" t="s">
        <v>547</v>
      </c>
      <c r="G407" s="30" t="s">
        <v>26</v>
      </c>
      <c r="H407" s="30" t="s">
        <v>27</v>
      </c>
      <c r="I407" s="30">
        <v>3</v>
      </c>
      <c r="J407" s="30"/>
      <c r="K407" s="30"/>
      <c r="L407" s="32">
        <v>106.25532</v>
      </c>
      <c r="M407" s="32">
        <v>10.34634</v>
      </c>
      <c r="N407" s="32" t="s">
        <v>278</v>
      </c>
      <c r="O407" s="33">
        <v>0</v>
      </c>
      <c r="P407" s="30" t="s">
        <v>30</v>
      </c>
      <c r="Q407" s="30" t="s">
        <v>31</v>
      </c>
      <c r="R407" s="34" t="s">
        <v>47</v>
      </c>
      <c r="S407" s="35">
        <v>48010</v>
      </c>
      <c r="T407" s="36" t="s">
        <v>279</v>
      </c>
      <c r="U407" s="30" t="s">
        <v>279</v>
      </c>
      <c r="V407" s="37" t="e">
        <v>#N/A</v>
      </c>
      <c r="W407" s="31" t="s">
        <v>33</v>
      </c>
      <c r="X407" s="37"/>
      <c r="Y407" s="37">
        <f>COUNTIF(F:F,F407)</f>
        <v>1</v>
      </c>
      <c r="Z407" s="21" t="s">
        <v>1105</v>
      </c>
      <c r="AA407" s="21" t="s">
        <v>279</v>
      </c>
      <c r="AB407" s="21" t="s">
        <v>1119</v>
      </c>
    </row>
    <row r="408" spans="1:28" ht="13.9" customHeight="1" x14ac:dyDescent="0.3">
      <c r="A408" s="30" t="s">
        <v>20</v>
      </c>
      <c r="B408" s="30" t="s">
        <v>21</v>
      </c>
      <c r="C408" s="30" t="s">
        <v>22</v>
      </c>
      <c r="D408" s="30" t="s">
        <v>23</v>
      </c>
      <c r="E408" s="30" t="s">
        <v>541</v>
      </c>
      <c r="F408" s="31" t="s">
        <v>542</v>
      </c>
      <c r="G408" s="30" t="s">
        <v>26</v>
      </c>
      <c r="H408" s="30" t="s">
        <v>27</v>
      </c>
      <c r="I408" s="30">
        <v>3</v>
      </c>
      <c r="J408" s="30"/>
      <c r="K408" s="30"/>
      <c r="L408" s="32">
        <v>106.28095999999999</v>
      </c>
      <c r="M408" s="32">
        <v>10.347049999999999</v>
      </c>
      <c r="N408" s="32" t="s">
        <v>278</v>
      </c>
      <c r="O408" s="33">
        <v>0</v>
      </c>
      <c r="P408" s="30" t="s">
        <v>30</v>
      </c>
      <c r="Q408" s="30" t="s">
        <v>31</v>
      </c>
      <c r="R408" s="34" t="s">
        <v>47</v>
      </c>
      <c r="S408" s="35">
        <v>48010</v>
      </c>
      <c r="T408" s="36" t="s">
        <v>279</v>
      </c>
      <c r="U408" s="30" t="s">
        <v>279</v>
      </c>
      <c r="V408" s="37" t="s">
        <v>306</v>
      </c>
      <c r="W408" s="31" t="s">
        <v>50</v>
      </c>
      <c r="X408" s="37" t="s">
        <v>52</v>
      </c>
      <c r="Y408" s="37">
        <f>COUNTIF(F:F,F408)</f>
        <v>4</v>
      </c>
      <c r="Z408" s="21" t="s">
        <v>1105</v>
      </c>
      <c r="AA408" s="21" t="s">
        <v>279</v>
      </c>
      <c r="AB408" s="21" t="s">
        <v>1119</v>
      </c>
    </row>
    <row r="409" spans="1:28" ht="13.9" customHeight="1" x14ac:dyDescent="0.3">
      <c r="A409" s="30" t="s">
        <v>20</v>
      </c>
      <c r="B409" s="30" t="s">
        <v>21</v>
      </c>
      <c r="C409" s="30" t="s">
        <v>22</v>
      </c>
      <c r="D409" s="30" t="s">
        <v>23</v>
      </c>
      <c r="E409" s="30" t="s">
        <v>542</v>
      </c>
      <c r="F409" s="31" t="s">
        <v>542</v>
      </c>
      <c r="G409" s="30" t="s">
        <v>26</v>
      </c>
      <c r="H409" s="30" t="s">
        <v>36</v>
      </c>
      <c r="I409" s="30">
        <v>3</v>
      </c>
      <c r="J409" s="30" t="s">
        <v>37</v>
      </c>
      <c r="K409" s="30" t="s">
        <v>38</v>
      </c>
      <c r="L409" s="32">
        <v>106.29627000000001</v>
      </c>
      <c r="M409" s="32">
        <v>10.34286</v>
      </c>
      <c r="N409" s="32" t="s">
        <v>278</v>
      </c>
      <c r="O409" s="33">
        <v>0</v>
      </c>
      <c r="P409" s="30" t="s">
        <v>39</v>
      </c>
      <c r="Q409" s="30" t="s">
        <v>31</v>
      </c>
      <c r="R409" s="34" t="s">
        <v>47</v>
      </c>
      <c r="S409" s="35">
        <v>48010</v>
      </c>
      <c r="T409" s="36" t="s">
        <v>279</v>
      </c>
      <c r="U409" s="30" t="s">
        <v>279</v>
      </c>
      <c r="V409" s="37" t="e">
        <v>#N/A</v>
      </c>
      <c r="W409" s="31" t="s">
        <v>33</v>
      </c>
      <c r="X409" s="37" t="s">
        <v>42</v>
      </c>
      <c r="Y409" s="37">
        <f>COUNTIF(F:F,F409)</f>
        <v>4</v>
      </c>
      <c r="Z409" s="21" t="s">
        <v>1105</v>
      </c>
      <c r="AA409" s="21" t="s">
        <v>279</v>
      </c>
      <c r="AB409" s="21" t="s">
        <v>1119</v>
      </c>
    </row>
    <row r="410" spans="1:28" ht="13.9" customHeight="1" x14ac:dyDescent="0.3">
      <c r="A410" s="36" t="s">
        <v>20</v>
      </c>
      <c r="B410" s="36" t="s">
        <v>21</v>
      </c>
      <c r="C410" s="36" t="s">
        <v>22</v>
      </c>
      <c r="D410" s="36" t="s">
        <v>23</v>
      </c>
      <c r="E410" s="36" t="s">
        <v>561</v>
      </c>
      <c r="F410" s="31" t="s">
        <v>542</v>
      </c>
      <c r="G410" s="36" t="s">
        <v>26</v>
      </c>
      <c r="H410" s="36" t="s">
        <v>36</v>
      </c>
      <c r="I410" s="36">
        <v>4</v>
      </c>
      <c r="J410" s="36" t="s">
        <v>37</v>
      </c>
      <c r="K410" s="36" t="s">
        <v>38</v>
      </c>
      <c r="L410" s="38">
        <v>106.3036</v>
      </c>
      <c r="M410" s="38">
        <v>10.34125</v>
      </c>
      <c r="N410" s="38" t="s">
        <v>278</v>
      </c>
      <c r="O410" s="39">
        <v>0</v>
      </c>
      <c r="P410" s="36" t="s">
        <v>39</v>
      </c>
      <c r="Q410" s="30" t="s">
        <v>31</v>
      </c>
      <c r="R410" s="40" t="s">
        <v>47</v>
      </c>
      <c r="S410" s="35">
        <v>48010</v>
      </c>
      <c r="T410" s="36" t="s">
        <v>279</v>
      </c>
      <c r="U410" s="30" t="s">
        <v>279</v>
      </c>
      <c r="V410" s="37" t="e">
        <v>#N/A</v>
      </c>
      <c r="W410" s="31" t="s">
        <v>63</v>
      </c>
      <c r="X410" s="37" t="s">
        <v>52</v>
      </c>
      <c r="Y410" s="37">
        <f>COUNTIF(F:F,F410)</f>
        <v>4</v>
      </c>
      <c r="Z410" s="21" t="s">
        <v>1105</v>
      </c>
      <c r="AA410" s="21" t="s">
        <v>279</v>
      </c>
      <c r="AB410" s="21" t="s">
        <v>1119</v>
      </c>
    </row>
    <row r="411" spans="1:28" ht="13.9" customHeight="1" x14ac:dyDescent="0.3">
      <c r="A411" s="30" t="s">
        <v>20</v>
      </c>
      <c r="B411" s="30" t="s">
        <v>21</v>
      </c>
      <c r="C411" s="30" t="s">
        <v>22</v>
      </c>
      <c r="D411" s="30" t="s">
        <v>23</v>
      </c>
      <c r="E411" s="30" t="s">
        <v>669</v>
      </c>
      <c r="F411" s="31" t="s">
        <v>542</v>
      </c>
      <c r="G411" s="30" t="s">
        <v>26</v>
      </c>
      <c r="H411" s="30" t="s">
        <v>36</v>
      </c>
      <c r="I411" s="30">
        <v>3</v>
      </c>
      <c r="J411" s="30" t="s">
        <v>37</v>
      </c>
      <c r="K411" s="30" t="s">
        <v>282</v>
      </c>
      <c r="L411" s="32">
        <v>106.31305</v>
      </c>
      <c r="M411" s="32">
        <v>10.34146</v>
      </c>
      <c r="N411" s="32" t="s">
        <v>270</v>
      </c>
      <c r="O411" s="33">
        <v>0</v>
      </c>
      <c r="P411" s="30" t="s">
        <v>39</v>
      </c>
      <c r="Q411" s="30" t="s">
        <v>31</v>
      </c>
      <c r="R411" s="34" t="s">
        <v>47</v>
      </c>
      <c r="S411" s="35">
        <v>48050</v>
      </c>
      <c r="T411" s="36" t="s">
        <v>384</v>
      </c>
      <c r="U411" s="30" t="s">
        <v>279</v>
      </c>
      <c r="V411" s="37" t="s">
        <v>49</v>
      </c>
      <c r="W411" s="31" t="s">
        <v>50</v>
      </c>
      <c r="X411" s="37" t="s">
        <v>52</v>
      </c>
      <c r="Y411" s="37">
        <f>COUNTIF(F:F,F411)</f>
        <v>4</v>
      </c>
      <c r="Z411" s="21" t="s">
        <v>1105</v>
      </c>
      <c r="AA411" s="21" t="s">
        <v>279</v>
      </c>
      <c r="AB411" s="21" t="s">
        <v>1119</v>
      </c>
    </row>
    <row r="412" spans="1:28" ht="13.9" customHeight="1" x14ac:dyDescent="0.3">
      <c r="A412" s="30" t="s">
        <v>20</v>
      </c>
      <c r="B412" s="30" t="s">
        <v>21</v>
      </c>
      <c r="C412" s="30" t="s">
        <v>22</v>
      </c>
      <c r="D412" s="30" t="s">
        <v>23</v>
      </c>
      <c r="E412" s="30" t="s">
        <v>277</v>
      </c>
      <c r="F412" s="31" t="s">
        <v>280</v>
      </c>
      <c r="G412" s="30" t="s">
        <v>26</v>
      </c>
      <c r="H412" s="30" t="s">
        <v>36</v>
      </c>
      <c r="I412" s="30">
        <v>3</v>
      </c>
      <c r="J412" s="30" t="s">
        <v>37</v>
      </c>
      <c r="K412" s="30" t="s">
        <v>38</v>
      </c>
      <c r="L412" s="32">
        <v>106.24437</v>
      </c>
      <c r="M412" s="32">
        <v>10.35745</v>
      </c>
      <c r="N412" s="32" t="s">
        <v>278</v>
      </c>
      <c r="O412" s="33">
        <v>0</v>
      </c>
      <c r="P412" s="30" t="s">
        <v>39</v>
      </c>
      <c r="Q412" s="30" t="s">
        <v>31</v>
      </c>
      <c r="R412" s="34" t="s">
        <v>47</v>
      </c>
      <c r="S412" s="35">
        <v>48010</v>
      </c>
      <c r="T412" s="36" t="s">
        <v>279</v>
      </c>
      <c r="U412" s="30" t="s">
        <v>279</v>
      </c>
      <c r="V412" s="37" t="s">
        <v>49</v>
      </c>
      <c r="W412" s="31" t="s">
        <v>50</v>
      </c>
      <c r="X412" s="37" t="s">
        <v>52</v>
      </c>
      <c r="Y412" s="37">
        <f>COUNTIF(F:F,F412)</f>
        <v>5</v>
      </c>
      <c r="Z412" s="21" t="s">
        <v>1105</v>
      </c>
      <c r="AA412" s="21" t="s">
        <v>279</v>
      </c>
      <c r="AB412" s="21" t="s">
        <v>1119</v>
      </c>
    </row>
    <row r="413" spans="1:28" s="22" customFormat="1" ht="13.9" customHeight="1" x14ac:dyDescent="0.3">
      <c r="A413" s="30" t="s">
        <v>20</v>
      </c>
      <c r="B413" s="30" t="s">
        <v>21</v>
      </c>
      <c r="C413" s="30" t="s">
        <v>22</v>
      </c>
      <c r="D413" s="30" t="s">
        <v>23</v>
      </c>
      <c r="E413" s="30" t="s">
        <v>297</v>
      </c>
      <c r="F413" s="31" t="s">
        <v>280</v>
      </c>
      <c r="G413" s="30" t="s">
        <v>26</v>
      </c>
      <c r="H413" s="30" t="s">
        <v>27</v>
      </c>
      <c r="I413" s="30">
        <v>3</v>
      </c>
      <c r="J413" s="30"/>
      <c r="K413" s="30"/>
      <c r="L413" s="32">
        <v>106.22060999999999</v>
      </c>
      <c r="M413" s="32">
        <v>10.34868</v>
      </c>
      <c r="N413" s="32" t="s">
        <v>278</v>
      </c>
      <c r="O413" s="33">
        <v>0</v>
      </c>
      <c r="P413" s="30" t="s">
        <v>30</v>
      </c>
      <c r="Q413" s="30" t="s">
        <v>31</v>
      </c>
      <c r="R413" s="34" t="s">
        <v>47</v>
      </c>
      <c r="S413" s="35">
        <v>48010</v>
      </c>
      <c r="T413" s="36" t="s">
        <v>298</v>
      </c>
      <c r="U413" s="30" t="s">
        <v>279</v>
      </c>
      <c r="V413" s="37" t="s">
        <v>49</v>
      </c>
      <c r="W413" s="31" t="s">
        <v>50</v>
      </c>
      <c r="X413" s="37" t="s">
        <v>52</v>
      </c>
      <c r="Y413" s="37">
        <f>COUNTIF(F:F,F413)</f>
        <v>5</v>
      </c>
      <c r="Z413" s="21" t="s">
        <v>1105</v>
      </c>
      <c r="AA413" s="21" t="s">
        <v>279</v>
      </c>
      <c r="AB413" s="21" t="s">
        <v>1119</v>
      </c>
    </row>
    <row r="414" spans="1:28" ht="13.9" customHeight="1" x14ac:dyDescent="0.3">
      <c r="A414" s="30" t="s">
        <v>20</v>
      </c>
      <c r="B414" s="30" t="s">
        <v>21</v>
      </c>
      <c r="C414" s="30" t="s">
        <v>22</v>
      </c>
      <c r="D414" s="30" t="s">
        <v>23</v>
      </c>
      <c r="E414" s="30" t="s">
        <v>280</v>
      </c>
      <c r="F414" s="31" t="s">
        <v>280</v>
      </c>
      <c r="G414" s="30" t="s">
        <v>26</v>
      </c>
      <c r="H414" s="30" t="s">
        <v>27</v>
      </c>
      <c r="I414" s="30">
        <v>3</v>
      </c>
      <c r="J414" s="30"/>
      <c r="K414" s="30"/>
      <c r="L414" s="32">
        <v>106.24935000000001</v>
      </c>
      <c r="M414" s="32">
        <v>10.35374</v>
      </c>
      <c r="N414" s="32" t="s">
        <v>278</v>
      </c>
      <c r="O414" s="33">
        <v>0</v>
      </c>
      <c r="P414" s="30" t="s">
        <v>30</v>
      </c>
      <c r="Q414" s="30" t="s">
        <v>31</v>
      </c>
      <c r="R414" s="34" t="s">
        <v>47</v>
      </c>
      <c r="S414" s="35">
        <v>48010</v>
      </c>
      <c r="T414" s="36" t="s">
        <v>279</v>
      </c>
      <c r="U414" s="30" t="s">
        <v>279</v>
      </c>
      <c r="V414" s="37" t="e">
        <v>#N/A</v>
      </c>
      <c r="W414" s="31" t="s">
        <v>33</v>
      </c>
      <c r="X414" s="37" t="s">
        <v>42</v>
      </c>
      <c r="Y414" s="37">
        <f>COUNTIF(F:F,F414)</f>
        <v>5</v>
      </c>
      <c r="Z414" s="21" t="s">
        <v>1105</v>
      </c>
      <c r="AA414" s="21" t="s">
        <v>279</v>
      </c>
      <c r="AB414" s="21" t="s">
        <v>1119</v>
      </c>
    </row>
    <row r="415" spans="1:28" ht="13.9" customHeight="1" x14ac:dyDescent="0.3">
      <c r="A415" s="30" t="s">
        <v>20</v>
      </c>
      <c r="B415" s="30" t="s">
        <v>21</v>
      </c>
      <c r="C415" s="30" t="s">
        <v>22</v>
      </c>
      <c r="D415" s="30" t="s">
        <v>23</v>
      </c>
      <c r="E415" s="30" t="s">
        <v>562</v>
      </c>
      <c r="F415" s="31" t="s">
        <v>280</v>
      </c>
      <c r="G415" s="30" t="s">
        <v>26</v>
      </c>
      <c r="H415" s="30" t="s">
        <v>27</v>
      </c>
      <c r="I415" s="30">
        <v>3</v>
      </c>
      <c r="J415" s="30"/>
      <c r="K415" s="30"/>
      <c r="L415" s="32">
        <v>106.26116</v>
      </c>
      <c r="M415" s="32">
        <v>10.36257</v>
      </c>
      <c r="N415" s="32" t="s">
        <v>278</v>
      </c>
      <c r="O415" s="33">
        <v>0</v>
      </c>
      <c r="P415" s="30" t="s">
        <v>30</v>
      </c>
      <c r="Q415" s="30" t="s">
        <v>31</v>
      </c>
      <c r="R415" s="34" t="s">
        <v>47</v>
      </c>
      <c r="S415" s="35">
        <v>48010</v>
      </c>
      <c r="T415" s="36" t="s">
        <v>279</v>
      </c>
      <c r="U415" s="30" t="s">
        <v>279</v>
      </c>
      <c r="V415" s="37" t="e">
        <v>#N/A</v>
      </c>
      <c r="W415" s="31" t="s">
        <v>63</v>
      </c>
      <c r="X415" s="37" t="s">
        <v>52</v>
      </c>
      <c r="Y415" s="37">
        <f>COUNTIF(F:F,F415)</f>
        <v>5</v>
      </c>
      <c r="Z415" s="21" t="s">
        <v>1105</v>
      </c>
      <c r="AA415" s="21" t="s">
        <v>279</v>
      </c>
      <c r="AB415" s="21" t="s">
        <v>1119</v>
      </c>
    </row>
    <row r="416" spans="1:28" ht="13.9" customHeight="1" x14ac:dyDescent="0.3">
      <c r="A416" s="30" t="s">
        <v>20</v>
      </c>
      <c r="B416" s="30" t="s">
        <v>21</v>
      </c>
      <c r="C416" s="30" t="s">
        <v>22</v>
      </c>
      <c r="D416" s="30" t="s">
        <v>23</v>
      </c>
      <c r="E416" s="30" t="s">
        <v>563</v>
      </c>
      <c r="F416" s="31" t="s">
        <v>280</v>
      </c>
      <c r="G416" s="30" t="s">
        <v>26</v>
      </c>
      <c r="H416" s="30" t="s">
        <v>27</v>
      </c>
      <c r="I416" s="30">
        <v>3</v>
      </c>
      <c r="J416" s="30"/>
      <c r="K416" s="30"/>
      <c r="L416" s="32">
        <v>106.2253</v>
      </c>
      <c r="M416" s="32">
        <v>10.360440000000001</v>
      </c>
      <c r="N416" s="32" t="s">
        <v>278</v>
      </c>
      <c r="O416" s="33">
        <v>0</v>
      </c>
      <c r="P416" s="30" t="s">
        <v>30</v>
      </c>
      <c r="Q416" s="30" t="s">
        <v>31</v>
      </c>
      <c r="R416" s="34" t="s">
        <v>47</v>
      </c>
      <c r="S416" s="35">
        <v>48010</v>
      </c>
      <c r="T416" s="36" t="s">
        <v>279</v>
      </c>
      <c r="U416" s="30" t="s">
        <v>279</v>
      </c>
      <c r="V416" s="37" t="e">
        <v>#N/A</v>
      </c>
      <c r="W416" s="31" t="s">
        <v>63</v>
      </c>
      <c r="X416" s="37" t="s">
        <v>52</v>
      </c>
      <c r="Y416" s="37">
        <f>COUNTIF(F:F,F416)</f>
        <v>5</v>
      </c>
      <c r="Z416" s="21" t="s">
        <v>1105</v>
      </c>
      <c r="AA416" s="21" t="s">
        <v>279</v>
      </c>
      <c r="AB416" s="21" t="s">
        <v>1119</v>
      </c>
    </row>
    <row r="417" spans="1:28" ht="13.9" customHeight="1" x14ac:dyDescent="0.3">
      <c r="A417" s="30" t="s">
        <v>20</v>
      </c>
      <c r="B417" s="30" t="s">
        <v>21</v>
      </c>
      <c r="C417" s="30" t="s">
        <v>22</v>
      </c>
      <c r="D417" s="30" t="s">
        <v>23</v>
      </c>
      <c r="E417" s="30" t="s">
        <v>548</v>
      </c>
      <c r="F417" s="31" t="s">
        <v>548</v>
      </c>
      <c r="G417" s="30" t="s">
        <v>26</v>
      </c>
      <c r="H417" s="30" t="s">
        <v>27</v>
      </c>
      <c r="I417" s="30">
        <v>3</v>
      </c>
      <c r="J417" s="30"/>
      <c r="K417" s="30"/>
      <c r="L417" s="32">
        <v>106.26611</v>
      </c>
      <c r="M417" s="32">
        <v>10.38134</v>
      </c>
      <c r="N417" s="32" t="s">
        <v>278</v>
      </c>
      <c r="O417" s="33">
        <v>0</v>
      </c>
      <c r="P417" s="30" t="s">
        <v>30</v>
      </c>
      <c r="Q417" s="30" t="s">
        <v>31</v>
      </c>
      <c r="R417" s="34" t="s">
        <v>47</v>
      </c>
      <c r="S417" s="35">
        <v>48010</v>
      </c>
      <c r="T417" s="36" t="s">
        <v>279</v>
      </c>
      <c r="U417" s="30" t="s">
        <v>279</v>
      </c>
      <c r="V417" s="37" t="e">
        <v>#N/A</v>
      </c>
      <c r="W417" s="31" t="s">
        <v>33</v>
      </c>
      <c r="X417" s="37"/>
      <c r="Y417" s="37">
        <f>COUNTIF(F:F,F417)</f>
        <v>1</v>
      </c>
      <c r="Z417" s="21" t="s">
        <v>1105</v>
      </c>
      <c r="AA417" s="21" t="s">
        <v>279</v>
      </c>
      <c r="AB417" s="21" t="s">
        <v>1119</v>
      </c>
    </row>
    <row r="418" spans="1:28" ht="13.9" customHeight="1" x14ac:dyDescent="0.3">
      <c r="A418" s="30" t="s">
        <v>20</v>
      </c>
      <c r="B418" s="30" t="s">
        <v>21</v>
      </c>
      <c r="C418" s="30" t="s">
        <v>22</v>
      </c>
      <c r="D418" s="30" t="s">
        <v>23</v>
      </c>
      <c r="E418" s="30" t="s">
        <v>550</v>
      </c>
      <c r="F418" s="31" t="s">
        <v>550</v>
      </c>
      <c r="G418" s="30" t="s">
        <v>26</v>
      </c>
      <c r="H418" s="30" t="s">
        <v>27</v>
      </c>
      <c r="I418" s="30">
        <v>3</v>
      </c>
      <c r="J418" s="30"/>
      <c r="K418" s="30"/>
      <c r="L418" s="32">
        <v>106.22628</v>
      </c>
      <c r="M418" s="32">
        <v>10.32516</v>
      </c>
      <c r="N418" s="32" t="s">
        <v>278</v>
      </c>
      <c r="O418" s="33">
        <v>0</v>
      </c>
      <c r="P418" s="30" t="s">
        <v>30</v>
      </c>
      <c r="Q418" s="30" t="s">
        <v>31</v>
      </c>
      <c r="R418" s="34" t="s">
        <v>47</v>
      </c>
      <c r="S418" s="35">
        <v>48010</v>
      </c>
      <c r="T418" s="36" t="s">
        <v>298</v>
      </c>
      <c r="U418" s="30" t="s">
        <v>279</v>
      </c>
      <c r="V418" s="37" t="e">
        <v>#N/A</v>
      </c>
      <c r="W418" s="31" t="s">
        <v>33</v>
      </c>
      <c r="X418" s="37"/>
      <c r="Y418" s="37">
        <f>COUNTIF(F:F,F418)</f>
        <v>1</v>
      </c>
      <c r="Z418" s="21" t="s">
        <v>1105</v>
      </c>
      <c r="AA418" s="21" t="s">
        <v>279</v>
      </c>
      <c r="AB418" s="21" t="s">
        <v>1119</v>
      </c>
    </row>
    <row r="419" spans="1:28" ht="13.9" customHeight="1" x14ac:dyDescent="0.3">
      <c r="A419" s="30" t="s">
        <v>20</v>
      </c>
      <c r="B419" s="30" t="s">
        <v>21</v>
      </c>
      <c r="C419" s="30" t="s">
        <v>22</v>
      </c>
      <c r="D419" s="30" t="s">
        <v>23</v>
      </c>
      <c r="E419" s="30" t="s">
        <v>551</v>
      </c>
      <c r="F419" s="31" t="s">
        <v>551</v>
      </c>
      <c r="G419" s="30" t="s">
        <v>26</v>
      </c>
      <c r="H419" s="30" t="s">
        <v>27</v>
      </c>
      <c r="I419" s="30">
        <v>3</v>
      </c>
      <c r="J419" s="30"/>
      <c r="K419" s="30"/>
      <c r="L419" s="32">
        <v>106.23520000000001</v>
      </c>
      <c r="M419" s="32">
        <v>10.340310000000001</v>
      </c>
      <c r="N419" s="32" t="s">
        <v>278</v>
      </c>
      <c r="O419" s="33">
        <v>0</v>
      </c>
      <c r="P419" s="30" t="s">
        <v>30</v>
      </c>
      <c r="Q419" s="47" t="s">
        <v>31</v>
      </c>
      <c r="R419" s="34" t="s">
        <v>47</v>
      </c>
      <c r="S419" s="35">
        <v>48010</v>
      </c>
      <c r="T419" s="36" t="s">
        <v>298</v>
      </c>
      <c r="U419" s="30" t="s">
        <v>279</v>
      </c>
      <c r="V419" s="37" t="e">
        <v>#N/A</v>
      </c>
      <c r="W419" s="31" t="s">
        <v>33</v>
      </c>
      <c r="X419" s="37"/>
      <c r="Y419" s="37">
        <f>COUNTIF(F:F,F419)</f>
        <v>1</v>
      </c>
      <c r="Z419" s="21" t="s">
        <v>1105</v>
      </c>
      <c r="AA419" s="21" t="s">
        <v>279</v>
      </c>
      <c r="AB419" s="21" t="s">
        <v>1119</v>
      </c>
    </row>
    <row r="420" spans="1:28" ht="13.9" customHeight="1" x14ac:dyDescent="0.3">
      <c r="A420" s="30" t="s">
        <v>20</v>
      </c>
      <c r="B420" s="30" t="s">
        <v>21</v>
      </c>
      <c r="C420" s="30" t="s">
        <v>22</v>
      </c>
      <c r="D420" s="30" t="s">
        <v>23</v>
      </c>
      <c r="E420" s="30" t="s">
        <v>552</v>
      </c>
      <c r="F420" s="31" t="s">
        <v>552</v>
      </c>
      <c r="G420" s="30" t="s">
        <v>26</v>
      </c>
      <c r="H420" s="30" t="s">
        <v>36</v>
      </c>
      <c r="I420" s="30">
        <v>3</v>
      </c>
      <c r="J420" s="30" t="s">
        <v>37</v>
      </c>
      <c r="K420" s="30" t="s">
        <v>38</v>
      </c>
      <c r="L420" s="32">
        <v>106.28156869999999</v>
      </c>
      <c r="M420" s="32">
        <v>10.3372347</v>
      </c>
      <c r="N420" s="32" t="s">
        <v>278</v>
      </c>
      <c r="O420" s="33">
        <v>0</v>
      </c>
      <c r="P420" s="30" t="s">
        <v>39</v>
      </c>
      <c r="Q420" s="30" t="s">
        <v>31</v>
      </c>
      <c r="R420" s="34" t="s">
        <v>47</v>
      </c>
      <c r="S420" s="35">
        <v>48010</v>
      </c>
      <c r="T420" s="36" t="s">
        <v>279</v>
      </c>
      <c r="U420" s="30" t="s">
        <v>279</v>
      </c>
      <c r="V420" s="37" t="e">
        <v>#N/A</v>
      </c>
      <c r="W420" s="31" t="s">
        <v>33</v>
      </c>
      <c r="X420" s="37"/>
      <c r="Y420" s="37">
        <f>COUNTIF(F:F,F420)</f>
        <v>1</v>
      </c>
      <c r="Z420" s="21" t="s">
        <v>1105</v>
      </c>
      <c r="AA420" s="21" t="s">
        <v>279</v>
      </c>
      <c r="AB420" s="21" t="s">
        <v>1119</v>
      </c>
    </row>
    <row r="421" spans="1:28" ht="13.9" customHeight="1" x14ac:dyDescent="0.3">
      <c r="A421" s="30" t="s">
        <v>20</v>
      </c>
      <c r="B421" s="30" t="s">
        <v>21</v>
      </c>
      <c r="C421" s="30" t="s">
        <v>22</v>
      </c>
      <c r="D421" s="30" t="s">
        <v>23</v>
      </c>
      <c r="E421" s="30" t="s">
        <v>519</v>
      </c>
      <c r="F421" s="31" t="s">
        <v>519</v>
      </c>
      <c r="G421" s="30" t="s">
        <v>26</v>
      </c>
      <c r="H421" s="30" t="s">
        <v>27</v>
      </c>
      <c r="I421" s="30">
        <v>3</v>
      </c>
      <c r="J421" s="30"/>
      <c r="K421" s="30"/>
      <c r="L421" s="32">
        <v>106.1381652</v>
      </c>
      <c r="M421" s="32">
        <v>10.3488238</v>
      </c>
      <c r="N421" s="32" t="s">
        <v>173</v>
      </c>
      <c r="O421" s="33">
        <v>0</v>
      </c>
      <c r="P421" s="30" t="s">
        <v>30</v>
      </c>
      <c r="Q421" s="30" t="s">
        <v>31</v>
      </c>
      <c r="R421" s="34" t="s">
        <v>47</v>
      </c>
      <c r="S421" s="35">
        <v>48080</v>
      </c>
      <c r="T421" s="36" t="s">
        <v>564</v>
      </c>
      <c r="U421" s="30" t="s">
        <v>564</v>
      </c>
      <c r="V421" s="37" t="e">
        <v>#N/A</v>
      </c>
      <c r="W421" s="31" t="s">
        <v>33</v>
      </c>
      <c r="X421" s="37" t="s">
        <v>42</v>
      </c>
      <c r="Y421" s="37">
        <f>COUNTIF(F:F,F421)</f>
        <v>5</v>
      </c>
      <c r="Z421" s="21" t="s">
        <v>1105</v>
      </c>
      <c r="AA421" s="21" t="s">
        <v>564</v>
      </c>
      <c r="AB421" s="21" t="s">
        <v>1119</v>
      </c>
    </row>
    <row r="422" spans="1:28" ht="13.9" customHeight="1" x14ac:dyDescent="0.3">
      <c r="A422" s="36" t="s">
        <v>20</v>
      </c>
      <c r="B422" s="36" t="s">
        <v>21</v>
      </c>
      <c r="C422" s="36" t="s">
        <v>22</v>
      </c>
      <c r="D422" s="36" t="s">
        <v>23</v>
      </c>
      <c r="E422" s="36" t="s">
        <v>565</v>
      </c>
      <c r="F422" s="31" t="s">
        <v>519</v>
      </c>
      <c r="G422" s="36" t="s">
        <v>26</v>
      </c>
      <c r="H422" s="36" t="s">
        <v>27</v>
      </c>
      <c r="I422" s="36">
        <v>3</v>
      </c>
      <c r="J422" s="36" t="s">
        <v>37</v>
      </c>
      <c r="K422" s="36" t="s">
        <v>38</v>
      </c>
      <c r="L422" s="38">
        <v>106.1547092</v>
      </c>
      <c r="M422" s="38">
        <v>10.354159299999999</v>
      </c>
      <c r="N422" s="38" t="s">
        <v>173</v>
      </c>
      <c r="O422" s="39">
        <v>0</v>
      </c>
      <c r="P422" s="36" t="s">
        <v>41</v>
      </c>
      <c r="Q422" s="30" t="s">
        <v>31</v>
      </c>
      <c r="R422" s="40" t="s">
        <v>47</v>
      </c>
      <c r="S422" s="35">
        <v>48080</v>
      </c>
      <c r="T422" s="36" t="s">
        <v>564</v>
      </c>
      <c r="U422" s="30" t="s">
        <v>564</v>
      </c>
      <c r="V422" s="37" t="e">
        <v>#N/A</v>
      </c>
      <c r="W422" s="31" t="s">
        <v>63</v>
      </c>
      <c r="X422" s="37" t="s">
        <v>52</v>
      </c>
      <c r="Y422" s="37">
        <f>COUNTIF(F:F,F422)</f>
        <v>5</v>
      </c>
      <c r="Z422" s="21" t="s">
        <v>1105</v>
      </c>
      <c r="AA422" s="21" t="s">
        <v>564</v>
      </c>
      <c r="AB422" s="21" t="s">
        <v>1119</v>
      </c>
    </row>
    <row r="423" spans="1:28" ht="13.9" customHeight="1" x14ac:dyDescent="0.3">
      <c r="A423" s="36" t="s">
        <v>20</v>
      </c>
      <c r="B423" s="36" t="s">
        <v>21</v>
      </c>
      <c r="C423" s="36" t="s">
        <v>22</v>
      </c>
      <c r="D423" s="36" t="s">
        <v>23</v>
      </c>
      <c r="E423" s="36" t="s">
        <v>566</v>
      </c>
      <c r="F423" s="31" t="s">
        <v>519</v>
      </c>
      <c r="G423" s="36" t="s">
        <v>26</v>
      </c>
      <c r="H423" s="36" t="s">
        <v>27</v>
      </c>
      <c r="I423" s="36">
        <v>3</v>
      </c>
      <c r="J423" s="36"/>
      <c r="K423" s="36"/>
      <c r="L423" s="38">
        <v>106.15494889999999</v>
      </c>
      <c r="M423" s="38">
        <v>10.334053900000001</v>
      </c>
      <c r="N423" s="38" t="s">
        <v>173</v>
      </c>
      <c r="O423" s="39">
        <v>0</v>
      </c>
      <c r="P423" s="36" t="s">
        <v>30</v>
      </c>
      <c r="Q423" s="30" t="s">
        <v>31</v>
      </c>
      <c r="R423" s="40" t="s">
        <v>47</v>
      </c>
      <c r="S423" s="35">
        <v>48080</v>
      </c>
      <c r="T423" s="36" t="s">
        <v>564</v>
      </c>
      <c r="U423" s="30" t="s">
        <v>564</v>
      </c>
      <c r="V423" s="37" t="e">
        <v>#N/A</v>
      </c>
      <c r="W423" s="31" t="s">
        <v>63</v>
      </c>
      <c r="X423" s="37" t="s">
        <v>52</v>
      </c>
      <c r="Y423" s="37">
        <f>COUNTIF(F:F,F423)</f>
        <v>5</v>
      </c>
      <c r="Z423" s="21" t="s">
        <v>1105</v>
      </c>
      <c r="AA423" s="21" t="s">
        <v>564</v>
      </c>
      <c r="AB423" s="21" t="s">
        <v>1119</v>
      </c>
    </row>
    <row r="424" spans="1:28" ht="13.9" customHeight="1" x14ac:dyDescent="0.3">
      <c r="A424" s="36" t="s">
        <v>20</v>
      </c>
      <c r="B424" s="36" t="s">
        <v>21</v>
      </c>
      <c r="C424" s="36" t="s">
        <v>22</v>
      </c>
      <c r="D424" s="36" t="s">
        <v>23</v>
      </c>
      <c r="E424" s="36" t="s">
        <v>567</v>
      </c>
      <c r="F424" s="31" t="s">
        <v>519</v>
      </c>
      <c r="G424" s="36" t="s">
        <v>26</v>
      </c>
      <c r="H424" s="36" t="s">
        <v>27</v>
      </c>
      <c r="I424" s="36">
        <v>3</v>
      </c>
      <c r="J424" s="36" t="s">
        <v>37</v>
      </c>
      <c r="K424" s="36" t="s">
        <v>38</v>
      </c>
      <c r="L424" s="38">
        <v>106.122818</v>
      </c>
      <c r="M424" s="38">
        <v>10.342208400000001</v>
      </c>
      <c r="N424" s="38" t="s">
        <v>173</v>
      </c>
      <c r="O424" s="39">
        <v>0</v>
      </c>
      <c r="P424" s="36" t="s">
        <v>41</v>
      </c>
      <c r="Q424" s="30" t="s">
        <v>31</v>
      </c>
      <c r="R424" s="40" t="s">
        <v>47</v>
      </c>
      <c r="S424" s="35">
        <v>48080</v>
      </c>
      <c r="T424" s="36" t="s">
        <v>564</v>
      </c>
      <c r="U424" s="30" t="s">
        <v>564</v>
      </c>
      <c r="V424" s="37" t="e">
        <v>#N/A</v>
      </c>
      <c r="W424" s="31" t="s">
        <v>63</v>
      </c>
      <c r="X424" s="37" t="s">
        <v>52</v>
      </c>
      <c r="Y424" s="37">
        <f>COUNTIF(F:F,F424)</f>
        <v>5</v>
      </c>
      <c r="Z424" s="21" t="s">
        <v>1105</v>
      </c>
      <c r="AA424" s="21" t="s">
        <v>564</v>
      </c>
      <c r="AB424" s="21" t="s">
        <v>1119</v>
      </c>
    </row>
    <row r="425" spans="1:28" ht="13.9" customHeight="1" x14ac:dyDescent="0.3">
      <c r="A425" s="30" t="s">
        <v>20</v>
      </c>
      <c r="B425" s="30" t="s">
        <v>21</v>
      </c>
      <c r="C425" s="30" t="s">
        <v>22</v>
      </c>
      <c r="D425" s="30" t="s">
        <v>23</v>
      </c>
      <c r="E425" s="30" t="s">
        <v>518</v>
      </c>
      <c r="F425" s="31" t="s">
        <v>519</v>
      </c>
      <c r="G425" s="30" t="s">
        <v>26</v>
      </c>
      <c r="H425" s="30" t="s">
        <v>27</v>
      </c>
      <c r="I425" s="30">
        <v>3</v>
      </c>
      <c r="J425" s="30"/>
      <c r="K425" s="30"/>
      <c r="L425" s="32">
        <v>106.14127999999999</v>
      </c>
      <c r="M425" s="32">
        <v>10.3749</v>
      </c>
      <c r="N425" s="32" t="s">
        <v>429</v>
      </c>
      <c r="O425" s="33">
        <v>0</v>
      </c>
      <c r="P425" s="30" t="s">
        <v>30</v>
      </c>
      <c r="Q425" s="30" t="s">
        <v>31</v>
      </c>
      <c r="R425" s="34" t="s">
        <v>47</v>
      </c>
      <c r="S425" s="35">
        <v>48090</v>
      </c>
      <c r="T425" s="36" t="s">
        <v>458</v>
      </c>
      <c r="U425" s="30" t="s">
        <v>564</v>
      </c>
      <c r="V425" s="37" t="s">
        <v>49</v>
      </c>
      <c r="W425" s="31" t="s">
        <v>50</v>
      </c>
      <c r="X425" s="37" t="s">
        <v>52</v>
      </c>
      <c r="Y425" s="37">
        <f>COUNTIF(F:F,F425)</f>
        <v>5</v>
      </c>
      <c r="Z425" s="21" t="s">
        <v>1105</v>
      </c>
      <c r="AA425" s="21" t="s">
        <v>564</v>
      </c>
      <c r="AB425" s="21" t="s">
        <v>1119</v>
      </c>
    </row>
    <row r="426" spans="1:28" ht="13.9" customHeight="1" x14ac:dyDescent="0.3">
      <c r="A426" s="30" t="s">
        <v>20</v>
      </c>
      <c r="B426" s="30" t="s">
        <v>21</v>
      </c>
      <c r="C426" s="30" t="s">
        <v>22</v>
      </c>
      <c r="D426" s="30" t="s">
        <v>23</v>
      </c>
      <c r="E426" s="30" t="s">
        <v>568</v>
      </c>
      <c r="F426" s="31" t="s">
        <v>568</v>
      </c>
      <c r="G426" s="30" t="s">
        <v>26</v>
      </c>
      <c r="H426" s="30" t="s">
        <v>27</v>
      </c>
      <c r="I426" s="30">
        <v>3</v>
      </c>
      <c r="J426" s="30"/>
      <c r="K426" s="30"/>
      <c r="L426" s="32">
        <v>106.116607</v>
      </c>
      <c r="M426" s="32">
        <v>10.302769400000001</v>
      </c>
      <c r="N426" s="32" t="s">
        <v>173</v>
      </c>
      <c r="O426" s="33">
        <v>0</v>
      </c>
      <c r="P426" s="30" t="s">
        <v>30</v>
      </c>
      <c r="Q426" s="30" t="s">
        <v>31</v>
      </c>
      <c r="R426" s="34" t="s">
        <v>47</v>
      </c>
      <c r="S426" s="35">
        <v>48080</v>
      </c>
      <c r="T426" s="36" t="s">
        <v>564</v>
      </c>
      <c r="U426" s="30" t="s">
        <v>564</v>
      </c>
      <c r="V426" s="37" t="e">
        <v>#N/A</v>
      </c>
      <c r="W426" s="31" t="s">
        <v>33</v>
      </c>
      <c r="X426" s="37" t="s">
        <v>42</v>
      </c>
      <c r="Y426" s="37">
        <f>COUNTIF(F:F,F426)</f>
        <v>2</v>
      </c>
      <c r="Z426" s="21" t="s">
        <v>1105</v>
      </c>
      <c r="AA426" s="21" t="s">
        <v>564</v>
      </c>
      <c r="AB426" s="21" t="s">
        <v>1119</v>
      </c>
    </row>
    <row r="427" spans="1:28" ht="13.9" customHeight="1" x14ac:dyDescent="0.3">
      <c r="A427" s="36" t="s">
        <v>20</v>
      </c>
      <c r="B427" s="36" t="s">
        <v>21</v>
      </c>
      <c r="C427" s="36" t="s">
        <v>22</v>
      </c>
      <c r="D427" s="36" t="s">
        <v>23</v>
      </c>
      <c r="E427" s="36" t="s">
        <v>569</v>
      </c>
      <c r="F427" s="31" t="s">
        <v>568</v>
      </c>
      <c r="G427" s="36" t="s">
        <v>26</v>
      </c>
      <c r="H427" s="36" t="s">
        <v>27</v>
      </c>
      <c r="I427" s="36">
        <v>3</v>
      </c>
      <c r="J427" s="36"/>
      <c r="K427" s="36"/>
      <c r="L427" s="38">
        <v>106.1406995</v>
      </c>
      <c r="M427" s="38">
        <v>10.292770300000001</v>
      </c>
      <c r="N427" s="38" t="s">
        <v>173</v>
      </c>
      <c r="O427" s="39">
        <v>0</v>
      </c>
      <c r="P427" s="36" t="s">
        <v>30</v>
      </c>
      <c r="Q427" s="30" t="s">
        <v>31</v>
      </c>
      <c r="R427" s="40" t="s">
        <v>47</v>
      </c>
      <c r="S427" s="35">
        <v>48080</v>
      </c>
      <c r="T427" s="36" t="s">
        <v>564</v>
      </c>
      <c r="U427" s="30" t="s">
        <v>564</v>
      </c>
      <c r="V427" s="37" t="e">
        <v>#N/A</v>
      </c>
      <c r="W427" s="31" t="s">
        <v>63</v>
      </c>
      <c r="X427" s="37" t="s">
        <v>52</v>
      </c>
      <c r="Y427" s="37">
        <f>COUNTIF(F:F,F427)</f>
        <v>2</v>
      </c>
      <c r="Z427" s="21" t="s">
        <v>1105</v>
      </c>
      <c r="AA427" s="21" t="s">
        <v>564</v>
      </c>
      <c r="AB427" s="21" t="s">
        <v>1119</v>
      </c>
    </row>
    <row r="428" spans="1:28" ht="13.9" customHeight="1" x14ac:dyDescent="0.3">
      <c r="A428" s="30" t="s">
        <v>20</v>
      </c>
      <c r="B428" s="30" t="s">
        <v>21</v>
      </c>
      <c r="C428" s="30" t="s">
        <v>22</v>
      </c>
      <c r="D428" s="30" t="s">
        <v>23</v>
      </c>
      <c r="E428" s="30" t="s">
        <v>570</v>
      </c>
      <c r="F428" s="31" t="s">
        <v>570</v>
      </c>
      <c r="G428" s="30" t="s">
        <v>26</v>
      </c>
      <c r="H428" s="30" t="s">
        <v>36</v>
      </c>
      <c r="I428" s="30">
        <v>3</v>
      </c>
      <c r="J428" s="30"/>
      <c r="K428" s="30"/>
      <c r="L428" s="32">
        <v>106.15770999999999</v>
      </c>
      <c r="M428" s="32">
        <v>10.3103</v>
      </c>
      <c r="N428" s="32" t="s">
        <v>173</v>
      </c>
      <c r="O428" s="33">
        <v>0</v>
      </c>
      <c r="P428" s="30" t="s">
        <v>109</v>
      </c>
      <c r="Q428" s="30" t="s">
        <v>31</v>
      </c>
      <c r="R428" s="34" t="s">
        <v>47</v>
      </c>
      <c r="S428" s="35">
        <v>48080</v>
      </c>
      <c r="T428" s="36" t="s">
        <v>564</v>
      </c>
      <c r="U428" s="30" t="s">
        <v>564</v>
      </c>
      <c r="V428" s="37" t="e">
        <v>#N/A</v>
      </c>
      <c r="W428" s="31" t="s">
        <v>33</v>
      </c>
      <c r="X428" s="37" t="s">
        <v>42</v>
      </c>
      <c r="Y428" s="37">
        <f>COUNTIF(F:F,F428)</f>
        <v>2</v>
      </c>
      <c r="Z428" s="21" t="s">
        <v>1105</v>
      </c>
      <c r="AA428" s="21" t="s">
        <v>564</v>
      </c>
      <c r="AB428" s="21" t="s">
        <v>1119</v>
      </c>
    </row>
    <row r="429" spans="1:28" ht="13.9" customHeight="1" x14ac:dyDescent="0.3">
      <c r="A429" s="36" t="s">
        <v>20</v>
      </c>
      <c r="B429" s="36" t="s">
        <v>21</v>
      </c>
      <c r="C429" s="36" t="s">
        <v>22</v>
      </c>
      <c r="D429" s="36" t="s">
        <v>23</v>
      </c>
      <c r="E429" s="36" t="s">
        <v>571</v>
      </c>
      <c r="F429" s="31" t="s">
        <v>570</v>
      </c>
      <c r="G429" s="36" t="s">
        <v>26</v>
      </c>
      <c r="H429" s="36" t="s">
        <v>27</v>
      </c>
      <c r="I429" s="36">
        <v>3</v>
      </c>
      <c r="J429" s="36"/>
      <c r="K429" s="36"/>
      <c r="L429" s="38">
        <v>106.1681882</v>
      </c>
      <c r="M429" s="38">
        <v>10.329634</v>
      </c>
      <c r="N429" s="38" t="s">
        <v>173</v>
      </c>
      <c r="O429" s="39">
        <v>0</v>
      </c>
      <c r="P429" s="36" t="s">
        <v>30</v>
      </c>
      <c r="Q429" s="30" t="s">
        <v>31</v>
      </c>
      <c r="R429" s="40" t="s">
        <v>47</v>
      </c>
      <c r="S429" s="35">
        <v>48080</v>
      </c>
      <c r="T429" s="36" t="s">
        <v>564</v>
      </c>
      <c r="U429" s="30" t="s">
        <v>564</v>
      </c>
      <c r="V429" s="37" t="e">
        <v>#N/A</v>
      </c>
      <c r="W429" s="31" t="s">
        <v>63</v>
      </c>
      <c r="X429" s="37" t="s">
        <v>52</v>
      </c>
      <c r="Y429" s="37">
        <f>COUNTIF(F:F,F429)</f>
        <v>2</v>
      </c>
      <c r="Z429" s="21" t="s">
        <v>1105</v>
      </c>
      <c r="AA429" s="21" t="s">
        <v>564</v>
      </c>
      <c r="AB429" s="21" t="s">
        <v>1119</v>
      </c>
    </row>
    <row r="430" spans="1:28" ht="13.9" customHeight="1" x14ac:dyDescent="0.3">
      <c r="A430" s="30" t="s">
        <v>20</v>
      </c>
      <c r="B430" s="30" t="s">
        <v>21</v>
      </c>
      <c r="C430" s="30" t="s">
        <v>22</v>
      </c>
      <c r="D430" s="30" t="s">
        <v>23</v>
      </c>
      <c r="E430" s="30" t="s">
        <v>553</v>
      </c>
      <c r="F430" s="31" t="s">
        <v>394</v>
      </c>
      <c r="G430" s="30" t="s">
        <v>26</v>
      </c>
      <c r="H430" s="30" t="s">
        <v>36</v>
      </c>
      <c r="I430" s="30">
        <v>3</v>
      </c>
      <c r="J430" s="30" t="s">
        <v>37</v>
      </c>
      <c r="K430" s="30" t="s">
        <v>38</v>
      </c>
      <c r="L430" s="32">
        <v>106.18513369999999</v>
      </c>
      <c r="M430" s="32">
        <v>10.361095000000001</v>
      </c>
      <c r="N430" s="32" t="s">
        <v>173</v>
      </c>
      <c r="O430" s="33">
        <v>0</v>
      </c>
      <c r="P430" s="30" t="s">
        <v>39</v>
      </c>
      <c r="Q430" s="30" t="s">
        <v>31</v>
      </c>
      <c r="R430" s="34" t="s">
        <v>47</v>
      </c>
      <c r="S430" s="35">
        <v>48080</v>
      </c>
      <c r="T430" s="36" t="s">
        <v>298</v>
      </c>
      <c r="U430" s="30" t="s">
        <v>564</v>
      </c>
      <c r="V430" s="37" t="e">
        <v>#N/A</v>
      </c>
      <c r="W430" s="31" t="s">
        <v>33</v>
      </c>
      <c r="X430" s="37" t="s">
        <v>42</v>
      </c>
      <c r="Y430" s="37">
        <f>COUNTIF(F:F,F430)</f>
        <v>3</v>
      </c>
      <c r="Z430" s="21" t="s">
        <v>1105</v>
      </c>
      <c r="AA430" s="21" t="s">
        <v>564</v>
      </c>
      <c r="AB430" s="21" t="s">
        <v>1119</v>
      </c>
    </row>
    <row r="431" spans="1:28" ht="13.9" customHeight="1" x14ac:dyDescent="0.3">
      <c r="A431" s="36" t="s">
        <v>20</v>
      </c>
      <c r="B431" s="36" t="s">
        <v>21</v>
      </c>
      <c r="C431" s="36" t="s">
        <v>22</v>
      </c>
      <c r="D431" s="36" t="s">
        <v>23</v>
      </c>
      <c r="E431" s="36" t="s">
        <v>554</v>
      </c>
      <c r="F431" s="31" t="s">
        <v>394</v>
      </c>
      <c r="G431" s="36" t="s">
        <v>26</v>
      </c>
      <c r="H431" s="36" t="s">
        <v>27</v>
      </c>
      <c r="I431" s="36">
        <v>3</v>
      </c>
      <c r="J431" s="36"/>
      <c r="K431" s="36"/>
      <c r="L431" s="38">
        <v>106.18644999999999</v>
      </c>
      <c r="M431" s="38">
        <v>10.341519999999999</v>
      </c>
      <c r="N431" s="38" t="s">
        <v>278</v>
      </c>
      <c r="O431" s="39">
        <v>0</v>
      </c>
      <c r="P431" s="36" t="s">
        <v>30</v>
      </c>
      <c r="Q431" s="30" t="s">
        <v>31</v>
      </c>
      <c r="R431" s="40" t="s">
        <v>47</v>
      </c>
      <c r="S431" s="35">
        <v>48010</v>
      </c>
      <c r="T431" s="36" t="s">
        <v>298</v>
      </c>
      <c r="U431" s="30" t="s">
        <v>564</v>
      </c>
      <c r="V431" s="37" t="e">
        <v>#N/A</v>
      </c>
      <c r="W431" s="31" t="s">
        <v>63</v>
      </c>
      <c r="X431" s="37" t="s">
        <v>52</v>
      </c>
      <c r="Y431" s="37">
        <f>COUNTIF(F:F,F431)</f>
        <v>3</v>
      </c>
      <c r="Z431" s="21" t="s">
        <v>1105</v>
      </c>
      <c r="AA431" s="21" t="s">
        <v>564</v>
      </c>
      <c r="AB431" s="21" t="s">
        <v>1119</v>
      </c>
    </row>
    <row r="432" spans="1:28" ht="13.9" customHeight="1" x14ac:dyDescent="0.3">
      <c r="A432" s="30" t="s">
        <v>20</v>
      </c>
      <c r="B432" s="30" t="s">
        <v>21</v>
      </c>
      <c r="C432" s="30" t="s">
        <v>22</v>
      </c>
      <c r="D432" s="30" t="s">
        <v>23</v>
      </c>
      <c r="E432" s="30" t="s">
        <v>393</v>
      </c>
      <c r="F432" s="31" t="s">
        <v>394</v>
      </c>
      <c r="G432" s="30" t="s">
        <v>26</v>
      </c>
      <c r="H432" s="30" t="s">
        <v>27</v>
      </c>
      <c r="I432" s="30">
        <v>3</v>
      </c>
      <c r="J432" s="30"/>
      <c r="K432" s="30"/>
      <c r="L432" s="32">
        <v>106.208715</v>
      </c>
      <c r="M432" s="32">
        <v>10.363906</v>
      </c>
      <c r="N432" s="32" t="s">
        <v>278</v>
      </c>
      <c r="O432" s="33">
        <v>0</v>
      </c>
      <c r="P432" s="30" t="s">
        <v>30</v>
      </c>
      <c r="Q432" s="30" t="s">
        <v>31</v>
      </c>
      <c r="R432" s="34" t="s">
        <v>47</v>
      </c>
      <c r="S432" s="35">
        <v>48010</v>
      </c>
      <c r="T432" s="36" t="s">
        <v>298</v>
      </c>
      <c r="U432" s="30" t="s">
        <v>564</v>
      </c>
      <c r="V432" s="37" t="s">
        <v>49</v>
      </c>
      <c r="W432" s="31" t="s">
        <v>50</v>
      </c>
      <c r="X432" s="37" t="s">
        <v>52</v>
      </c>
      <c r="Y432" s="37">
        <f>COUNTIF(F:F,F432)</f>
        <v>3</v>
      </c>
      <c r="Z432" s="21" t="s">
        <v>1105</v>
      </c>
      <c r="AA432" s="21" t="s">
        <v>564</v>
      </c>
      <c r="AB432" s="21" t="s">
        <v>1119</v>
      </c>
    </row>
    <row r="433" spans="1:28" ht="13.9" customHeight="1" x14ac:dyDescent="0.3">
      <c r="A433" s="30" t="s">
        <v>20</v>
      </c>
      <c r="B433" s="30" t="s">
        <v>21</v>
      </c>
      <c r="C433" s="30" t="s">
        <v>22</v>
      </c>
      <c r="D433" s="30" t="s">
        <v>23</v>
      </c>
      <c r="E433" s="30" t="s">
        <v>573</v>
      </c>
      <c r="F433" s="31" t="s">
        <v>573</v>
      </c>
      <c r="G433" s="30" t="s">
        <v>26</v>
      </c>
      <c r="H433" s="30" t="s">
        <v>36</v>
      </c>
      <c r="I433" s="30">
        <v>3</v>
      </c>
      <c r="J433" s="30"/>
      <c r="K433" s="30"/>
      <c r="L433" s="32">
        <v>106.12163510000001</v>
      </c>
      <c r="M433" s="32">
        <v>10.319219</v>
      </c>
      <c r="N433" s="32" t="s">
        <v>173</v>
      </c>
      <c r="O433" s="33">
        <v>0</v>
      </c>
      <c r="P433" s="30" t="s">
        <v>109</v>
      </c>
      <c r="Q433" s="30" t="s">
        <v>31</v>
      </c>
      <c r="R433" s="34" t="s">
        <v>47</v>
      </c>
      <c r="S433" s="35">
        <v>48080</v>
      </c>
      <c r="T433" s="36" t="s">
        <v>564</v>
      </c>
      <c r="U433" s="30" t="s">
        <v>564</v>
      </c>
      <c r="V433" s="37" t="e">
        <v>#N/A</v>
      </c>
      <c r="W433" s="31" t="s">
        <v>33</v>
      </c>
      <c r="X433" s="37" t="s">
        <v>42</v>
      </c>
      <c r="Y433" s="37">
        <f>COUNTIF(F:F,F433)</f>
        <v>3</v>
      </c>
      <c r="Z433" s="21" t="s">
        <v>1105</v>
      </c>
      <c r="AA433" s="21" t="s">
        <v>564</v>
      </c>
      <c r="AB433" s="21" t="s">
        <v>1119</v>
      </c>
    </row>
    <row r="434" spans="1:28" ht="13.9" customHeight="1" x14ac:dyDescent="0.3">
      <c r="A434" s="36" t="s">
        <v>20</v>
      </c>
      <c r="B434" s="36" t="s">
        <v>21</v>
      </c>
      <c r="C434" s="36" t="s">
        <v>22</v>
      </c>
      <c r="D434" s="36" t="s">
        <v>23</v>
      </c>
      <c r="E434" s="36" t="s">
        <v>574</v>
      </c>
      <c r="F434" s="31" t="s">
        <v>573</v>
      </c>
      <c r="G434" s="36" t="s">
        <v>26</v>
      </c>
      <c r="H434" s="36" t="s">
        <v>36</v>
      </c>
      <c r="I434" s="36">
        <v>3</v>
      </c>
      <c r="J434" s="36" t="s">
        <v>37</v>
      </c>
      <c r="K434" s="36" t="s">
        <v>38</v>
      </c>
      <c r="L434" s="38">
        <v>106.1193406</v>
      </c>
      <c r="M434" s="38">
        <v>10.3105054</v>
      </c>
      <c r="N434" s="38" t="s">
        <v>173</v>
      </c>
      <c r="O434" s="39">
        <v>0</v>
      </c>
      <c r="P434" s="36" t="s">
        <v>39</v>
      </c>
      <c r="Q434" s="30" t="s">
        <v>31</v>
      </c>
      <c r="R434" s="40" t="s">
        <v>47</v>
      </c>
      <c r="S434" s="35">
        <v>48080</v>
      </c>
      <c r="T434" s="36" t="s">
        <v>564</v>
      </c>
      <c r="U434" s="30" t="s">
        <v>564</v>
      </c>
      <c r="V434" s="37" t="e">
        <v>#N/A</v>
      </c>
      <c r="W434" s="31" t="s">
        <v>63</v>
      </c>
      <c r="X434" s="37" t="s">
        <v>52</v>
      </c>
      <c r="Y434" s="37">
        <f>COUNTIF(F:F,F434)</f>
        <v>3</v>
      </c>
      <c r="Z434" s="21" t="s">
        <v>1105</v>
      </c>
      <c r="AA434" s="21" t="s">
        <v>564</v>
      </c>
      <c r="AB434" s="21" t="s">
        <v>1119</v>
      </c>
    </row>
    <row r="435" spans="1:28" ht="13.9" customHeight="1" x14ac:dyDescent="0.3">
      <c r="A435" s="36" t="s">
        <v>20</v>
      </c>
      <c r="B435" s="36" t="s">
        <v>21</v>
      </c>
      <c r="C435" s="36" t="s">
        <v>22</v>
      </c>
      <c r="D435" s="36" t="s">
        <v>23</v>
      </c>
      <c r="E435" s="36" t="s">
        <v>575</v>
      </c>
      <c r="F435" s="31" t="s">
        <v>573</v>
      </c>
      <c r="G435" s="36" t="s">
        <v>26</v>
      </c>
      <c r="H435" s="36" t="s">
        <v>27</v>
      </c>
      <c r="I435" s="36">
        <v>3</v>
      </c>
      <c r="J435" s="36"/>
      <c r="K435" s="36"/>
      <c r="L435" s="38">
        <v>106.12553</v>
      </c>
      <c r="M435" s="38">
        <v>10.33131</v>
      </c>
      <c r="N435" s="38" t="s">
        <v>173</v>
      </c>
      <c r="O435" s="39">
        <v>0</v>
      </c>
      <c r="P435" s="36" t="s">
        <v>30</v>
      </c>
      <c r="Q435" s="30" t="s">
        <v>31</v>
      </c>
      <c r="R435" s="40" t="s">
        <v>47</v>
      </c>
      <c r="S435" s="35">
        <v>48080</v>
      </c>
      <c r="T435" s="36" t="s">
        <v>564</v>
      </c>
      <c r="U435" s="30" t="s">
        <v>564</v>
      </c>
      <c r="V435" s="37" t="e">
        <v>#N/A</v>
      </c>
      <c r="W435" s="31" t="s">
        <v>63</v>
      </c>
      <c r="X435" s="37" t="s">
        <v>52</v>
      </c>
      <c r="Y435" s="37">
        <f>COUNTIF(F:F,F435)</f>
        <v>3</v>
      </c>
      <c r="Z435" s="21" t="s">
        <v>1105</v>
      </c>
      <c r="AA435" s="21" t="s">
        <v>564</v>
      </c>
      <c r="AB435" s="21" t="s">
        <v>1119</v>
      </c>
    </row>
    <row r="436" spans="1:28" s="22" customFormat="1" ht="13.9" customHeight="1" x14ac:dyDescent="0.3">
      <c r="A436" s="30" t="s">
        <v>20</v>
      </c>
      <c r="B436" s="30" t="s">
        <v>21</v>
      </c>
      <c r="C436" s="30" t="s">
        <v>22</v>
      </c>
      <c r="D436" s="30" t="s">
        <v>23</v>
      </c>
      <c r="E436" s="30" t="s">
        <v>572</v>
      </c>
      <c r="F436" s="31" t="s">
        <v>572</v>
      </c>
      <c r="G436" s="30" t="s">
        <v>26</v>
      </c>
      <c r="H436" s="30" t="s">
        <v>36</v>
      </c>
      <c r="I436" s="30">
        <v>3</v>
      </c>
      <c r="J436" s="30" t="s">
        <v>37</v>
      </c>
      <c r="K436" s="30" t="s">
        <v>38</v>
      </c>
      <c r="L436" s="32">
        <v>106.1813471</v>
      </c>
      <c r="M436" s="32">
        <v>10.3182279</v>
      </c>
      <c r="N436" s="32" t="s">
        <v>173</v>
      </c>
      <c r="O436" s="33">
        <v>0</v>
      </c>
      <c r="P436" s="30" t="s">
        <v>39</v>
      </c>
      <c r="Q436" s="30" t="s">
        <v>31</v>
      </c>
      <c r="R436" s="34" t="s">
        <v>47</v>
      </c>
      <c r="S436" s="35">
        <v>48080</v>
      </c>
      <c r="T436" s="36" t="s">
        <v>564</v>
      </c>
      <c r="U436" s="30" t="s">
        <v>564</v>
      </c>
      <c r="V436" s="37" t="e">
        <v>#N/A</v>
      </c>
      <c r="W436" s="31" t="s">
        <v>33</v>
      </c>
      <c r="X436" s="37"/>
      <c r="Y436" s="37">
        <f>COUNTIF(F:F,F436)</f>
        <v>1</v>
      </c>
      <c r="Z436" s="21" t="s">
        <v>1105</v>
      </c>
      <c r="AA436" s="21" t="s">
        <v>564</v>
      </c>
      <c r="AB436" s="21" t="s">
        <v>1119</v>
      </c>
    </row>
    <row r="437" spans="1:28" ht="13.9" customHeight="1" x14ac:dyDescent="0.3">
      <c r="A437" s="30" t="s">
        <v>20</v>
      </c>
      <c r="B437" s="30" t="s">
        <v>21</v>
      </c>
      <c r="C437" s="30" t="s">
        <v>22</v>
      </c>
      <c r="D437" s="30" t="s">
        <v>23</v>
      </c>
      <c r="E437" s="30" t="s">
        <v>577</v>
      </c>
      <c r="F437" s="31" t="s">
        <v>577</v>
      </c>
      <c r="G437" s="30" t="s">
        <v>26</v>
      </c>
      <c r="H437" s="30" t="s">
        <v>27</v>
      </c>
      <c r="I437" s="30">
        <v>3</v>
      </c>
      <c r="J437" s="30"/>
      <c r="K437" s="30"/>
      <c r="L437" s="32">
        <v>106.146</v>
      </c>
      <c r="M437" s="32">
        <v>10.30899</v>
      </c>
      <c r="N437" s="32" t="s">
        <v>173</v>
      </c>
      <c r="O437" s="33">
        <v>0</v>
      </c>
      <c r="P437" s="30" t="s">
        <v>60</v>
      </c>
      <c r="Q437" s="30" t="s">
        <v>31</v>
      </c>
      <c r="R437" s="34" t="s">
        <v>47</v>
      </c>
      <c r="S437" s="35">
        <v>48080</v>
      </c>
      <c r="T437" s="36" t="s">
        <v>564</v>
      </c>
      <c r="U437" s="30" t="s">
        <v>564</v>
      </c>
      <c r="V437" s="37" t="e">
        <v>#N/A</v>
      </c>
      <c r="W437" s="31" t="s">
        <v>33</v>
      </c>
      <c r="X437" s="37" t="s">
        <v>42</v>
      </c>
      <c r="Y437" s="37">
        <f>COUNTIF(F:F,F437)</f>
        <v>2</v>
      </c>
      <c r="Z437" s="21" t="s">
        <v>1105</v>
      </c>
      <c r="AA437" s="21" t="s">
        <v>564</v>
      </c>
      <c r="AB437" s="21" t="s">
        <v>1119</v>
      </c>
    </row>
    <row r="438" spans="1:28" ht="13.9" customHeight="1" x14ac:dyDescent="0.3">
      <c r="A438" s="36" t="s">
        <v>20</v>
      </c>
      <c r="B438" s="36" t="s">
        <v>21</v>
      </c>
      <c r="C438" s="36" t="s">
        <v>22</v>
      </c>
      <c r="D438" s="36" t="s">
        <v>23</v>
      </c>
      <c r="E438" s="36" t="s">
        <v>576</v>
      </c>
      <c r="F438" s="31" t="s">
        <v>577</v>
      </c>
      <c r="G438" s="36" t="s">
        <v>26</v>
      </c>
      <c r="H438" s="36" t="s">
        <v>27</v>
      </c>
      <c r="I438" s="36">
        <v>3</v>
      </c>
      <c r="J438" s="36"/>
      <c r="K438" s="36"/>
      <c r="L438" s="38">
        <v>106.1416808</v>
      </c>
      <c r="M438" s="38">
        <v>10.323672800000001</v>
      </c>
      <c r="N438" s="38" t="s">
        <v>173</v>
      </c>
      <c r="O438" s="39">
        <v>0</v>
      </c>
      <c r="P438" s="36" t="s">
        <v>30</v>
      </c>
      <c r="Q438" s="30" t="s">
        <v>31</v>
      </c>
      <c r="R438" s="40" t="s">
        <v>47</v>
      </c>
      <c r="S438" s="35">
        <v>48080</v>
      </c>
      <c r="T438" s="36" t="s">
        <v>564</v>
      </c>
      <c r="U438" s="30" t="s">
        <v>564</v>
      </c>
      <c r="V438" s="37" t="e">
        <v>#N/A</v>
      </c>
      <c r="W438" s="31" t="s">
        <v>63</v>
      </c>
      <c r="X438" s="37" t="s">
        <v>52</v>
      </c>
      <c r="Y438" s="37">
        <f>COUNTIF(F:F,F438)</f>
        <v>2</v>
      </c>
      <c r="Z438" s="21" t="s">
        <v>1105</v>
      </c>
      <c r="AA438" s="21" t="s">
        <v>564</v>
      </c>
      <c r="AB438" s="21" t="s">
        <v>1119</v>
      </c>
    </row>
    <row r="439" spans="1:28" s="22" customFormat="1" ht="13.9" customHeight="1" x14ac:dyDescent="0.3">
      <c r="A439" s="30" t="s">
        <v>20</v>
      </c>
      <c r="B439" s="30" t="s">
        <v>21</v>
      </c>
      <c r="C439" s="30" t="s">
        <v>22</v>
      </c>
      <c r="D439" s="30" t="s">
        <v>23</v>
      </c>
      <c r="E439" s="30" t="s">
        <v>581</v>
      </c>
      <c r="F439" s="31" t="s">
        <v>582</v>
      </c>
      <c r="G439" s="30" t="s">
        <v>26</v>
      </c>
      <c r="H439" s="30" t="s">
        <v>27</v>
      </c>
      <c r="I439" s="30">
        <v>3</v>
      </c>
      <c r="J439" s="30" t="s">
        <v>37</v>
      </c>
      <c r="K439" s="30" t="s">
        <v>38</v>
      </c>
      <c r="L439" s="32">
        <v>106.19707</v>
      </c>
      <c r="M439" s="32">
        <v>10.39415</v>
      </c>
      <c r="N439" s="32" t="s">
        <v>278</v>
      </c>
      <c r="O439" s="33">
        <v>0</v>
      </c>
      <c r="P439" s="30" t="s">
        <v>41</v>
      </c>
      <c r="Q439" s="30" t="s">
        <v>31</v>
      </c>
      <c r="R439" s="34" t="s">
        <v>47</v>
      </c>
      <c r="S439" s="35">
        <v>48010</v>
      </c>
      <c r="T439" s="36" t="s">
        <v>458</v>
      </c>
      <c r="U439" s="30" t="s">
        <v>1089</v>
      </c>
      <c r="V439" s="37" t="e">
        <v>#N/A</v>
      </c>
      <c r="W439" s="31" t="s">
        <v>33</v>
      </c>
      <c r="X439" s="37"/>
      <c r="Y439" s="37">
        <f>COUNTIF(F:F,F439)</f>
        <v>1</v>
      </c>
      <c r="Z439" s="21" t="s">
        <v>1105</v>
      </c>
      <c r="AA439" s="21" t="s">
        <v>458</v>
      </c>
      <c r="AB439" s="21" t="s">
        <v>1119</v>
      </c>
    </row>
    <row r="440" spans="1:28" ht="13.9" customHeight="1" x14ac:dyDescent="0.3">
      <c r="A440" s="30" t="s">
        <v>20</v>
      </c>
      <c r="B440" s="30" t="s">
        <v>21</v>
      </c>
      <c r="C440" s="30" t="s">
        <v>22</v>
      </c>
      <c r="D440" s="30" t="s">
        <v>23</v>
      </c>
      <c r="E440" s="30" t="s">
        <v>583</v>
      </c>
      <c r="F440" s="31" t="s">
        <v>583</v>
      </c>
      <c r="G440" s="30" t="s">
        <v>26</v>
      </c>
      <c r="H440" s="30" t="s">
        <v>36</v>
      </c>
      <c r="I440" s="30">
        <v>4</v>
      </c>
      <c r="J440" s="30" t="s">
        <v>26</v>
      </c>
      <c r="K440" s="30" t="s">
        <v>405</v>
      </c>
      <c r="L440" s="32">
        <v>106.11812</v>
      </c>
      <c r="M440" s="32">
        <v>10.40804</v>
      </c>
      <c r="N440" s="32" t="s">
        <v>429</v>
      </c>
      <c r="O440" s="33">
        <v>0</v>
      </c>
      <c r="P440" s="30" t="s">
        <v>271</v>
      </c>
      <c r="Q440" s="30" t="s">
        <v>31</v>
      </c>
      <c r="R440" s="34" t="s">
        <v>47</v>
      </c>
      <c r="S440" s="35">
        <v>48090</v>
      </c>
      <c r="T440" s="36" t="s">
        <v>458</v>
      </c>
      <c r="U440" s="30" t="s">
        <v>458</v>
      </c>
      <c r="V440" s="37" t="e">
        <v>#N/A</v>
      </c>
      <c r="W440" s="31" t="s">
        <v>33</v>
      </c>
      <c r="X440" s="37"/>
      <c r="Y440" s="37">
        <f>COUNTIF(F:F,F440)</f>
        <v>1</v>
      </c>
      <c r="Z440" s="21" t="s">
        <v>1105</v>
      </c>
      <c r="AA440" s="21" t="s">
        <v>458</v>
      </c>
      <c r="AB440" s="21" t="s">
        <v>1119</v>
      </c>
    </row>
    <row r="441" spans="1:28" ht="13.9" customHeight="1" x14ac:dyDescent="0.3">
      <c r="A441" s="36" t="s">
        <v>20</v>
      </c>
      <c r="B441" s="36" t="s">
        <v>21</v>
      </c>
      <c r="C441" s="36" t="s">
        <v>22</v>
      </c>
      <c r="D441" s="36" t="s">
        <v>23</v>
      </c>
      <c r="E441" s="36" t="s">
        <v>596</v>
      </c>
      <c r="F441" s="31" t="s">
        <v>459</v>
      </c>
      <c r="G441" s="36" t="s">
        <v>26</v>
      </c>
      <c r="H441" s="36" t="s">
        <v>36</v>
      </c>
      <c r="I441" s="36">
        <v>3</v>
      </c>
      <c r="J441" s="36" t="s">
        <v>37</v>
      </c>
      <c r="K441" s="36" t="s">
        <v>38</v>
      </c>
      <c r="L441" s="38">
        <v>106.12141</v>
      </c>
      <c r="M441" s="38">
        <v>10.391529999999999</v>
      </c>
      <c r="N441" s="38" t="s">
        <v>429</v>
      </c>
      <c r="O441" s="39">
        <v>0</v>
      </c>
      <c r="P441" s="36" t="s">
        <v>39</v>
      </c>
      <c r="Q441" s="30" t="s">
        <v>31</v>
      </c>
      <c r="R441" s="40" t="s">
        <v>47</v>
      </c>
      <c r="S441" s="35">
        <v>48090</v>
      </c>
      <c r="T441" s="36" t="s">
        <v>458</v>
      </c>
      <c r="U441" s="30" t="s">
        <v>458</v>
      </c>
      <c r="V441" s="37" t="e">
        <v>#N/A</v>
      </c>
      <c r="W441" s="31" t="s">
        <v>63</v>
      </c>
      <c r="X441" s="37" t="s">
        <v>52</v>
      </c>
      <c r="Y441" s="37">
        <f>COUNTIF(F:F,F441)</f>
        <v>8</v>
      </c>
      <c r="Z441" s="21" t="s">
        <v>1105</v>
      </c>
      <c r="AA441" s="21" t="s">
        <v>458</v>
      </c>
      <c r="AB441" s="21" t="s">
        <v>1119</v>
      </c>
    </row>
    <row r="442" spans="1:28" ht="13.9" customHeight="1" x14ac:dyDescent="0.3">
      <c r="A442" s="30" t="s">
        <v>20</v>
      </c>
      <c r="B442" s="30" t="s">
        <v>21</v>
      </c>
      <c r="C442" s="30" t="s">
        <v>22</v>
      </c>
      <c r="D442" s="30" t="s">
        <v>23</v>
      </c>
      <c r="E442" s="30" t="s">
        <v>459</v>
      </c>
      <c r="F442" s="31" t="s">
        <v>459</v>
      </c>
      <c r="G442" s="30" t="s">
        <v>26</v>
      </c>
      <c r="H442" s="30" t="s">
        <v>36</v>
      </c>
      <c r="I442" s="30">
        <v>3</v>
      </c>
      <c r="J442" s="30" t="s">
        <v>37</v>
      </c>
      <c r="K442" s="30" t="s">
        <v>38</v>
      </c>
      <c r="L442" s="32">
        <v>106.15243</v>
      </c>
      <c r="M442" s="32">
        <v>10.4033</v>
      </c>
      <c r="N442" s="32" t="s">
        <v>429</v>
      </c>
      <c r="O442" s="33">
        <v>0</v>
      </c>
      <c r="P442" s="30" t="s">
        <v>39</v>
      </c>
      <c r="Q442" s="30" t="s">
        <v>31</v>
      </c>
      <c r="R442" s="34" t="s">
        <v>47</v>
      </c>
      <c r="S442" s="35">
        <v>48090</v>
      </c>
      <c r="T442" s="36" t="s">
        <v>458</v>
      </c>
      <c r="U442" s="30" t="s">
        <v>458</v>
      </c>
      <c r="V442" s="37" t="e">
        <v>#N/A</v>
      </c>
      <c r="W442" s="31" t="s">
        <v>33</v>
      </c>
      <c r="X442" s="37" t="s">
        <v>42</v>
      </c>
      <c r="Y442" s="37">
        <f>COUNTIF(F:F,F442)</f>
        <v>8</v>
      </c>
      <c r="Z442" s="21" t="s">
        <v>1105</v>
      </c>
      <c r="AA442" s="21" t="s">
        <v>458</v>
      </c>
      <c r="AB442" s="21" t="s">
        <v>1119</v>
      </c>
    </row>
    <row r="443" spans="1:28" ht="13.9" customHeight="1" x14ac:dyDescent="0.3">
      <c r="A443" s="36" t="s">
        <v>20</v>
      </c>
      <c r="B443" s="36" t="s">
        <v>21</v>
      </c>
      <c r="C443" s="36" t="s">
        <v>22</v>
      </c>
      <c r="D443" s="36" t="s">
        <v>23</v>
      </c>
      <c r="E443" s="36" t="s">
        <v>597</v>
      </c>
      <c r="F443" s="31" t="s">
        <v>459</v>
      </c>
      <c r="G443" s="36" t="s">
        <v>26</v>
      </c>
      <c r="H443" s="36" t="s">
        <v>36</v>
      </c>
      <c r="I443" s="36">
        <v>3</v>
      </c>
      <c r="J443" s="36" t="s">
        <v>37</v>
      </c>
      <c r="K443" s="36" t="s">
        <v>38</v>
      </c>
      <c r="L443" s="38">
        <v>106.15439000000001</v>
      </c>
      <c r="M443" s="38">
        <v>10.412879999999999</v>
      </c>
      <c r="N443" s="38" t="s">
        <v>429</v>
      </c>
      <c r="O443" s="39">
        <v>0</v>
      </c>
      <c r="P443" s="36" t="s">
        <v>39</v>
      </c>
      <c r="Q443" s="30" t="s">
        <v>31</v>
      </c>
      <c r="R443" s="40" t="s">
        <v>47</v>
      </c>
      <c r="S443" s="35">
        <v>48090</v>
      </c>
      <c r="T443" s="36" t="s">
        <v>458</v>
      </c>
      <c r="U443" s="30" t="s">
        <v>458</v>
      </c>
      <c r="V443" s="37" t="e">
        <v>#N/A</v>
      </c>
      <c r="W443" s="31" t="s">
        <v>63</v>
      </c>
      <c r="X443" s="37" t="s">
        <v>52</v>
      </c>
      <c r="Y443" s="37">
        <f>COUNTIF(F:F,F443)</f>
        <v>8</v>
      </c>
      <c r="Z443" s="21" t="s">
        <v>1105</v>
      </c>
      <c r="AA443" s="21" t="s">
        <v>458</v>
      </c>
      <c r="AB443" s="21" t="s">
        <v>1119</v>
      </c>
    </row>
    <row r="444" spans="1:28" ht="13.9" customHeight="1" x14ac:dyDescent="0.3">
      <c r="A444" s="36" t="s">
        <v>20</v>
      </c>
      <c r="B444" s="36" t="s">
        <v>21</v>
      </c>
      <c r="C444" s="36" t="s">
        <v>22</v>
      </c>
      <c r="D444" s="36" t="s">
        <v>23</v>
      </c>
      <c r="E444" s="36" t="s">
        <v>598</v>
      </c>
      <c r="F444" s="31" t="s">
        <v>459</v>
      </c>
      <c r="G444" s="36" t="s">
        <v>26</v>
      </c>
      <c r="H444" s="36" t="s">
        <v>27</v>
      </c>
      <c r="I444" s="36">
        <v>3</v>
      </c>
      <c r="J444" s="36"/>
      <c r="K444" s="36"/>
      <c r="L444" s="38">
        <v>106.1568437</v>
      </c>
      <c r="M444" s="38">
        <v>10.3811842</v>
      </c>
      <c r="N444" s="38" t="s">
        <v>429</v>
      </c>
      <c r="O444" s="39">
        <v>0</v>
      </c>
      <c r="P444" s="36" t="s">
        <v>30</v>
      </c>
      <c r="Q444" s="30" t="s">
        <v>31</v>
      </c>
      <c r="R444" s="40" t="s">
        <v>47</v>
      </c>
      <c r="S444" s="35">
        <v>48090</v>
      </c>
      <c r="T444" s="36" t="s">
        <v>458</v>
      </c>
      <c r="U444" s="30" t="s">
        <v>458</v>
      </c>
      <c r="V444" s="37" t="e">
        <v>#N/A</v>
      </c>
      <c r="W444" s="31" t="s">
        <v>63</v>
      </c>
      <c r="X444" s="37" t="s">
        <v>52</v>
      </c>
      <c r="Y444" s="37">
        <f>COUNTIF(F:F,F444)</f>
        <v>8</v>
      </c>
      <c r="Z444" s="21" t="s">
        <v>1105</v>
      </c>
      <c r="AA444" s="21" t="s">
        <v>458</v>
      </c>
      <c r="AB444" s="21" t="s">
        <v>1119</v>
      </c>
    </row>
    <row r="445" spans="1:28" ht="13.9" customHeight="1" x14ac:dyDescent="0.3">
      <c r="A445" s="30" t="s">
        <v>20</v>
      </c>
      <c r="B445" s="30" t="s">
        <v>21</v>
      </c>
      <c r="C445" s="30" t="s">
        <v>22</v>
      </c>
      <c r="D445" s="30" t="s">
        <v>23</v>
      </c>
      <c r="E445" s="30" t="s">
        <v>457</v>
      </c>
      <c r="F445" s="31" t="s">
        <v>459</v>
      </c>
      <c r="G445" s="30" t="s">
        <v>26</v>
      </c>
      <c r="H445" s="30" t="s">
        <v>36</v>
      </c>
      <c r="I445" s="30">
        <v>4</v>
      </c>
      <c r="J445" s="30" t="s">
        <v>37</v>
      </c>
      <c r="K445" s="30" t="s">
        <v>38</v>
      </c>
      <c r="L445" s="32">
        <v>106.17104</v>
      </c>
      <c r="M445" s="32">
        <v>10.40258</v>
      </c>
      <c r="N445" s="32" t="s">
        <v>429</v>
      </c>
      <c r="O445" s="33">
        <v>0</v>
      </c>
      <c r="P445" s="30" t="s">
        <v>39</v>
      </c>
      <c r="Q445" s="30" t="s">
        <v>31</v>
      </c>
      <c r="R445" s="34" t="s">
        <v>47</v>
      </c>
      <c r="S445" s="35">
        <v>48090</v>
      </c>
      <c r="T445" s="36" t="s">
        <v>458</v>
      </c>
      <c r="U445" s="30" t="s">
        <v>458</v>
      </c>
      <c r="V445" s="37" t="s">
        <v>49</v>
      </c>
      <c r="W445" s="31" t="s">
        <v>50</v>
      </c>
      <c r="X445" s="37" t="s">
        <v>52</v>
      </c>
      <c r="Y445" s="37">
        <f>COUNTIF(F:F,F445)</f>
        <v>8</v>
      </c>
      <c r="Z445" s="21" t="s">
        <v>1105</v>
      </c>
      <c r="AA445" s="21" t="s">
        <v>458</v>
      </c>
      <c r="AB445" s="21" t="s">
        <v>1119</v>
      </c>
    </row>
    <row r="446" spans="1:28" ht="13.9" customHeight="1" x14ac:dyDescent="0.3">
      <c r="A446" s="36" t="s">
        <v>20</v>
      </c>
      <c r="B446" s="36" t="s">
        <v>21</v>
      </c>
      <c r="C446" s="36" t="s">
        <v>22</v>
      </c>
      <c r="D446" s="36" t="s">
        <v>23</v>
      </c>
      <c r="E446" s="36" t="s">
        <v>599</v>
      </c>
      <c r="F446" s="31" t="s">
        <v>459</v>
      </c>
      <c r="G446" s="36" t="s">
        <v>26</v>
      </c>
      <c r="H446" s="36" t="s">
        <v>27</v>
      </c>
      <c r="I446" s="36">
        <v>3</v>
      </c>
      <c r="J446" s="36" t="s">
        <v>37</v>
      </c>
      <c r="K446" s="36" t="s">
        <v>38</v>
      </c>
      <c r="L446" s="38">
        <v>106.14243999999999</v>
      </c>
      <c r="M446" s="38">
        <v>10.41461</v>
      </c>
      <c r="N446" s="38" t="s">
        <v>429</v>
      </c>
      <c r="O446" s="39">
        <v>0</v>
      </c>
      <c r="P446" s="36" t="s">
        <v>41</v>
      </c>
      <c r="Q446" s="30" t="s">
        <v>31</v>
      </c>
      <c r="R446" s="40" t="s">
        <v>47</v>
      </c>
      <c r="S446" s="35">
        <v>48090</v>
      </c>
      <c r="T446" s="36" t="s">
        <v>458</v>
      </c>
      <c r="U446" s="30" t="s">
        <v>458</v>
      </c>
      <c r="V446" s="37" t="e">
        <v>#N/A</v>
      </c>
      <c r="W446" s="31" t="s">
        <v>63</v>
      </c>
      <c r="X446" s="37" t="s">
        <v>52</v>
      </c>
      <c r="Y446" s="37">
        <f>COUNTIF(F:F,F446)</f>
        <v>8</v>
      </c>
      <c r="Z446" s="21" t="s">
        <v>1105</v>
      </c>
      <c r="AA446" s="21" t="s">
        <v>458</v>
      </c>
      <c r="AB446" s="21" t="s">
        <v>1119</v>
      </c>
    </row>
    <row r="447" spans="1:28" ht="13.9" customHeight="1" x14ac:dyDescent="0.3">
      <c r="A447" s="36" t="s">
        <v>20</v>
      </c>
      <c r="B447" s="36" t="s">
        <v>21</v>
      </c>
      <c r="C447" s="36" t="s">
        <v>22</v>
      </c>
      <c r="D447" s="36" t="s">
        <v>23</v>
      </c>
      <c r="E447" s="36" t="s">
        <v>600</v>
      </c>
      <c r="F447" s="31" t="s">
        <v>459</v>
      </c>
      <c r="G447" s="36" t="s">
        <v>26</v>
      </c>
      <c r="H447" s="36" t="s">
        <v>36</v>
      </c>
      <c r="I447" s="36">
        <v>4</v>
      </c>
      <c r="J447" s="36" t="s">
        <v>37</v>
      </c>
      <c r="K447" s="36" t="s">
        <v>38</v>
      </c>
      <c r="L447" s="38">
        <v>106.1620291</v>
      </c>
      <c r="M447" s="38">
        <v>10.4024894</v>
      </c>
      <c r="N447" s="38" t="s">
        <v>429</v>
      </c>
      <c r="O447" s="39">
        <v>0</v>
      </c>
      <c r="P447" s="36" t="s">
        <v>39</v>
      </c>
      <c r="Q447" s="30" t="s">
        <v>31</v>
      </c>
      <c r="R447" s="40" t="s">
        <v>47</v>
      </c>
      <c r="S447" s="35">
        <v>48090</v>
      </c>
      <c r="T447" s="36" t="s">
        <v>458</v>
      </c>
      <c r="U447" s="30" t="s">
        <v>458</v>
      </c>
      <c r="V447" s="37" t="e">
        <v>#N/A</v>
      </c>
      <c r="W447" s="31" t="s">
        <v>63</v>
      </c>
      <c r="X447" s="37" t="s">
        <v>52</v>
      </c>
      <c r="Y447" s="37">
        <f>COUNTIF(F:F,F447)</f>
        <v>8</v>
      </c>
      <c r="Z447" s="21" t="s">
        <v>1105</v>
      </c>
      <c r="AA447" s="21" t="s">
        <v>458</v>
      </c>
      <c r="AB447" s="21" t="s">
        <v>1119</v>
      </c>
    </row>
    <row r="448" spans="1:28" ht="13.9" customHeight="1" x14ac:dyDescent="0.3">
      <c r="A448" s="36" t="s">
        <v>20</v>
      </c>
      <c r="B448" s="36" t="s">
        <v>21</v>
      </c>
      <c r="C448" s="36" t="s">
        <v>22</v>
      </c>
      <c r="D448" s="36" t="s">
        <v>23</v>
      </c>
      <c r="E448" s="36" t="s">
        <v>601</v>
      </c>
      <c r="F448" s="31" t="s">
        <v>459</v>
      </c>
      <c r="G448" s="36" t="s">
        <v>26</v>
      </c>
      <c r="H448" s="36" t="s">
        <v>27</v>
      </c>
      <c r="I448" s="36">
        <v>3</v>
      </c>
      <c r="J448" s="36"/>
      <c r="K448" s="36"/>
      <c r="L448" s="38">
        <v>106.1062757</v>
      </c>
      <c r="M448" s="38">
        <v>10.388037199999999</v>
      </c>
      <c r="N448" s="38" t="s">
        <v>429</v>
      </c>
      <c r="O448" s="39">
        <v>0</v>
      </c>
      <c r="P448" s="36" t="s">
        <v>30</v>
      </c>
      <c r="Q448" s="30" t="s">
        <v>31</v>
      </c>
      <c r="R448" s="40" t="s">
        <v>47</v>
      </c>
      <c r="S448" s="35">
        <v>48090</v>
      </c>
      <c r="T448" s="36" t="s">
        <v>458</v>
      </c>
      <c r="U448" s="30" t="s">
        <v>458</v>
      </c>
      <c r="V448" s="37" t="e">
        <v>#N/A</v>
      </c>
      <c r="W448" s="31" t="s">
        <v>63</v>
      </c>
      <c r="X448" s="37" t="s">
        <v>52</v>
      </c>
      <c r="Y448" s="37">
        <f>COUNTIF(F:F,F448)</f>
        <v>8</v>
      </c>
      <c r="Z448" s="21" t="s">
        <v>1105</v>
      </c>
      <c r="AA448" s="21" t="s">
        <v>458</v>
      </c>
      <c r="AB448" s="21" t="s">
        <v>1119</v>
      </c>
    </row>
    <row r="449" spans="1:28" s="22" customFormat="1" ht="13.9" customHeight="1" x14ac:dyDescent="0.3">
      <c r="A449" s="30" t="s">
        <v>20</v>
      </c>
      <c r="B449" s="30" t="s">
        <v>21</v>
      </c>
      <c r="C449" s="30" t="s">
        <v>22</v>
      </c>
      <c r="D449" s="30" t="s">
        <v>23</v>
      </c>
      <c r="E449" s="30" t="s">
        <v>602</v>
      </c>
      <c r="F449" s="31" t="s">
        <v>602</v>
      </c>
      <c r="G449" s="30" t="s">
        <v>26</v>
      </c>
      <c r="H449" s="30" t="s">
        <v>36</v>
      </c>
      <c r="I449" s="30">
        <v>3</v>
      </c>
      <c r="J449" s="30" t="s">
        <v>26</v>
      </c>
      <c r="K449" s="30" t="s">
        <v>269</v>
      </c>
      <c r="L449" s="32">
        <v>106.18237000000001</v>
      </c>
      <c r="M449" s="32">
        <v>10.402010000000001</v>
      </c>
      <c r="N449" s="32" t="s">
        <v>429</v>
      </c>
      <c r="O449" s="33">
        <v>0</v>
      </c>
      <c r="P449" s="30" t="s">
        <v>271</v>
      </c>
      <c r="Q449" s="30" t="s">
        <v>31</v>
      </c>
      <c r="R449" s="34" t="s">
        <v>47</v>
      </c>
      <c r="S449" s="35">
        <v>48090</v>
      </c>
      <c r="T449" s="36" t="s">
        <v>458</v>
      </c>
      <c r="U449" s="30" t="s">
        <v>458</v>
      </c>
      <c r="V449" s="37" t="e">
        <v>#N/A</v>
      </c>
      <c r="W449" s="31" t="s">
        <v>33</v>
      </c>
      <c r="X449" s="37" t="s">
        <v>42</v>
      </c>
      <c r="Y449" s="37">
        <f>COUNTIF(F:F,F449)</f>
        <v>3</v>
      </c>
      <c r="Z449" s="21" t="s">
        <v>1105</v>
      </c>
      <c r="AA449" s="21" t="s">
        <v>458</v>
      </c>
      <c r="AB449" s="21" t="s">
        <v>1119</v>
      </c>
    </row>
    <row r="450" spans="1:28" ht="13.9" customHeight="1" x14ac:dyDescent="0.3">
      <c r="A450" s="36" t="s">
        <v>20</v>
      </c>
      <c r="B450" s="36" t="s">
        <v>21</v>
      </c>
      <c r="C450" s="36" t="s">
        <v>22</v>
      </c>
      <c r="D450" s="36" t="s">
        <v>23</v>
      </c>
      <c r="E450" s="36" t="s">
        <v>603</v>
      </c>
      <c r="F450" s="31" t="s">
        <v>602</v>
      </c>
      <c r="G450" s="36" t="s">
        <v>26</v>
      </c>
      <c r="H450" s="36" t="s">
        <v>27</v>
      </c>
      <c r="I450" s="36">
        <v>3</v>
      </c>
      <c r="J450" s="36" t="s">
        <v>37</v>
      </c>
      <c r="K450" s="36" t="s">
        <v>38</v>
      </c>
      <c r="L450" s="38">
        <v>106.18555000000001</v>
      </c>
      <c r="M450" s="38">
        <v>10.38036</v>
      </c>
      <c r="N450" s="38" t="s">
        <v>429</v>
      </c>
      <c r="O450" s="39">
        <v>0</v>
      </c>
      <c r="P450" s="36" t="s">
        <v>41</v>
      </c>
      <c r="Q450" s="30" t="s">
        <v>31</v>
      </c>
      <c r="R450" s="40" t="s">
        <v>47</v>
      </c>
      <c r="S450" s="35">
        <v>48090</v>
      </c>
      <c r="T450" s="36" t="s">
        <v>458</v>
      </c>
      <c r="U450" s="30" t="s">
        <v>458</v>
      </c>
      <c r="V450" s="37" t="e">
        <v>#N/A</v>
      </c>
      <c r="W450" s="31" t="s">
        <v>63</v>
      </c>
      <c r="X450" s="37" t="s">
        <v>52</v>
      </c>
      <c r="Y450" s="37">
        <f>COUNTIF(F:F,F450)</f>
        <v>3</v>
      </c>
      <c r="Z450" s="21" t="s">
        <v>1105</v>
      </c>
      <c r="AA450" s="21" t="s">
        <v>458</v>
      </c>
      <c r="AB450" s="21" t="s">
        <v>1119</v>
      </c>
    </row>
    <row r="451" spans="1:28" s="22" customFormat="1" ht="13.9" customHeight="1" x14ac:dyDescent="0.3">
      <c r="A451" s="36" t="s">
        <v>20</v>
      </c>
      <c r="B451" s="36" t="s">
        <v>21</v>
      </c>
      <c r="C451" s="36" t="s">
        <v>22</v>
      </c>
      <c r="D451" s="36" t="s">
        <v>23</v>
      </c>
      <c r="E451" s="36" t="s">
        <v>604</v>
      </c>
      <c r="F451" s="31" t="s">
        <v>602</v>
      </c>
      <c r="G451" s="36" t="s">
        <v>26</v>
      </c>
      <c r="H451" s="36" t="s">
        <v>27</v>
      </c>
      <c r="I451" s="36">
        <v>3</v>
      </c>
      <c r="J451" s="36" t="s">
        <v>37</v>
      </c>
      <c r="K451" s="36" t="s">
        <v>38</v>
      </c>
      <c r="L451" s="38">
        <v>106.17225000000001</v>
      </c>
      <c r="M451" s="38">
        <v>10.386620000000001</v>
      </c>
      <c r="N451" s="38" t="s">
        <v>429</v>
      </c>
      <c r="O451" s="39">
        <v>0</v>
      </c>
      <c r="P451" s="36" t="s">
        <v>41</v>
      </c>
      <c r="Q451" s="30" t="s">
        <v>31</v>
      </c>
      <c r="R451" s="40" t="s">
        <v>47</v>
      </c>
      <c r="S451" s="35">
        <v>48090</v>
      </c>
      <c r="T451" s="36" t="s">
        <v>458</v>
      </c>
      <c r="U451" s="30" t="s">
        <v>458</v>
      </c>
      <c r="V451" s="37" t="e">
        <v>#N/A</v>
      </c>
      <c r="W451" s="31" t="s">
        <v>63</v>
      </c>
      <c r="X451" s="37" t="s">
        <v>52</v>
      </c>
      <c r="Y451" s="37">
        <f>COUNTIF(F:F,F451)</f>
        <v>3</v>
      </c>
      <c r="Z451" s="21" t="s">
        <v>1105</v>
      </c>
      <c r="AA451" s="21" t="s">
        <v>458</v>
      </c>
      <c r="AB451" s="21" t="s">
        <v>1119</v>
      </c>
    </row>
    <row r="452" spans="1:28" ht="13.9" customHeight="1" x14ac:dyDescent="0.3">
      <c r="A452" s="45" t="s">
        <v>20</v>
      </c>
      <c r="B452" s="45" t="s">
        <v>21</v>
      </c>
      <c r="C452" s="45" t="s">
        <v>22</v>
      </c>
      <c r="D452" s="45" t="s">
        <v>23</v>
      </c>
      <c r="E452" s="45" t="s">
        <v>605</v>
      </c>
      <c r="F452" s="31" t="s">
        <v>438</v>
      </c>
      <c r="G452" s="45" t="s">
        <v>26</v>
      </c>
      <c r="H452" s="30" t="s">
        <v>27</v>
      </c>
      <c r="I452" s="30">
        <v>3</v>
      </c>
      <c r="J452" s="30" t="s">
        <v>37</v>
      </c>
      <c r="K452" s="30" t="s">
        <v>38</v>
      </c>
      <c r="L452" s="32">
        <v>106.11899</v>
      </c>
      <c r="M452" s="32">
        <v>10.420730000000001</v>
      </c>
      <c r="N452" s="32" t="s">
        <v>429</v>
      </c>
      <c r="O452" s="33">
        <v>0</v>
      </c>
      <c r="P452" s="30" t="s">
        <v>41</v>
      </c>
      <c r="Q452" s="41" t="s">
        <v>31</v>
      </c>
      <c r="R452" s="42" t="s">
        <v>47</v>
      </c>
      <c r="S452" s="35">
        <v>48090</v>
      </c>
      <c r="T452" s="36" t="s">
        <v>580</v>
      </c>
      <c r="U452" s="30" t="s">
        <v>458</v>
      </c>
      <c r="V452" s="37" t="e">
        <v>#N/A</v>
      </c>
      <c r="W452" s="31" t="s">
        <v>33</v>
      </c>
      <c r="X452" s="37" t="s">
        <v>42</v>
      </c>
      <c r="Y452" s="37">
        <f>COUNTIF(F:F,F452)</f>
        <v>5</v>
      </c>
      <c r="Z452" s="21" t="s">
        <v>1105</v>
      </c>
      <c r="AA452" s="21" t="s">
        <v>458</v>
      </c>
      <c r="AB452" s="21" t="s">
        <v>1119</v>
      </c>
    </row>
    <row r="453" spans="1:28" ht="13.9" customHeight="1" x14ac:dyDescent="0.3">
      <c r="A453" s="30" t="s">
        <v>20</v>
      </c>
      <c r="B453" s="30" t="s">
        <v>21</v>
      </c>
      <c r="C453" s="30" t="s">
        <v>22</v>
      </c>
      <c r="D453" s="30" t="s">
        <v>23</v>
      </c>
      <c r="E453" s="30" t="s">
        <v>436</v>
      </c>
      <c r="F453" s="31" t="s">
        <v>438</v>
      </c>
      <c r="G453" s="30" t="s">
        <v>26</v>
      </c>
      <c r="H453" s="30" t="s">
        <v>27</v>
      </c>
      <c r="I453" s="30">
        <v>4</v>
      </c>
      <c r="J453" s="30"/>
      <c r="K453" s="30"/>
      <c r="L453" s="32">
        <v>106.13708</v>
      </c>
      <c r="M453" s="32">
        <v>10.433249999999999</v>
      </c>
      <c r="N453" s="32" t="s">
        <v>429</v>
      </c>
      <c r="O453" s="33">
        <v>0</v>
      </c>
      <c r="P453" s="30" t="s">
        <v>30</v>
      </c>
      <c r="Q453" s="30" t="s">
        <v>31</v>
      </c>
      <c r="R453" s="34" t="s">
        <v>47</v>
      </c>
      <c r="S453" s="35">
        <v>48090</v>
      </c>
      <c r="T453" s="36" t="s">
        <v>437</v>
      </c>
      <c r="U453" s="30" t="s">
        <v>458</v>
      </c>
      <c r="V453" s="37" t="s">
        <v>49</v>
      </c>
      <c r="W453" s="31" t="s">
        <v>50</v>
      </c>
      <c r="X453" s="37" t="s">
        <v>52</v>
      </c>
      <c r="Y453" s="37">
        <f>COUNTIF(F:F,F453)</f>
        <v>5</v>
      </c>
      <c r="Z453" s="21" t="s">
        <v>1105</v>
      </c>
      <c r="AA453" s="21" t="s">
        <v>458</v>
      </c>
      <c r="AB453" s="21" t="s">
        <v>1119</v>
      </c>
    </row>
    <row r="454" spans="1:28" ht="13.9" customHeight="1" x14ac:dyDescent="0.3">
      <c r="A454" s="41" t="s">
        <v>20</v>
      </c>
      <c r="B454" s="41" t="s">
        <v>21</v>
      </c>
      <c r="C454" s="41" t="s">
        <v>22</v>
      </c>
      <c r="D454" s="41" t="s">
        <v>23</v>
      </c>
      <c r="E454" s="41" t="s">
        <v>606</v>
      </c>
      <c r="F454" s="31" t="s">
        <v>438</v>
      </c>
      <c r="G454" s="41" t="s">
        <v>26</v>
      </c>
      <c r="H454" s="36" t="s">
        <v>27</v>
      </c>
      <c r="I454" s="36">
        <v>3</v>
      </c>
      <c r="J454" s="36"/>
      <c r="K454" s="36"/>
      <c r="L454" s="38">
        <v>106.11354</v>
      </c>
      <c r="M454" s="38">
        <v>10.39615</v>
      </c>
      <c r="N454" s="38" t="s">
        <v>429</v>
      </c>
      <c r="O454" s="39">
        <v>0</v>
      </c>
      <c r="P454" s="36" t="s">
        <v>30</v>
      </c>
      <c r="Q454" s="41" t="s">
        <v>31</v>
      </c>
      <c r="R454" s="42" t="s">
        <v>47</v>
      </c>
      <c r="S454" s="35">
        <v>48090</v>
      </c>
      <c r="T454" s="36" t="s">
        <v>458</v>
      </c>
      <c r="U454" s="30" t="s">
        <v>458</v>
      </c>
      <c r="V454" s="37" t="e">
        <v>#N/A</v>
      </c>
      <c r="W454" s="31" t="s">
        <v>63</v>
      </c>
      <c r="X454" s="37" t="s">
        <v>52</v>
      </c>
      <c r="Y454" s="37">
        <f>COUNTIF(F:F,F454)</f>
        <v>5</v>
      </c>
      <c r="Z454" s="21" t="s">
        <v>1105</v>
      </c>
      <c r="AA454" s="21" t="s">
        <v>458</v>
      </c>
      <c r="AB454" s="21" t="s">
        <v>1119</v>
      </c>
    </row>
    <row r="455" spans="1:28" ht="13.9" customHeight="1" x14ac:dyDescent="0.3">
      <c r="A455" s="30" t="s">
        <v>20</v>
      </c>
      <c r="B455" s="30" t="s">
        <v>21</v>
      </c>
      <c r="C455" s="30" t="s">
        <v>22</v>
      </c>
      <c r="D455" s="30" t="s">
        <v>23</v>
      </c>
      <c r="E455" s="30" t="s">
        <v>516</v>
      </c>
      <c r="F455" s="31" t="s">
        <v>438</v>
      </c>
      <c r="G455" s="30" t="s">
        <v>26</v>
      </c>
      <c r="H455" s="30" t="s">
        <v>27</v>
      </c>
      <c r="I455" s="30">
        <v>3</v>
      </c>
      <c r="J455" s="30"/>
      <c r="K455" s="30"/>
      <c r="L455" s="32">
        <v>106.116</v>
      </c>
      <c r="M455" s="32">
        <v>10.413410000000001</v>
      </c>
      <c r="N455" s="32" t="s">
        <v>429</v>
      </c>
      <c r="O455" s="33">
        <v>0</v>
      </c>
      <c r="P455" s="30" t="s">
        <v>30</v>
      </c>
      <c r="Q455" s="30" t="s">
        <v>31</v>
      </c>
      <c r="R455" s="34" t="s">
        <v>47</v>
      </c>
      <c r="S455" s="35">
        <v>48090</v>
      </c>
      <c r="T455" s="36" t="s">
        <v>458</v>
      </c>
      <c r="U455" s="30" t="s">
        <v>458</v>
      </c>
      <c r="V455" s="37" t="s">
        <v>49</v>
      </c>
      <c r="W455" s="31" t="s">
        <v>50</v>
      </c>
      <c r="X455" s="37" t="s">
        <v>52</v>
      </c>
      <c r="Y455" s="37">
        <f>COUNTIF(F:F,F455)</f>
        <v>5</v>
      </c>
      <c r="Z455" s="21" t="s">
        <v>1105</v>
      </c>
      <c r="AA455" s="21" t="s">
        <v>458</v>
      </c>
      <c r="AB455" s="21" t="s">
        <v>1119</v>
      </c>
    </row>
    <row r="456" spans="1:28" ht="13.9" customHeight="1" x14ac:dyDescent="0.3">
      <c r="A456" s="41" t="s">
        <v>20</v>
      </c>
      <c r="B456" s="41" t="s">
        <v>21</v>
      </c>
      <c r="C456" s="41" t="s">
        <v>22</v>
      </c>
      <c r="D456" s="41" t="s">
        <v>23</v>
      </c>
      <c r="E456" s="41" t="s">
        <v>607</v>
      </c>
      <c r="F456" s="31" t="s">
        <v>438</v>
      </c>
      <c r="G456" s="41" t="s">
        <v>26</v>
      </c>
      <c r="H456" s="36" t="s">
        <v>27</v>
      </c>
      <c r="I456" s="36">
        <v>3</v>
      </c>
      <c r="J456" s="36" t="s">
        <v>37</v>
      </c>
      <c r="K456" s="36" t="s">
        <v>38</v>
      </c>
      <c r="L456" s="38">
        <v>106.13</v>
      </c>
      <c r="M456" s="38">
        <v>10.4109</v>
      </c>
      <c r="N456" s="38" t="s">
        <v>429</v>
      </c>
      <c r="O456" s="39">
        <v>0</v>
      </c>
      <c r="P456" s="36" t="s">
        <v>60</v>
      </c>
      <c r="Q456" s="41" t="s">
        <v>31</v>
      </c>
      <c r="R456" s="42" t="s">
        <v>47</v>
      </c>
      <c r="S456" s="35">
        <v>48090</v>
      </c>
      <c r="T456" s="36" t="s">
        <v>580</v>
      </c>
      <c r="U456" s="30" t="s">
        <v>458</v>
      </c>
      <c r="V456" s="37" t="e">
        <v>#N/A</v>
      </c>
      <c r="W456" s="31" t="s">
        <v>63</v>
      </c>
      <c r="X456" s="37" t="s">
        <v>52</v>
      </c>
      <c r="Y456" s="37">
        <f>COUNTIF(F:F,F456)</f>
        <v>5</v>
      </c>
      <c r="Z456" s="21" t="s">
        <v>1105</v>
      </c>
      <c r="AA456" s="21" t="s">
        <v>458</v>
      </c>
      <c r="AB456" s="21" t="s">
        <v>1119</v>
      </c>
    </row>
    <row r="457" spans="1:28" ht="13.9" customHeight="1" x14ac:dyDescent="0.3">
      <c r="A457" s="30" t="s">
        <v>20</v>
      </c>
      <c r="B457" s="30" t="s">
        <v>21</v>
      </c>
      <c r="C457" s="30" t="s">
        <v>22</v>
      </c>
      <c r="D457" s="30" t="s">
        <v>23</v>
      </c>
      <c r="E457" s="30" t="s">
        <v>586</v>
      </c>
      <c r="F457" s="31" t="s">
        <v>586</v>
      </c>
      <c r="G457" s="30" t="s">
        <v>26</v>
      </c>
      <c r="H457" s="30" t="s">
        <v>27</v>
      </c>
      <c r="I457" s="30">
        <v>3</v>
      </c>
      <c r="J457" s="30"/>
      <c r="K457" s="30"/>
      <c r="L457" s="32">
        <v>106.11015999999999</v>
      </c>
      <c r="M457" s="32">
        <v>10.40977</v>
      </c>
      <c r="N457" s="32" t="s">
        <v>429</v>
      </c>
      <c r="O457" s="33">
        <v>0</v>
      </c>
      <c r="P457" s="30" t="s">
        <v>30</v>
      </c>
      <c r="Q457" s="30" t="s">
        <v>31</v>
      </c>
      <c r="R457" s="34" t="s">
        <v>47</v>
      </c>
      <c r="S457" s="35">
        <v>48090</v>
      </c>
      <c r="T457" s="36" t="s">
        <v>458</v>
      </c>
      <c r="U457" s="30" t="s">
        <v>458</v>
      </c>
      <c r="V457" s="37" t="e">
        <v>#N/A</v>
      </c>
      <c r="W457" s="31" t="s">
        <v>33</v>
      </c>
      <c r="X457" s="37"/>
      <c r="Y457" s="37">
        <f>COUNTIF(F:F,F457)</f>
        <v>1</v>
      </c>
      <c r="Z457" s="21" t="s">
        <v>1105</v>
      </c>
      <c r="AA457" s="21" t="s">
        <v>458</v>
      </c>
      <c r="AB457" s="21" t="s">
        <v>1119</v>
      </c>
    </row>
    <row r="458" spans="1:28" ht="13.9" customHeight="1" x14ac:dyDescent="0.3">
      <c r="A458" s="30" t="s">
        <v>20</v>
      </c>
      <c r="B458" s="30" t="s">
        <v>21</v>
      </c>
      <c r="C458" s="30" t="s">
        <v>22</v>
      </c>
      <c r="D458" s="30" t="s">
        <v>23</v>
      </c>
      <c r="E458" s="30" t="s">
        <v>587</v>
      </c>
      <c r="F458" s="31" t="s">
        <v>587</v>
      </c>
      <c r="G458" s="30" t="s">
        <v>26</v>
      </c>
      <c r="H458" s="30" t="s">
        <v>36</v>
      </c>
      <c r="I458" s="30">
        <v>3</v>
      </c>
      <c r="J458" s="30" t="s">
        <v>37</v>
      </c>
      <c r="K458" s="30" t="s">
        <v>38</v>
      </c>
      <c r="L458" s="32">
        <v>106.12358999999999</v>
      </c>
      <c r="M458" s="32">
        <v>10.372170000000001</v>
      </c>
      <c r="N458" s="32" t="s">
        <v>429</v>
      </c>
      <c r="O458" s="33">
        <v>0</v>
      </c>
      <c r="P458" s="30" t="s">
        <v>39</v>
      </c>
      <c r="Q458" s="30" t="s">
        <v>31</v>
      </c>
      <c r="R458" s="34" t="s">
        <v>47</v>
      </c>
      <c r="S458" s="35">
        <v>48090</v>
      </c>
      <c r="T458" s="36" t="s">
        <v>458</v>
      </c>
      <c r="U458" s="30" t="s">
        <v>458</v>
      </c>
      <c r="V458" s="37" t="e">
        <v>#N/A</v>
      </c>
      <c r="W458" s="31" t="s">
        <v>33</v>
      </c>
      <c r="X458" s="37"/>
      <c r="Y458" s="37">
        <f>COUNTIF(F:F,F458)</f>
        <v>1</v>
      </c>
      <c r="Z458" s="21" t="s">
        <v>1105</v>
      </c>
      <c r="AA458" s="21" t="s">
        <v>458</v>
      </c>
      <c r="AB458" s="21" t="s">
        <v>1119</v>
      </c>
    </row>
    <row r="459" spans="1:28" ht="13.9" customHeight="1" x14ac:dyDescent="0.3">
      <c r="A459" s="30" t="s">
        <v>20</v>
      </c>
      <c r="B459" s="30" t="s">
        <v>21</v>
      </c>
      <c r="C459" s="30" t="s">
        <v>22</v>
      </c>
      <c r="D459" s="30" t="s">
        <v>23</v>
      </c>
      <c r="E459" s="30" t="s">
        <v>584</v>
      </c>
      <c r="F459" s="31" t="s">
        <v>584</v>
      </c>
      <c r="G459" s="30" t="s">
        <v>26</v>
      </c>
      <c r="H459" s="30" t="s">
        <v>36</v>
      </c>
      <c r="I459" s="30">
        <v>3</v>
      </c>
      <c r="J459" s="30" t="s">
        <v>26</v>
      </c>
      <c r="K459" s="30" t="s">
        <v>269</v>
      </c>
      <c r="L459" s="32">
        <v>106.13122</v>
      </c>
      <c r="M459" s="32">
        <v>10.40625</v>
      </c>
      <c r="N459" s="32" t="s">
        <v>429</v>
      </c>
      <c r="O459" s="33">
        <v>0</v>
      </c>
      <c r="P459" s="30" t="s">
        <v>271</v>
      </c>
      <c r="Q459" s="30" t="s">
        <v>31</v>
      </c>
      <c r="R459" s="34" t="s">
        <v>47</v>
      </c>
      <c r="S459" s="35">
        <v>48090</v>
      </c>
      <c r="T459" s="36" t="s">
        <v>458</v>
      </c>
      <c r="U459" s="30" t="s">
        <v>458</v>
      </c>
      <c r="V459" s="37" t="e">
        <v>#N/A</v>
      </c>
      <c r="W459" s="31" t="s">
        <v>33</v>
      </c>
      <c r="X459" s="37"/>
      <c r="Y459" s="37">
        <f>COUNTIF(F:F,F459)</f>
        <v>1</v>
      </c>
      <c r="Z459" s="21" t="s">
        <v>1105</v>
      </c>
      <c r="AA459" s="21" t="s">
        <v>458</v>
      </c>
      <c r="AB459" s="21" t="s">
        <v>1119</v>
      </c>
    </row>
    <row r="460" spans="1:28" ht="13.9" customHeight="1" x14ac:dyDescent="0.3">
      <c r="A460" s="30" t="s">
        <v>20</v>
      </c>
      <c r="B460" s="30" t="s">
        <v>21</v>
      </c>
      <c r="C460" s="30" t="s">
        <v>22</v>
      </c>
      <c r="D460" s="30" t="s">
        <v>23</v>
      </c>
      <c r="E460" s="30" t="s">
        <v>589</v>
      </c>
      <c r="F460" s="31" t="s">
        <v>589</v>
      </c>
      <c r="G460" s="30" t="s">
        <v>26</v>
      </c>
      <c r="H460" s="30" t="s">
        <v>36</v>
      </c>
      <c r="I460" s="30">
        <v>4</v>
      </c>
      <c r="J460" s="30" t="s">
        <v>37</v>
      </c>
      <c r="K460" s="30" t="s">
        <v>38</v>
      </c>
      <c r="L460" s="32">
        <v>106.1180914</v>
      </c>
      <c r="M460" s="32">
        <v>10.4037881</v>
      </c>
      <c r="N460" s="32" t="s">
        <v>429</v>
      </c>
      <c r="O460" s="33">
        <v>0</v>
      </c>
      <c r="P460" s="30" t="s">
        <v>39</v>
      </c>
      <c r="Q460" s="30" t="s">
        <v>31</v>
      </c>
      <c r="R460" s="34" t="s">
        <v>47</v>
      </c>
      <c r="S460" s="35">
        <v>48090</v>
      </c>
      <c r="T460" s="36" t="s">
        <v>458</v>
      </c>
      <c r="U460" s="30" t="s">
        <v>458</v>
      </c>
      <c r="V460" s="37" t="e">
        <v>#N/A</v>
      </c>
      <c r="W460" s="31" t="s">
        <v>33</v>
      </c>
      <c r="X460" s="37"/>
      <c r="Y460" s="37">
        <f>COUNTIF(F:F,F460)</f>
        <v>1</v>
      </c>
      <c r="Z460" s="21" t="s">
        <v>1105</v>
      </c>
      <c r="AA460" s="21" t="s">
        <v>458</v>
      </c>
      <c r="AB460" s="21" t="s">
        <v>1119</v>
      </c>
    </row>
    <row r="461" spans="1:28" ht="13.9" customHeight="1" x14ac:dyDescent="0.3">
      <c r="A461" s="30" t="s">
        <v>20</v>
      </c>
      <c r="B461" s="30" t="s">
        <v>21</v>
      </c>
      <c r="C461" s="30" t="s">
        <v>22</v>
      </c>
      <c r="D461" s="30" t="s">
        <v>23</v>
      </c>
      <c r="E461" s="30" t="s">
        <v>590</v>
      </c>
      <c r="F461" s="31" t="s">
        <v>590</v>
      </c>
      <c r="G461" s="30" t="s">
        <v>26</v>
      </c>
      <c r="H461" s="30" t="s">
        <v>36</v>
      </c>
      <c r="I461" s="30">
        <v>4</v>
      </c>
      <c r="J461" s="30" t="s">
        <v>37</v>
      </c>
      <c r="K461" s="30" t="s">
        <v>38</v>
      </c>
      <c r="L461" s="32">
        <v>106.12367</v>
      </c>
      <c r="M461" s="32">
        <v>10.413779999999999</v>
      </c>
      <c r="N461" s="32" t="s">
        <v>429</v>
      </c>
      <c r="O461" s="33">
        <v>0</v>
      </c>
      <c r="P461" s="30" t="s">
        <v>39</v>
      </c>
      <c r="Q461" s="30" t="s">
        <v>31</v>
      </c>
      <c r="R461" s="34" t="s">
        <v>47</v>
      </c>
      <c r="S461" s="35">
        <v>48090</v>
      </c>
      <c r="T461" s="36" t="s">
        <v>458</v>
      </c>
      <c r="U461" s="30" t="s">
        <v>458</v>
      </c>
      <c r="V461" s="37" t="e">
        <v>#N/A</v>
      </c>
      <c r="W461" s="31" t="s">
        <v>33</v>
      </c>
      <c r="X461" s="37"/>
      <c r="Y461" s="37">
        <f>COUNTIF(F:F,F461)</f>
        <v>1</v>
      </c>
      <c r="Z461" s="21" t="s">
        <v>1105</v>
      </c>
      <c r="AA461" s="21" t="s">
        <v>458</v>
      </c>
      <c r="AB461" s="21" t="s">
        <v>1119</v>
      </c>
    </row>
    <row r="462" spans="1:28" ht="13.9" customHeight="1" x14ac:dyDescent="0.3">
      <c r="A462" s="30" t="s">
        <v>20</v>
      </c>
      <c r="B462" s="30" t="s">
        <v>21</v>
      </c>
      <c r="C462" s="30" t="s">
        <v>22</v>
      </c>
      <c r="D462" s="30" t="s">
        <v>23</v>
      </c>
      <c r="E462" s="30" t="s">
        <v>595</v>
      </c>
      <c r="F462" s="31" t="s">
        <v>595</v>
      </c>
      <c r="G462" s="30" t="s">
        <v>26</v>
      </c>
      <c r="H462" s="30" t="s">
        <v>27</v>
      </c>
      <c r="I462" s="30">
        <v>3</v>
      </c>
      <c r="J462" s="30"/>
      <c r="K462" s="30"/>
      <c r="L462" s="32">
        <v>106.14133</v>
      </c>
      <c r="M462" s="32">
        <v>10.39249</v>
      </c>
      <c r="N462" s="32" t="s">
        <v>429</v>
      </c>
      <c r="O462" s="33">
        <v>0</v>
      </c>
      <c r="P462" s="30" t="s">
        <v>60</v>
      </c>
      <c r="Q462" s="30" t="s">
        <v>31</v>
      </c>
      <c r="R462" s="34" t="s">
        <v>47</v>
      </c>
      <c r="S462" s="35">
        <v>48090</v>
      </c>
      <c r="T462" s="36" t="s">
        <v>458</v>
      </c>
      <c r="U462" s="30" t="s">
        <v>458</v>
      </c>
      <c r="V462" s="37" t="e">
        <v>#N/A</v>
      </c>
      <c r="W462" s="31" t="s">
        <v>33</v>
      </c>
      <c r="X462" s="37"/>
      <c r="Y462" s="37">
        <f>COUNTIF(F:F,F462)</f>
        <v>1</v>
      </c>
      <c r="Z462" s="21" t="s">
        <v>1105</v>
      </c>
      <c r="AA462" s="21" t="s">
        <v>458</v>
      </c>
      <c r="AB462" s="21" t="s">
        <v>1119</v>
      </c>
    </row>
    <row r="463" spans="1:28" ht="13.9" customHeight="1" x14ac:dyDescent="0.3">
      <c r="A463" s="30" t="s">
        <v>20</v>
      </c>
      <c r="B463" s="30" t="s">
        <v>21</v>
      </c>
      <c r="C463" s="30" t="s">
        <v>22</v>
      </c>
      <c r="D463" s="30" t="s">
        <v>23</v>
      </c>
      <c r="E463" s="30" t="s">
        <v>585</v>
      </c>
      <c r="F463" s="31" t="s">
        <v>585</v>
      </c>
      <c r="G463" s="30" t="s">
        <v>26</v>
      </c>
      <c r="H463" s="30" t="s">
        <v>36</v>
      </c>
      <c r="I463" s="30">
        <v>4</v>
      </c>
      <c r="J463" s="30" t="s">
        <v>26</v>
      </c>
      <c r="K463" s="30" t="s">
        <v>269</v>
      </c>
      <c r="L463" s="32">
        <v>106.0974284</v>
      </c>
      <c r="M463" s="32">
        <v>10.4116135</v>
      </c>
      <c r="N463" s="32" t="s">
        <v>429</v>
      </c>
      <c r="O463" s="33">
        <v>0</v>
      </c>
      <c r="P463" s="30" t="s">
        <v>271</v>
      </c>
      <c r="Q463" s="30" t="s">
        <v>31</v>
      </c>
      <c r="R463" s="34" t="s">
        <v>47</v>
      </c>
      <c r="S463" s="35">
        <v>48090</v>
      </c>
      <c r="T463" s="36" t="s">
        <v>458</v>
      </c>
      <c r="U463" s="30" t="s">
        <v>458</v>
      </c>
      <c r="V463" s="37" t="e">
        <v>#N/A</v>
      </c>
      <c r="W463" s="31" t="s">
        <v>33</v>
      </c>
      <c r="X463" s="37"/>
      <c r="Y463" s="37">
        <f>COUNTIF(F:F,F463)</f>
        <v>1</v>
      </c>
      <c r="Z463" s="21" t="s">
        <v>1105</v>
      </c>
      <c r="AA463" s="21" t="s">
        <v>458</v>
      </c>
      <c r="AB463" s="21" t="s">
        <v>1119</v>
      </c>
    </row>
    <row r="464" spans="1:28" ht="13.9" customHeight="1" x14ac:dyDescent="0.3">
      <c r="A464" s="30" t="s">
        <v>20</v>
      </c>
      <c r="B464" s="30" t="s">
        <v>21</v>
      </c>
      <c r="C464" s="30" t="s">
        <v>22</v>
      </c>
      <c r="D464" s="30" t="s">
        <v>23</v>
      </c>
      <c r="E464" s="30" t="s">
        <v>618</v>
      </c>
      <c r="F464" s="31" t="s">
        <v>431</v>
      </c>
      <c r="G464" s="30" t="s">
        <v>26</v>
      </c>
      <c r="H464" s="30" t="s">
        <v>36</v>
      </c>
      <c r="I464" s="30">
        <v>4</v>
      </c>
      <c r="J464" s="30" t="s">
        <v>37</v>
      </c>
      <c r="K464" s="30" t="s">
        <v>38</v>
      </c>
      <c r="L464" s="32">
        <v>106.18823</v>
      </c>
      <c r="M464" s="32">
        <v>10.4192</v>
      </c>
      <c r="N464" s="32" t="s">
        <v>278</v>
      </c>
      <c r="O464" s="33">
        <v>0</v>
      </c>
      <c r="P464" s="30" t="s">
        <v>39</v>
      </c>
      <c r="Q464" s="30" t="s">
        <v>31</v>
      </c>
      <c r="R464" s="34" t="s">
        <v>47</v>
      </c>
      <c r="S464" s="35">
        <v>48010</v>
      </c>
      <c r="T464" s="36" t="s">
        <v>430</v>
      </c>
      <c r="U464" s="30" t="s">
        <v>437</v>
      </c>
      <c r="V464" s="37" t="e">
        <v>#N/A</v>
      </c>
      <c r="W464" s="31" t="s">
        <v>33</v>
      </c>
      <c r="X464" s="37" t="s">
        <v>42</v>
      </c>
      <c r="Y464" s="37">
        <f>COUNTIF(F:F,F464)</f>
        <v>4</v>
      </c>
      <c r="Z464" s="21" t="s">
        <v>1106</v>
      </c>
      <c r="AA464" s="21" t="s">
        <v>437</v>
      </c>
      <c r="AB464" s="21" t="s">
        <v>1119</v>
      </c>
    </row>
    <row r="465" spans="1:28" ht="13.9" customHeight="1" x14ac:dyDescent="0.3">
      <c r="A465" s="30" t="s">
        <v>20</v>
      </c>
      <c r="B465" s="30" t="s">
        <v>21</v>
      </c>
      <c r="C465" s="30" t="s">
        <v>22</v>
      </c>
      <c r="D465" s="30" t="s">
        <v>23</v>
      </c>
      <c r="E465" s="30" t="s">
        <v>428</v>
      </c>
      <c r="F465" s="31" t="s">
        <v>431</v>
      </c>
      <c r="G465" s="30" t="s">
        <v>26</v>
      </c>
      <c r="H465" s="30" t="s">
        <v>36</v>
      </c>
      <c r="I465" s="30">
        <v>4</v>
      </c>
      <c r="J465" s="30" t="s">
        <v>37</v>
      </c>
      <c r="K465" s="30" t="s">
        <v>38</v>
      </c>
      <c r="L465" s="32">
        <v>106.18956</v>
      </c>
      <c r="M465" s="32">
        <v>10.43563</v>
      </c>
      <c r="N465" s="32" t="s">
        <v>429</v>
      </c>
      <c r="O465" s="33">
        <v>0</v>
      </c>
      <c r="P465" s="30" t="s">
        <v>39</v>
      </c>
      <c r="Q465" s="30" t="s">
        <v>31</v>
      </c>
      <c r="R465" s="34" t="s">
        <v>47</v>
      </c>
      <c r="S465" s="35">
        <v>48090</v>
      </c>
      <c r="T465" s="36" t="s">
        <v>430</v>
      </c>
      <c r="U465" s="30" t="s">
        <v>437</v>
      </c>
      <c r="V465" s="37" t="s">
        <v>49</v>
      </c>
      <c r="W465" s="31" t="s">
        <v>50</v>
      </c>
      <c r="X465" s="37" t="s">
        <v>52</v>
      </c>
      <c r="Y465" s="37">
        <f>COUNTIF(F:F,F465)</f>
        <v>4</v>
      </c>
      <c r="Z465" s="21" t="s">
        <v>1106</v>
      </c>
      <c r="AA465" s="21" t="s">
        <v>437</v>
      </c>
      <c r="AB465" s="21" t="s">
        <v>1119</v>
      </c>
    </row>
    <row r="466" spans="1:28" ht="13.9" customHeight="1" x14ac:dyDescent="0.3">
      <c r="A466" s="36" t="s">
        <v>20</v>
      </c>
      <c r="B466" s="36" t="s">
        <v>21</v>
      </c>
      <c r="C466" s="36" t="s">
        <v>22</v>
      </c>
      <c r="D466" s="36" t="s">
        <v>23</v>
      </c>
      <c r="E466" s="36" t="s">
        <v>619</v>
      </c>
      <c r="F466" s="31" t="s">
        <v>431</v>
      </c>
      <c r="G466" s="36" t="s">
        <v>26</v>
      </c>
      <c r="H466" s="36" t="s">
        <v>27</v>
      </c>
      <c r="I466" s="36">
        <v>3</v>
      </c>
      <c r="J466" s="36"/>
      <c r="K466" s="36"/>
      <c r="L466" s="38">
        <v>106.17129</v>
      </c>
      <c r="M466" s="38">
        <v>10.420579999999999</v>
      </c>
      <c r="N466" s="38" t="s">
        <v>429</v>
      </c>
      <c r="O466" s="39">
        <v>0</v>
      </c>
      <c r="P466" s="36" t="s">
        <v>60</v>
      </c>
      <c r="Q466" s="30" t="s">
        <v>31</v>
      </c>
      <c r="R466" s="40" t="s">
        <v>47</v>
      </c>
      <c r="S466" s="35">
        <v>48090</v>
      </c>
      <c r="T466" s="36" t="s">
        <v>430</v>
      </c>
      <c r="U466" s="30" t="s">
        <v>437</v>
      </c>
      <c r="V466" s="37" t="e">
        <v>#N/A</v>
      </c>
      <c r="W466" s="31" t="s">
        <v>63</v>
      </c>
      <c r="X466" s="37" t="s">
        <v>52</v>
      </c>
      <c r="Y466" s="37">
        <f>COUNTIF(F:F,F466)</f>
        <v>4</v>
      </c>
      <c r="Z466" s="21" t="s">
        <v>1106</v>
      </c>
      <c r="AA466" s="21" t="s">
        <v>437</v>
      </c>
      <c r="AB466" s="21" t="s">
        <v>1119</v>
      </c>
    </row>
    <row r="467" spans="1:28" ht="13.9" customHeight="1" x14ac:dyDescent="0.3">
      <c r="A467" s="30" t="s">
        <v>20</v>
      </c>
      <c r="B467" s="30" t="s">
        <v>21</v>
      </c>
      <c r="C467" s="30" t="s">
        <v>22</v>
      </c>
      <c r="D467" s="30" t="s">
        <v>23</v>
      </c>
      <c r="E467" s="30" t="s">
        <v>620</v>
      </c>
      <c r="F467" s="31" t="s">
        <v>431</v>
      </c>
      <c r="G467" s="30" t="s">
        <v>26</v>
      </c>
      <c r="H467" s="30" t="s">
        <v>27</v>
      </c>
      <c r="I467" s="30">
        <v>3</v>
      </c>
      <c r="J467" s="30"/>
      <c r="K467" s="30"/>
      <c r="L467" s="32">
        <v>106.17477</v>
      </c>
      <c r="M467" s="32">
        <v>10.436400000000001</v>
      </c>
      <c r="N467" s="32" t="s">
        <v>429</v>
      </c>
      <c r="O467" s="33">
        <v>0</v>
      </c>
      <c r="P467" s="30" t="s">
        <v>30</v>
      </c>
      <c r="Q467" s="30" t="s">
        <v>31</v>
      </c>
      <c r="R467" s="34" t="s">
        <v>47</v>
      </c>
      <c r="S467" s="35">
        <v>48090</v>
      </c>
      <c r="T467" s="36" t="s">
        <v>430</v>
      </c>
      <c r="U467" s="30" t="s">
        <v>437</v>
      </c>
      <c r="V467" s="37" t="e">
        <v>#N/A</v>
      </c>
      <c r="W467" s="31" t="s">
        <v>63</v>
      </c>
      <c r="X467" s="37" t="s">
        <v>52</v>
      </c>
      <c r="Y467" s="37">
        <f>COUNTIF(F:F,F467)</f>
        <v>4</v>
      </c>
      <c r="Z467" s="21" t="s">
        <v>1106</v>
      </c>
      <c r="AA467" s="21" t="s">
        <v>437</v>
      </c>
      <c r="AB467" s="21" t="s">
        <v>1119</v>
      </c>
    </row>
    <row r="468" spans="1:28" ht="13.9" customHeight="1" x14ac:dyDescent="0.3">
      <c r="A468" s="30" t="s">
        <v>20</v>
      </c>
      <c r="B468" s="30" t="s">
        <v>21</v>
      </c>
      <c r="C468" s="30" t="s">
        <v>22</v>
      </c>
      <c r="D468" s="30" t="s">
        <v>23</v>
      </c>
      <c r="E468" s="30" t="s">
        <v>471</v>
      </c>
      <c r="F468" s="31" t="s">
        <v>471</v>
      </c>
      <c r="G468" s="30" t="s">
        <v>26</v>
      </c>
      <c r="H468" s="30" t="s">
        <v>27</v>
      </c>
      <c r="I468" s="30">
        <v>3</v>
      </c>
      <c r="J468" s="30" t="s">
        <v>37</v>
      </c>
      <c r="K468" s="30" t="s">
        <v>38</v>
      </c>
      <c r="L468" s="32">
        <v>106.11324999999999</v>
      </c>
      <c r="M468" s="32">
        <v>10.45171</v>
      </c>
      <c r="N468" s="32" t="s">
        <v>429</v>
      </c>
      <c r="O468" s="33">
        <v>0</v>
      </c>
      <c r="P468" s="30" t="s">
        <v>41</v>
      </c>
      <c r="Q468" s="30" t="s">
        <v>31</v>
      </c>
      <c r="R468" s="34" t="s">
        <v>47</v>
      </c>
      <c r="S468" s="35">
        <v>48090</v>
      </c>
      <c r="T468" s="36" t="s">
        <v>437</v>
      </c>
      <c r="U468" s="30" t="s">
        <v>437</v>
      </c>
      <c r="V468" s="37" t="e">
        <v>#N/A</v>
      </c>
      <c r="W468" s="31" t="s">
        <v>33</v>
      </c>
      <c r="X468" s="37" t="s">
        <v>42</v>
      </c>
      <c r="Y468" s="37">
        <f>COUNTIF(F:F,F468)</f>
        <v>5</v>
      </c>
      <c r="Z468" s="21" t="s">
        <v>1106</v>
      </c>
      <c r="AA468" s="21" t="s">
        <v>437</v>
      </c>
      <c r="AB468" s="21" t="s">
        <v>1119</v>
      </c>
    </row>
    <row r="469" spans="1:28" ht="13.9" customHeight="1" x14ac:dyDescent="0.3">
      <c r="A469" s="36" t="s">
        <v>20</v>
      </c>
      <c r="B469" s="36" t="s">
        <v>21</v>
      </c>
      <c r="C469" s="36" t="s">
        <v>22</v>
      </c>
      <c r="D469" s="36" t="s">
        <v>23</v>
      </c>
      <c r="E469" s="36" t="s">
        <v>621</v>
      </c>
      <c r="F469" s="31" t="s">
        <v>471</v>
      </c>
      <c r="G469" s="36" t="s">
        <v>26</v>
      </c>
      <c r="H469" s="36" t="s">
        <v>27</v>
      </c>
      <c r="I469" s="36">
        <v>3</v>
      </c>
      <c r="J469" s="36"/>
      <c r="K469" s="36"/>
      <c r="L469" s="38">
        <v>106.10262</v>
      </c>
      <c r="M469" s="38">
        <v>10.476290000000001</v>
      </c>
      <c r="N469" s="38" t="s">
        <v>429</v>
      </c>
      <c r="O469" s="39">
        <v>0</v>
      </c>
      <c r="P469" s="36" t="s">
        <v>30</v>
      </c>
      <c r="Q469" s="30" t="s">
        <v>31</v>
      </c>
      <c r="R469" s="40" t="s">
        <v>47</v>
      </c>
      <c r="S469" s="35">
        <v>48090</v>
      </c>
      <c r="T469" s="36" t="s">
        <v>437</v>
      </c>
      <c r="U469" s="30" t="s">
        <v>437</v>
      </c>
      <c r="V469" s="37" t="e">
        <v>#N/A</v>
      </c>
      <c r="W469" s="31" t="s">
        <v>63</v>
      </c>
      <c r="X469" s="37" t="s">
        <v>52</v>
      </c>
      <c r="Y469" s="37">
        <f>COUNTIF(F:F,F469)</f>
        <v>5</v>
      </c>
      <c r="Z469" s="21" t="s">
        <v>1106</v>
      </c>
      <c r="AA469" s="21" t="s">
        <v>437</v>
      </c>
      <c r="AB469" s="21" t="s">
        <v>1119</v>
      </c>
    </row>
    <row r="470" spans="1:28" ht="13.9" customHeight="1" x14ac:dyDescent="0.3">
      <c r="A470" s="36" t="s">
        <v>20</v>
      </c>
      <c r="B470" s="36" t="s">
        <v>21</v>
      </c>
      <c r="C470" s="36" t="s">
        <v>22</v>
      </c>
      <c r="D470" s="36" t="s">
        <v>23</v>
      </c>
      <c r="E470" s="36" t="s">
        <v>622</v>
      </c>
      <c r="F470" s="31" t="s">
        <v>471</v>
      </c>
      <c r="G470" s="36" t="s">
        <v>26</v>
      </c>
      <c r="H470" s="36" t="s">
        <v>27</v>
      </c>
      <c r="I470" s="36">
        <v>3</v>
      </c>
      <c r="J470" s="36"/>
      <c r="K470" s="36"/>
      <c r="L470" s="38">
        <v>106.11678000000001</v>
      </c>
      <c r="M470" s="38">
        <v>10.431089999999999</v>
      </c>
      <c r="N470" s="38" t="s">
        <v>429</v>
      </c>
      <c r="O470" s="39">
        <v>0</v>
      </c>
      <c r="P470" s="36" t="s">
        <v>30</v>
      </c>
      <c r="Q470" s="30" t="s">
        <v>31</v>
      </c>
      <c r="R470" s="40" t="s">
        <v>47</v>
      </c>
      <c r="S470" s="35">
        <v>48090</v>
      </c>
      <c r="T470" s="36" t="s">
        <v>437</v>
      </c>
      <c r="U470" s="30" t="s">
        <v>437</v>
      </c>
      <c r="V470" s="37" t="e">
        <v>#N/A</v>
      </c>
      <c r="W470" s="31" t="s">
        <v>63</v>
      </c>
      <c r="X470" s="37" t="s">
        <v>52</v>
      </c>
      <c r="Y470" s="37">
        <f>COUNTIF(F:F,F470)</f>
        <v>5</v>
      </c>
      <c r="Z470" s="21" t="s">
        <v>1106</v>
      </c>
      <c r="AA470" s="21" t="s">
        <v>437</v>
      </c>
      <c r="AB470" s="21" t="s">
        <v>1119</v>
      </c>
    </row>
    <row r="471" spans="1:28" ht="13.9" customHeight="1" x14ac:dyDescent="0.3">
      <c r="A471" s="30" t="s">
        <v>20</v>
      </c>
      <c r="B471" s="30" t="s">
        <v>21</v>
      </c>
      <c r="C471" s="30" t="s">
        <v>22</v>
      </c>
      <c r="D471" s="30" t="s">
        <v>23</v>
      </c>
      <c r="E471" s="30" t="s">
        <v>470</v>
      </c>
      <c r="F471" s="31" t="s">
        <v>471</v>
      </c>
      <c r="G471" s="30" t="s">
        <v>26</v>
      </c>
      <c r="H471" s="30" t="s">
        <v>27</v>
      </c>
      <c r="I471" s="30">
        <v>3</v>
      </c>
      <c r="J471" s="30"/>
      <c r="K471" s="30"/>
      <c r="L471" s="32">
        <v>106.1264</v>
      </c>
      <c r="M471" s="32">
        <v>10.4704</v>
      </c>
      <c r="N471" s="32" t="s">
        <v>429</v>
      </c>
      <c r="O471" s="33">
        <v>0</v>
      </c>
      <c r="P471" s="30" t="s">
        <v>30</v>
      </c>
      <c r="Q471" s="30" t="s">
        <v>31</v>
      </c>
      <c r="R471" s="34" t="s">
        <v>47</v>
      </c>
      <c r="S471" s="35">
        <v>48090</v>
      </c>
      <c r="T471" s="36" t="s">
        <v>437</v>
      </c>
      <c r="U471" s="30" t="s">
        <v>437</v>
      </c>
      <c r="V471" s="37" t="s">
        <v>49</v>
      </c>
      <c r="W471" s="31" t="s">
        <v>50</v>
      </c>
      <c r="X471" s="37" t="s">
        <v>52</v>
      </c>
      <c r="Y471" s="37">
        <f>COUNTIF(F:F,F471)</f>
        <v>5</v>
      </c>
      <c r="Z471" s="21" t="s">
        <v>1106</v>
      </c>
      <c r="AA471" s="21" t="s">
        <v>437</v>
      </c>
      <c r="AB471" s="21" t="s">
        <v>1119</v>
      </c>
    </row>
    <row r="472" spans="1:28" ht="13.9" customHeight="1" x14ac:dyDescent="0.3">
      <c r="A472" s="36" t="s">
        <v>20</v>
      </c>
      <c r="B472" s="36" t="s">
        <v>21</v>
      </c>
      <c r="C472" s="36" t="s">
        <v>22</v>
      </c>
      <c r="D472" s="36" t="s">
        <v>23</v>
      </c>
      <c r="E472" s="36" t="s">
        <v>623</v>
      </c>
      <c r="F472" s="31" t="s">
        <v>471</v>
      </c>
      <c r="G472" s="36" t="s">
        <v>26</v>
      </c>
      <c r="H472" s="36" t="s">
        <v>27</v>
      </c>
      <c r="I472" s="36">
        <v>3</v>
      </c>
      <c r="J472" s="36"/>
      <c r="K472" s="36"/>
      <c r="L472" s="38">
        <v>106.0967</v>
      </c>
      <c r="M472" s="38">
        <v>10.44815</v>
      </c>
      <c r="N472" s="38" t="s">
        <v>429</v>
      </c>
      <c r="O472" s="39">
        <v>0</v>
      </c>
      <c r="P472" s="36" t="s">
        <v>30</v>
      </c>
      <c r="Q472" s="30" t="s">
        <v>31</v>
      </c>
      <c r="R472" s="40" t="s">
        <v>47</v>
      </c>
      <c r="S472" s="35">
        <v>48090</v>
      </c>
      <c r="T472" s="36" t="s">
        <v>437</v>
      </c>
      <c r="U472" s="30" t="s">
        <v>437</v>
      </c>
      <c r="V472" s="37" t="e">
        <v>#N/A</v>
      </c>
      <c r="W472" s="31" t="s">
        <v>63</v>
      </c>
      <c r="X472" s="37" t="s">
        <v>52</v>
      </c>
      <c r="Y472" s="37">
        <f>COUNTIF(F:F,F472)</f>
        <v>5</v>
      </c>
      <c r="Z472" s="21" t="s">
        <v>1106</v>
      </c>
      <c r="AA472" s="21" t="s">
        <v>437</v>
      </c>
      <c r="AB472" s="21" t="s">
        <v>1119</v>
      </c>
    </row>
    <row r="473" spans="1:28" ht="13.9" customHeight="1" x14ac:dyDescent="0.3">
      <c r="A473" s="30" t="s">
        <v>20</v>
      </c>
      <c r="B473" s="30" t="s">
        <v>21</v>
      </c>
      <c r="C473" s="30" t="s">
        <v>22</v>
      </c>
      <c r="D473" s="30" t="s">
        <v>23</v>
      </c>
      <c r="E473" s="30" t="s">
        <v>608</v>
      </c>
      <c r="F473" s="31" t="s">
        <v>608</v>
      </c>
      <c r="G473" s="30" t="s">
        <v>26</v>
      </c>
      <c r="H473" s="30" t="s">
        <v>36</v>
      </c>
      <c r="I473" s="30">
        <v>4</v>
      </c>
      <c r="J473" s="30" t="s">
        <v>37</v>
      </c>
      <c r="K473" s="30" t="s">
        <v>38</v>
      </c>
      <c r="L473" s="32">
        <v>106.09641999999999</v>
      </c>
      <c r="M473" s="32">
        <v>10.49259</v>
      </c>
      <c r="N473" s="32" t="s">
        <v>429</v>
      </c>
      <c r="O473" s="33">
        <v>0</v>
      </c>
      <c r="P473" s="30" t="s">
        <v>39</v>
      </c>
      <c r="Q473" s="30" t="s">
        <v>31</v>
      </c>
      <c r="R473" s="34" t="s">
        <v>47</v>
      </c>
      <c r="S473" s="35">
        <v>48090</v>
      </c>
      <c r="T473" s="36" t="s">
        <v>437</v>
      </c>
      <c r="U473" s="30" t="s">
        <v>437</v>
      </c>
      <c r="V473" s="37" t="e">
        <v>#N/A</v>
      </c>
      <c r="W473" s="31" t="s">
        <v>33</v>
      </c>
      <c r="X473" s="37"/>
      <c r="Y473" s="37">
        <f>COUNTIF(F:F,F473)</f>
        <v>1</v>
      </c>
      <c r="Z473" s="21" t="s">
        <v>1106</v>
      </c>
      <c r="AA473" s="21" t="s">
        <v>437</v>
      </c>
      <c r="AB473" s="21" t="s">
        <v>1119</v>
      </c>
    </row>
    <row r="474" spans="1:28" s="22" customFormat="1" ht="13.9" customHeight="1" x14ac:dyDescent="0.3">
      <c r="A474" s="30" t="s">
        <v>20</v>
      </c>
      <c r="B474" s="30" t="s">
        <v>21</v>
      </c>
      <c r="C474" s="30" t="s">
        <v>22</v>
      </c>
      <c r="D474" s="30" t="s">
        <v>23</v>
      </c>
      <c r="E474" s="30" t="s">
        <v>609</v>
      </c>
      <c r="F474" s="31" t="s">
        <v>609</v>
      </c>
      <c r="G474" s="30" t="s">
        <v>26</v>
      </c>
      <c r="H474" s="30" t="s">
        <v>27</v>
      </c>
      <c r="I474" s="30">
        <v>3</v>
      </c>
      <c r="J474" s="30"/>
      <c r="K474" s="30"/>
      <c r="L474" s="32">
        <v>106.15228</v>
      </c>
      <c r="M474" s="32">
        <v>10.465579999999999</v>
      </c>
      <c r="N474" s="32" t="s">
        <v>429</v>
      </c>
      <c r="O474" s="33">
        <v>0</v>
      </c>
      <c r="P474" s="30" t="s">
        <v>30</v>
      </c>
      <c r="Q474" s="30" t="s">
        <v>31</v>
      </c>
      <c r="R474" s="34" t="s">
        <v>47</v>
      </c>
      <c r="S474" s="35">
        <v>48090</v>
      </c>
      <c r="T474" s="36" t="s">
        <v>437</v>
      </c>
      <c r="U474" s="30" t="s">
        <v>437</v>
      </c>
      <c r="V474" s="37" t="e">
        <v>#N/A</v>
      </c>
      <c r="W474" s="31" t="s">
        <v>33</v>
      </c>
      <c r="X474" s="37"/>
      <c r="Y474" s="37">
        <f>COUNTIF(F:F,F474)</f>
        <v>1</v>
      </c>
      <c r="Z474" s="21" t="s">
        <v>1106</v>
      </c>
      <c r="AA474" s="21" t="s">
        <v>437</v>
      </c>
      <c r="AB474" s="21" t="s">
        <v>1119</v>
      </c>
    </row>
    <row r="475" spans="1:28" ht="13.9" customHeight="1" x14ac:dyDescent="0.3">
      <c r="A475" s="30" t="s">
        <v>20</v>
      </c>
      <c r="B475" s="30" t="s">
        <v>21</v>
      </c>
      <c r="C475" s="30" t="s">
        <v>22</v>
      </c>
      <c r="D475" s="30" t="s">
        <v>23</v>
      </c>
      <c r="E475" s="30" t="s">
        <v>617</v>
      </c>
      <c r="F475" s="31" t="s">
        <v>617</v>
      </c>
      <c r="G475" s="30" t="s">
        <v>26</v>
      </c>
      <c r="H475" s="30" t="s">
        <v>27</v>
      </c>
      <c r="I475" s="30">
        <v>3</v>
      </c>
      <c r="J475" s="30"/>
      <c r="K475" s="30"/>
      <c r="L475" s="32">
        <v>106.15671</v>
      </c>
      <c r="M475" s="32">
        <v>10.438280000000001</v>
      </c>
      <c r="N475" s="32" t="s">
        <v>429</v>
      </c>
      <c r="O475" s="33">
        <v>0</v>
      </c>
      <c r="P475" s="30" t="s">
        <v>41</v>
      </c>
      <c r="Q475" s="30" t="s">
        <v>31</v>
      </c>
      <c r="R475" s="34" t="s">
        <v>47</v>
      </c>
      <c r="S475" s="35">
        <v>48090</v>
      </c>
      <c r="T475" s="36" t="s">
        <v>437</v>
      </c>
      <c r="U475" s="30" t="s">
        <v>437</v>
      </c>
      <c r="V475" s="37" t="e">
        <v>#N/A</v>
      </c>
      <c r="W475" s="31" t="s">
        <v>33</v>
      </c>
      <c r="X475" s="37"/>
      <c r="Y475" s="37">
        <f>COUNTIF(F:F,F475)</f>
        <v>1</v>
      </c>
      <c r="Z475" s="21" t="s">
        <v>1106</v>
      </c>
      <c r="AA475" s="21" t="s">
        <v>437</v>
      </c>
      <c r="AB475" s="21" t="s">
        <v>1119</v>
      </c>
    </row>
    <row r="476" spans="1:28" ht="13.9" customHeight="1" x14ac:dyDescent="0.3">
      <c r="A476" s="30" t="s">
        <v>20</v>
      </c>
      <c r="B476" s="30" t="s">
        <v>21</v>
      </c>
      <c r="C476" s="30" t="s">
        <v>22</v>
      </c>
      <c r="D476" s="30" t="s">
        <v>23</v>
      </c>
      <c r="E476" s="30" t="s">
        <v>610</v>
      </c>
      <c r="F476" s="31" t="s">
        <v>610</v>
      </c>
      <c r="G476" s="30" t="s">
        <v>26</v>
      </c>
      <c r="H476" s="30" t="s">
        <v>27</v>
      </c>
      <c r="I476" s="30">
        <v>3</v>
      </c>
      <c r="J476" s="30"/>
      <c r="K476" s="30"/>
      <c r="L476" s="32">
        <v>106.12201</v>
      </c>
      <c r="M476" s="32">
        <v>10.48959</v>
      </c>
      <c r="N476" s="32" t="s">
        <v>429</v>
      </c>
      <c r="O476" s="33">
        <v>0</v>
      </c>
      <c r="P476" s="30" t="s">
        <v>30</v>
      </c>
      <c r="Q476" s="30" t="s">
        <v>31</v>
      </c>
      <c r="R476" s="34" t="s">
        <v>47</v>
      </c>
      <c r="S476" s="35">
        <v>48090</v>
      </c>
      <c r="T476" s="36" t="s">
        <v>437</v>
      </c>
      <c r="U476" s="30" t="s">
        <v>437</v>
      </c>
      <c r="V476" s="37" t="e">
        <v>#N/A</v>
      </c>
      <c r="W476" s="31" t="s">
        <v>33</v>
      </c>
      <c r="X476" s="37"/>
      <c r="Y476" s="37">
        <f>COUNTIF(F:F,F476)</f>
        <v>1</v>
      </c>
      <c r="Z476" s="21" t="s">
        <v>1106</v>
      </c>
      <c r="AA476" s="21" t="s">
        <v>437</v>
      </c>
      <c r="AB476" s="21" t="s">
        <v>1119</v>
      </c>
    </row>
    <row r="477" spans="1:28" ht="13.9" customHeight="1" x14ac:dyDescent="0.3">
      <c r="A477" s="30" t="s">
        <v>20</v>
      </c>
      <c r="B477" s="30" t="s">
        <v>21</v>
      </c>
      <c r="C477" s="30" t="s">
        <v>22</v>
      </c>
      <c r="D477" s="30" t="s">
        <v>23</v>
      </c>
      <c r="E477" s="30" t="s">
        <v>612</v>
      </c>
      <c r="F477" s="31" t="s">
        <v>612</v>
      </c>
      <c r="G477" s="30" t="s">
        <v>26</v>
      </c>
      <c r="H477" s="30" t="s">
        <v>27</v>
      </c>
      <c r="I477" s="30">
        <v>3</v>
      </c>
      <c r="J477" s="30"/>
      <c r="K477" s="30"/>
      <c r="L477" s="32">
        <v>106.17944</v>
      </c>
      <c r="M477" s="32">
        <v>10.453760000000001</v>
      </c>
      <c r="N477" s="32" t="s">
        <v>429</v>
      </c>
      <c r="O477" s="33">
        <v>0</v>
      </c>
      <c r="P477" s="30" t="s">
        <v>30</v>
      </c>
      <c r="Q477" s="30" t="s">
        <v>31</v>
      </c>
      <c r="R477" s="34" t="s">
        <v>47</v>
      </c>
      <c r="S477" s="35">
        <v>48090</v>
      </c>
      <c r="T477" s="36" t="s">
        <v>430</v>
      </c>
      <c r="U477" s="30" t="s">
        <v>437</v>
      </c>
      <c r="V477" s="37" t="e">
        <v>#N/A</v>
      </c>
      <c r="W477" s="31" t="s">
        <v>33</v>
      </c>
      <c r="X477" s="37"/>
      <c r="Y477" s="37">
        <f>COUNTIF(F:F,F477)</f>
        <v>1</v>
      </c>
      <c r="Z477" s="21" t="s">
        <v>1106</v>
      </c>
      <c r="AA477" s="21" t="s">
        <v>437</v>
      </c>
      <c r="AB477" s="21" t="s">
        <v>1119</v>
      </c>
    </row>
    <row r="478" spans="1:28" ht="13.9" customHeight="1" x14ac:dyDescent="0.3">
      <c r="A478" s="30" t="s">
        <v>20</v>
      </c>
      <c r="B478" s="30" t="s">
        <v>21</v>
      </c>
      <c r="C478" s="30" t="s">
        <v>22</v>
      </c>
      <c r="D478" s="30" t="s">
        <v>23</v>
      </c>
      <c r="E478" s="30" t="s">
        <v>614</v>
      </c>
      <c r="F478" s="31" t="s">
        <v>614</v>
      </c>
      <c r="G478" s="30" t="s">
        <v>26</v>
      </c>
      <c r="H478" s="30" t="s">
        <v>27</v>
      </c>
      <c r="I478" s="30">
        <v>3</v>
      </c>
      <c r="J478" s="30"/>
      <c r="K478" s="30"/>
      <c r="L478" s="32">
        <v>106.17106</v>
      </c>
      <c r="M478" s="32">
        <v>10.469889999999999</v>
      </c>
      <c r="N478" s="32" t="s">
        <v>429</v>
      </c>
      <c r="O478" s="33">
        <v>0</v>
      </c>
      <c r="P478" s="30" t="s">
        <v>30</v>
      </c>
      <c r="Q478" s="30" t="s">
        <v>31</v>
      </c>
      <c r="R478" s="34" t="s">
        <v>47</v>
      </c>
      <c r="S478" s="35">
        <v>48090</v>
      </c>
      <c r="T478" s="36" t="s">
        <v>437</v>
      </c>
      <c r="U478" s="30" t="s">
        <v>437</v>
      </c>
      <c r="V478" s="37" t="e">
        <v>#N/A</v>
      </c>
      <c r="W478" s="31" t="s">
        <v>33</v>
      </c>
      <c r="X478" s="37"/>
      <c r="Y478" s="37">
        <f>COUNTIF(F:F,F478)</f>
        <v>1</v>
      </c>
      <c r="Z478" s="21" t="s">
        <v>1106</v>
      </c>
      <c r="AA478" s="21" t="s">
        <v>437</v>
      </c>
      <c r="AB478" s="21" t="s">
        <v>1119</v>
      </c>
    </row>
    <row r="479" spans="1:28" ht="13.9" customHeight="1" x14ac:dyDescent="0.3">
      <c r="A479" s="30" t="s">
        <v>20</v>
      </c>
      <c r="B479" s="30" t="s">
        <v>21</v>
      </c>
      <c r="C479" s="30" t="s">
        <v>22</v>
      </c>
      <c r="D479" s="30" t="s">
        <v>23</v>
      </c>
      <c r="E479" s="30" t="s">
        <v>616</v>
      </c>
      <c r="F479" s="31" t="s">
        <v>616</v>
      </c>
      <c r="G479" s="30" t="s">
        <v>26</v>
      </c>
      <c r="H479" s="30" t="s">
        <v>27</v>
      </c>
      <c r="I479" s="30">
        <v>3</v>
      </c>
      <c r="J479" s="30"/>
      <c r="K479" s="30"/>
      <c r="L479" s="32">
        <v>106.13679999999999</v>
      </c>
      <c r="M479" s="32">
        <v>10.458399999999999</v>
      </c>
      <c r="N479" s="32" t="s">
        <v>429</v>
      </c>
      <c r="O479" s="33">
        <v>0</v>
      </c>
      <c r="P479" s="30" t="s">
        <v>30</v>
      </c>
      <c r="Q479" s="30" t="s">
        <v>31</v>
      </c>
      <c r="R479" s="34" t="s">
        <v>47</v>
      </c>
      <c r="S479" s="35">
        <v>48090</v>
      </c>
      <c r="T479" s="36" t="s">
        <v>437</v>
      </c>
      <c r="U479" s="30" t="s">
        <v>437</v>
      </c>
      <c r="V479" s="37" t="e">
        <v>#N/A</v>
      </c>
      <c r="W479" s="31" t="s">
        <v>33</v>
      </c>
      <c r="X479" s="37"/>
      <c r="Y479" s="37">
        <f>COUNTIF(F:F,F479)</f>
        <v>1</v>
      </c>
      <c r="Z479" s="21" t="s">
        <v>1106</v>
      </c>
      <c r="AA479" s="21" t="s">
        <v>437</v>
      </c>
      <c r="AB479" s="21" t="s">
        <v>1119</v>
      </c>
    </row>
    <row r="480" spans="1:28" ht="13.9" customHeight="1" x14ac:dyDescent="0.3">
      <c r="A480" s="30" t="s">
        <v>20</v>
      </c>
      <c r="B480" s="30" t="s">
        <v>21</v>
      </c>
      <c r="C480" s="30" t="s">
        <v>22</v>
      </c>
      <c r="D480" s="30" t="s">
        <v>23</v>
      </c>
      <c r="E480" s="30" t="s">
        <v>175</v>
      </c>
      <c r="F480" s="31" t="s">
        <v>175</v>
      </c>
      <c r="G480" s="30" t="s">
        <v>26</v>
      </c>
      <c r="H480" s="30" t="s">
        <v>36</v>
      </c>
      <c r="I480" s="30">
        <v>4</v>
      </c>
      <c r="J480" s="30" t="s">
        <v>37</v>
      </c>
      <c r="K480" s="30" t="s">
        <v>38</v>
      </c>
      <c r="L480" s="32">
        <v>106.0786457</v>
      </c>
      <c r="M480" s="32">
        <v>10.4143089</v>
      </c>
      <c r="N480" s="32" t="s">
        <v>173</v>
      </c>
      <c r="O480" s="33">
        <v>0</v>
      </c>
      <c r="P480" s="30" t="s">
        <v>39</v>
      </c>
      <c r="Q480" s="30" t="s">
        <v>31</v>
      </c>
      <c r="R480" s="34" t="s">
        <v>47</v>
      </c>
      <c r="S480" s="35">
        <v>48080</v>
      </c>
      <c r="T480" s="36" t="s">
        <v>174</v>
      </c>
      <c r="U480" s="30" t="s">
        <v>174</v>
      </c>
      <c r="V480" s="37" t="e">
        <v>#N/A</v>
      </c>
      <c r="W480" s="31" t="s">
        <v>33</v>
      </c>
      <c r="X480" s="37" t="s">
        <v>42</v>
      </c>
      <c r="Y480" s="37">
        <f>COUNTIF(F:F,F480)</f>
        <v>3</v>
      </c>
      <c r="Z480" s="21" t="s">
        <v>1106</v>
      </c>
      <c r="AA480" s="21" t="s">
        <v>174</v>
      </c>
      <c r="AB480" s="21" t="s">
        <v>1119</v>
      </c>
    </row>
    <row r="481" spans="1:28" ht="13.9" customHeight="1" x14ac:dyDescent="0.3">
      <c r="A481" s="30" t="s">
        <v>20</v>
      </c>
      <c r="B481" s="30" t="s">
        <v>21</v>
      </c>
      <c r="C481" s="30" t="s">
        <v>22</v>
      </c>
      <c r="D481" s="30" t="s">
        <v>23</v>
      </c>
      <c r="E481" s="30" t="s">
        <v>172</v>
      </c>
      <c r="F481" s="31" t="s">
        <v>175</v>
      </c>
      <c r="G481" s="30" t="s">
        <v>26</v>
      </c>
      <c r="H481" s="30" t="s">
        <v>36</v>
      </c>
      <c r="I481" s="30">
        <v>4</v>
      </c>
      <c r="J481" s="30" t="s">
        <v>37</v>
      </c>
      <c r="K481" s="30" t="s">
        <v>38</v>
      </c>
      <c r="L481" s="32">
        <v>106.0798301</v>
      </c>
      <c r="M481" s="32">
        <v>10.4027142</v>
      </c>
      <c r="N481" s="32" t="s">
        <v>173</v>
      </c>
      <c r="O481" s="33">
        <v>0</v>
      </c>
      <c r="P481" s="30" t="s">
        <v>39</v>
      </c>
      <c r="Q481" s="30" t="s">
        <v>31</v>
      </c>
      <c r="R481" s="34" t="s">
        <v>47</v>
      </c>
      <c r="S481" s="35">
        <v>48080</v>
      </c>
      <c r="T481" s="36" t="s">
        <v>174</v>
      </c>
      <c r="U481" s="30" t="s">
        <v>174</v>
      </c>
      <c r="V481" s="37" t="s">
        <v>49</v>
      </c>
      <c r="W481" s="31" t="s">
        <v>50</v>
      </c>
      <c r="X481" s="37" t="s">
        <v>52</v>
      </c>
      <c r="Y481" s="37">
        <f>COUNTIF(F:F,F481)</f>
        <v>3</v>
      </c>
      <c r="Z481" s="21" t="s">
        <v>1106</v>
      </c>
      <c r="AA481" s="21" t="s">
        <v>174</v>
      </c>
      <c r="AB481" s="21" t="s">
        <v>1119</v>
      </c>
    </row>
    <row r="482" spans="1:28" ht="13.9" customHeight="1" x14ac:dyDescent="0.3">
      <c r="A482" s="30" t="s">
        <v>20</v>
      </c>
      <c r="B482" s="30" t="s">
        <v>21</v>
      </c>
      <c r="C482" s="30" t="s">
        <v>22</v>
      </c>
      <c r="D482" s="30" t="s">
        <v>23</v>
      </c>
      <c r="E482" s="30" t="s">
        <v>252</v>
      </c>
      <c r="F482" s="31" t="s">
        <v>175</v>
      </c>
      <c r="G482" s="30" t="s">
        <v>26</v>
      </c>
      <c r="H482" s="30" t="s">
        <v>27</v>
      </c>
      <c r="I482" s="30">
        <v>3</v>
      </c>
      <c r="J482" s="30" t="s">
        <v>37</v>
      </c>
      <c r="K482" s="30" t="s">
        <v>38</v>
      </c>
      <c r="L482" s="32">
        <v>106.08287</v>
      </c>
      <c r="M482" s="32">
        <v>10.422409999999999</v>
      </c>
      <c r="N482" s="32" t="s">
        <v>173</v>
      </c>
      <c r="O482" s="33">
        <v>0</v>
      </c>
      <c r="P482" s="30" t="s">
        <v>41</v>
      </c>
      <c r="Q482" s="30" t="s">
        <v>31</v>
      </c>
      <c r="R482" s="34" t="s">
        <v>47</v>
      </c>
      <c r="S482" s="35">
        <v>48080</v>
      </c>
      <c r="T482" s="36" t="s">
        <v>174</v>
      </c>
      <c r="U482" s="30" t="s">
        <v>174</v>
      </c>
      <c r="V482" s="37" t="s">
        <v>49</v>
      </c>
      <c r="W482" s="31" t="s">
        <v>50</v>
      </c>
      <c r="X482" s="37" t="s">
        <v>52</v>
      </c>
      <c r="Y482" s="37">
        <f>COUNTIF(F:F,F482)</f>
        <v>3</v>
      </c>
      <c r="Z482" s="21" t="s">
        <v>1106</v>
      </c>
      <c r="AA482" s="21" t="s">
        <v>174</v>
      </c>
      <c r="AB482" s="21" t="s">
        <v>1119</v>
      </c>
    </row>
    <row r="483" spans="1:28" ht="13.9" customHeight="1" x14ac:dyDescent="0.3">
      <c r="A483" s="30" t="s">
        <v>20</v>
      </c>
      <c r="B483" s="30" t="s">
        <v>21</v>
      </c>
      <c r="C483" s="30" t="s">
        <v>22</v>
      </c>
      <c r="D483" s="30" t="s">
        <v>23</v>
      </c>
      <c r="E483" s="30" t="s">
        <v>235</v>
      </c>
      <c r="F483" s="31" t="s">
        <v>235</v>
      </c>
      <c r="G483" s="30" t="s">
        <v>26</v>
      </c>
      <c r="H483" s="30" t="s">
        <v>36</v>
      </c>
      <c r="I483" s="30">
        <v>4</v>
      </c>
      <c r="J483" s="30" t="s">
        <v>37</v>
      </c>
      <c r="K483" s="30" t="s">
        <v>38</v>
      </c>
      <c r="L483" s="32">
        <v>106.0503622</v>
      </c>
      <c r="M483" s="32">
        <v>10.404416599999999</v>
      </c>
      <c r="N483" s="32" t="s">
        <v>173</v>
      </c>
      <c r="O483" s="33">
        <v>0</v>
      </c>
      <c r="P483" s="30" t="s">
        <v>39</v>
      </c>
      <c r="Q483" s="30" t="s">
        <v>31</v>
      </c>
      <c r="R483" s="34" t="s">
        <v>47</v>
      </c>
      <c r="S483" s="35">
        <v>48080</v>
      </c>
      <c r="T483" s="36" t="s">
        <v>174</v>
      </c>
      <c r="U483" s="30" t="s">
        <v>174</v>
      </c>
      <c r="V483" s="37" t="e">
        <v>#N/A</v>
      </c>
      <c r="W483" s="31" t="s">
        <v>33</v>
      </c>
      <c r="X483" s="37" t="s">
        <v>42</v>
      </c>
      <c r="Y483" s="37">
        <f>COUNTIF(F:F,F483)</f>
        <v>2</v>
      </c>
      <c r="Z483" s="21" t="s">
        <v>1106</v>
      </c>
      <c r="AA483" s="21" t="s">
        <v>174</v>
      </c>
      <c r="AB483" s="21" t="s">
        <v>1119</v>
      </c>
    </row>
    <row r="484" spans="1:28" ht="13.9" customHeight="1" x14ac:dyDescent="0.3">
      <c r="A484" s="30" t="s">
        <v>20</v>
      </c>
      <c r="B484" s="30" t="s">
        <v>21</v>
      </c>
      <c r="C484" s="30" t="s">
        <v>22</v>
      </c>
      <c r="D484" s="30" t="s">
        <v>23</v>
      </c>
      <c r="E484" s="30" t="s">
        <v>234</v>
      </c>
      <c r="F484" s="31" t="s">
        <v>235</v>
      </c>
      <c r="G484" s="30" t="s">
        <v>26</v>
      </c>
      <c r="H484" s="30" t="s">
        <v>27</v>
      </c>
      <c r="I484" s="30">
        <v>3</v>
      </c>
      <c r="J484" s="30" t="s">
        <v>37</v>
      </c>
      <c r="K484" s="30" t="s">
        <v>38</v>
      </c>
      <c r="L484" s="32">
        <v>106.03738</v>
      </c>
      <c r="M484" s="32">
        <v>10.413653999999999</v>
      </c>
      <c r="N484" s="32" t="s">
        <v>173</v>
      </c>
      <c r="O484" s="33">
        <v>0</v>
      </c>
      <c r="P484" s="30" t="s">
        <v>41</v>
      </c>
      <c r="Q484" s="30" t="s">
        <v>31</v>
      </c>
      <c r="R484" s="34" t="s">
        <v>47</v>
      </c>
      <c r="S484" s="35">
        <v>48080</v>
      </c>
      <c r="T484" s="36" t="s">
        <v>174</v>
      </c>
      <c r="U484" s="30" t="s">
        <v>174</v>
      </c>
      <c r="V484" s="37" t="s">
        <v>49</v>
      </c>
      <c r="W484" s="31" t="s">
        <v>50</v>
      </c>
      <c r="X484" s="37" t="s">
        <v>52</v>
      </c>
      <c r="Y484" s="37">
        <f>COUNTIF(F:F,F484)</f>
        <v>2</v>
      </c>
      <c r="Z484" s="21" t="s">
        <v>1106</v>
      </c>
      <c r="AA484" s="21" t="s">
        <v>174</v>
      </c>
      <c r="AB484" s="21" t="s">
        <v>1119</v>
      </c>
    </row>
    <row r="485" spans="1:28" ht="13.9" customHeight="1" x14ac:dyDescent="0.3">
      <c r="A485" s="30" t="s">
        <v>20</v>
      </c>
      <c r="B485" s="30" t="s">
        <v>21</v>
      </c>
      <c r="C485" s="30" t="s">
        <v>22</v>
      </c>
      <c r="D485" s="30" t="s">
        <v>23</v>
      </c>
      <c r="E485" s="30" t="s">
        <v>631</v>
      </c>
      <c r="F485" s="31" t="s">
        <v>631</v>
      </c>
      <c r="G485" s="30" t="s">
        <v>26</v>
      </c>
      <c r="H485" s="30" t="s">
        <v>27</v>
      </c>
      <c r="I485" s="30">
        <v>3</v>
      </c>
      <c r="J485" s="30"/>
      <c r="K485" s="30"/>
      <c r="L485" s="32">
        <v>106.0051004</v>
      </c>
      <c r="M485" s="32">
        <v>10.4753311</v>
      </c>
      <c r="N485" s="32" t="s">
        <v>173</v>
      </c>
      <c r="O485" s="33">
        <v>0</v>
      </c>
      <c r="P485" s="30" t="s">
        <v>30</v>
      </c>
      <c r="Q485" s="30" t="s">
        <v>31</v>
      </c>
      <c r="R485" s="34" t="s">
        <v>47</v>
      </c>
      <c r="S485" s="35">
        <v>48080</v>
      </c>
      <c r="T485" s="36" t="s">
        <v>174</v>
      </c>
      <c r="U485" s="30" t="s">
        <v>174</v>
      </c>
      <c r="V485" s="37" t="e">
        <v>#N/A</v>
      </c>
      <c r="W485" s="31" t="s">
        <v>33</v>
      </c>
      <c r="X485" s="37"/>
      <c r="Y485" s="37">
        <f>COUNTIF(F:F,F485)</f>
        <v>1</v>
      </c>
      <c r="Z485" s="21" t="s">
        <v>1106</v>
      </c>
      <c r="AA485" s="21" t="s">
        <v>174</v>
      </c>
      <c r="AB485" s="21" t="s">
        <v>1119</v>
      </c>
    </row>
    <row r="486" spans="1:28" ht="13.9" customHeight="1" x14ac:dyDescent="0.3">
      <c r="A486" s="30" t="s">
        <v>20</v>
      </c>
      <c r="B486" s="30" t="s">
        <v>21</v>
      </c>
      <c r="C486" s="30" t="s">
        <v>22</v>
      </c>
      <c r="D486" s="30" t="s">
        <v>23</v>
      </c>
      <c r="E486" s="30" t="s">
        <v>632</v>
      </c>
      <c r="F486" s="31" t="s">
        <v>632</v>
      </c>
      <c r="G486" s="30" t="s">
        <v>26</v>
      </c>
      <c r="H486" s="30" t="s">
        <v>27</v>
      </c>
      <c r="I486" s="30">
        <v>3</v>
      </c>
      <c r="J486" s="30" t="s">
        <v>37</v>
      </c>
      <c r="K486" s="30" t="s">
        <v>38</v>
      </c>
      <c r="L486" s="32">
        <v>106.0504419</v>
      </c>
      <c r="M486" s="32">
        <v>10.444001099999999</v>
      </c>
      <c r="N486" s="32" t="s">
        <v>173</v>
      </c>
      <c r="O486" s="33">
        <v>0</v>
      </c>
      <c r="P486" s="30" t="s">
        <v>41</v>
      </c>
      <c r="Q486" s="30" t="s">
        <v>31</v>
      </c>
      <c r="R486" s="34" t="s">
        <v>47</v>
      </c>
      <c r="S486" s="35">
        <v>48080</v>
      </c>
      <c r="T486" s="36" t="s">
        <v>174</v>
      </c>
      <c r="U486" s="30" t="s">
        <v>174</v>
      </c>
      <c r="V486" s="37" t="e">
        <v>#N/A</v>
      </c>
      <c r="W486" s="31" t="s">
        <v>33</v>
      </c>
      <c r="X486" s="37"/>
      <c r="Y486" s="37">
        <f>COUNTIF(F:F,F486)</f>
        <v>1</v>
      </c>
      <c r="Z486" s="21" t="s">
        <v>1106</v>
      </c>
      <c r="AA486" s="21" t="s">
        <v>174</v>
      </c>
      <c r="AB486" s="21" t="s">
        <v>1119</v>
      </c>
    </row>
    <row r="487" spans="1:28" ht="13.9" customHeight="1" x14ac:dyDescent="0.3">
      <c r="A487" s="30" t="s">
        <v>20</v>
      </c>
      <c r="B487" s="30" t="s">
        <v>21</v>
      </c>
      <c r="C487" s="30" t="s">
        <v>22</v>
      </c>
      <c r="D487" s="30" t="s">
        <v>23</v>
      </c>
      <c r="E487" s="30" t="s">
        <v>633</v>
      </c>
      <c r="F487" s="31" t="s">
        <v>633</v>
      </c>
      <c r="G487" s="30" t="s">
        <v>26</v>
      </c>
      <c r="H487" s="30" t="s">
        <v>27</v>
      </c>
      <c r="I487" s="30">
        <v>3</v>
      </c>
      <c r="J487" s="30"/>
      <c r="K487" s="30"/>
      <c r="L487" s="32">
        <v>106.04103000000001</v>
      </c>
      <c r="M487" s="32">
        <v>10.50901</v>
      </c>
      <c r="N487" s="32" t="s">
        <v>173</v>
      </c>
      <c r="O487" s="33">
        <v>0</v>
      </c>
      <c r="P487" s="30" t="s">
        <v>30</v>
      </c>
      <c r="Q487" s="30" t="s">
        <v>31</v>
      </c>
      <c r="R487" s="34" t="s">
        <v>47</v>
      </c>
      <c r="S487" s="35">
        <v>48080</v>
      </c>
      <c r="T487" s="36" t="s">
        <v>174</v>
      </c>
      <c r="U487" s="30" t="s">
        <v>174</v>
      </c>
      <c r="V487" s="37" t="e">
        <v>#N/A</v>
      </c>
      <c r="W487" s="31" t="s">
        <v>33</v>
      </c>
      <c r="X487" s="37"/>
      <c r="Y487" s="37">
        <f>COUNTIF(F:F,F487)</f>
        <v>1</v>
      </c>
      <c r="Z487" s="21" t="s">
        <v>1106</v>
      </c>
      <c r="AA487" s="21" t="s">
        <v>174</v>
      </c>
      <c r="AB487" s="21" t="s">
        <v>1119</v>
      </c>
    </row>
    <row r="488" spans="1:28" ht="13.9" customHeight="1" x14ac:dyDescent="0.3">
      <c r="A488" s="41" t="s">
        <v>20</v>
      </c>
      <c r="B488" s="41" t="s">
        <v>21</v>
      </c>
      <c r="C488" s="41" t="s">
        <v>22</v>
      </c>
      <c r="D488" s="41" t="s">
        <v>23</v>
      </c>
      <c r="E488" s="41" t="s">
        <v>624</v>
      </c>
      <c r="F488" s="31" t="s">
        <v>625</v>
      </c>
      <c r="G488" s="41" t="s">
        <v>26</v>
      </c>
      <c r="H488" s="36" t="s">
        <v>27</v>
      </c>
      <c r="I488" s="36">
        <v>3</v>
      </c>
      <c r="J488" s="36"/>
      <c r="K488" s="36"/>
      <c r="L488" s="38">
        <v>105.98444000000001</v>
      </c>
      <c r="M488" s="38">
        <v>10.50752</v>
      </c>
      <c r="N488" s="38" t="s">
        <v>46</v>
      </c>
      <c r="O488" s="39">
        <v>0</v>
      </c>
      <c r="P488" s="36" t="s">
        <v>30</v>
      </c>
      <c r="Q488" s="41" t="s">
        <v>31</v>
      </c>
      <c r="R488" s="42" t="s">
        <v>47</v>
      </c>
      <c r="S488" s="35">
        <v>48000</v>
      </c>
      <c r="T488" s="36" t="s">
        <v>178</v>
      </c>
      <c r="U488" s="30" t="s">
        <v>174</v>
      </c>
      <c r="V488" s="37" t="e">
        <v>#N/A</v>
      </c>
      <c r="W488" s="31" t="s">
        <v>63</v>
      </c>
      <c r="X488" s="37" t="s">
        <v>52</v>
      </c>
      <c r="Y488" s="37">
        <f>COUNTIF(F:F,F488)</f>
        <v>2</v>
      </c>
      <c r="Z488" s="21" t="s">
        <v>1106</v>
      </c>
      <c r="AA488" s="21" t="s">
        <v>174</v>
      </c>
      <c r="AB488" s="21" t="s">
        <v>1119</v>
      </c>
    </row>
    <row r="489" spans="1:28" s="22" customFormat="1" ht="13.9" customHeight="1" x14ac:dyDescent="0.3">
      <c r="A489" s="30" t="s">
        <v>20</v>
      </c>
      <c r="B489" s="30" t="s">
        <v>21</v>
      </c>
      <c r="C489" s="30" t="s">
        <v>22</v>
      </c>
      <c r="D489" s="30" t="s">
        <v>23</v>
      </c>
      <c r="E489" s="30" t="s">
        <v>625</v>
      </c>
      <c r="F489" s="31" t="s">
        <v>625</v>
      </c>
      <c r="G489" s="30" t="s">
        <v>26</v>
      </c>
      <c r="H489" s="30" t="s">
        <v>27</v>
      </c>
      <c r="I489" s="30">
        <v>3</v>
      </c>
      <c r="J489" s="30"/>
      <c r="K489" s="30"/>
      <c r="L489" s="32">
        <v>106.00552999999999</v>
      </c>
      <c r="M489" s="32">
        <v>10.509790000000001</v>
      </c>
      <c r="N489" s="32" t="s">
        <v>173</v>
      </c>
      <c r="O489" s="33">
        <v>0</v>
      </c>
      <c r="P489" s="30" t="s">
        <v>60</v>
      </c>
      <c r="Q489" s="30" t="s">
        <v>31</v>
      </c>
      <c r="R489" s="34" t="s">
        <v>47</v>
      </c>
      <c r="S489" s="35">
        <v>48080</v>
      </c>
      <c r="T489" s="36" t="s">
        <v>174</v>
      </c>
      <c r="U489" s="30" t="s">
        <v>174</v>
      </c>
      <c r="V489" s="37" t="e">
        <v>#N/A</v>
      </c>
      <c r="W489" s="31" t="s">
        <v>33</v>
      </c>
      <c r="X489" s="37" t="s">
        <v>42</v>
      </c>
      <c r="Y489" s="37">
        <f>COUNTIF(F:F,F489)</f>
        <v>2</v>
      </c>
      <c r="Z489" s="21" t="s">
        <v>1106</v>
      </c>
      <c r="AA489" s="21" t="s">
        <v>174</v>
      </c>
      <c r="AB489" s="21" t="s">
        <v>1119</v>
      </c>
    </row>
    <row r="490" spans="1:28" ht="13.9" customHeight="1" x14ac:dyDescent="0.3">
      <c r="A490" s="30" t="s">
        <v>20</v>
      </c>
      <c r="B490" s="30" t="s">
        <v>21</v>
      </c>
      <c r="C490" s="30" t="s">
        <v>22</v>
      </c>
      <c r="D490" s="30" t="s">
        <v>23</v>
      </c>
      <c r="E490" s="30" t="s">
        <v>634</v>
      </c>
      <c r="F490" s="31" t="s">
        <v>634</v>
      </c>
      <c r="G490" s="30" t="s">
        <v>26</v>
      </c>
      <c r="H490" s="30" t="s">
        <v>27</v>
      </c>
      <c r="I490" s="30">
        <v>3</v>
      </c>
      <c r="J490" s="30" t="s">
        <v>37</v>
      </c>
      <c r="K490" s="30" t="s">
        <v>38</v>
      </c>
      <c r="L490" s="32">
        <v>106.07538</v>
      </c>
      <c r="M490" s="32">
        <v>10.445510000000001</v>
      </c>
      <c r="N490" s="32" t="s">
        <v>173</v>
      </c>
      <c r="O490" s="33">
        <v>0</v>
      </c>
      <c r="P490" s="30" t="s">
        <v>41</v>
      </c>
      <c r="Q490" s="30" t="s">
        <v>31</v>
      </c>
      <c r="R490" s="34" t="s">
        <v>47</v>
      </c>
      <c r="S490" s="35">
        <v>48080</v>
      </c>
      <c r="T490" s="36" t="s">
        <v>174</v>
      </c>
      <c r="U490" s="30" t="s">
        <v>174</v>
      </c>
      <c r="V490" s="37" t="e">
        <v>#N/A</v>
      </c>
      <c r="W490" s="31" t="s">
        <v>33</v>
      </c>
      <c r="X490" s="37"/>
      <c r="Y490" s="37">
        <f>COUNTIF(F:F,F490)</f>
        <v>1</v>
      </c>
      <c r="Z490" s="21" t="s">
        <v>1106</v>
      </c>
      <c r="AA490" s="21" t="s">
        <v>174</v>
      </c>
      <c r="AB490" s="21" t="s">
        <v>1119</v>
      </c>
    </row>
    <row r="491" spans="1:28" ht="13.9" customHeight="1" x14ac:dyDescent="0.3">
      <c r="A491" s="30" t="s">
        <v>20</v>
      </c>
      <c r="B491" s="30" t="s">
        <v>21</v>
      </c>
      <c r="C491" s="30" t="s">
        <v>22</v>
      </c>
      <c r="D491" s="30" t="s">
        <v>23</v>
      </c>
      <c r="E491" s="30" t="s">
        <v>179</v>
      </c>
      <c r="F491" s="31" t="s">
        <v>179</v>
      </c>
      <c r="G491" s="30" t="s">
        <v>26</v>
      </c>
      <c r="H491" s="30" t="s">
        <v>27</v>
      </c>
      <c r="I491" s="30">
        <v>3</v>
      </c>
      <c r="J491" s="30"/>
      <c r="K491" s="30"/>
      <c r="L491" s="32">
        <v>106.07319</v>
      </c>
      <c r="M491" s="32">
        <v>10.47452</v>
      </c>
      <c r="N491" s="32" t="s">
        <v>173</v>
      </c>
      <c r="O491" s="33">
        <v>0</v>
      </c>
      <c r="P491" s="30" t="s">
        <v>30</v>
      </c>
      <c r="Q491" s="30" t="s">
        <v>31</v>
      </c>
      <c r="R491" s="34" t="s">
        <v>47</v>
      </c>
      <c r="S491" s="35">
        <v>48080</v>
      </c>
      <c r="T491" s="36" t="s">
        <v>178</v>
      </c>
      <c r="U491" s="30" t="s">
        <v>174</v>
      </c>
      <c r="V491" s="37" t="e">
        <v>#N/A</v>
      </c>
      <c r="W491" s="31" t="s">
        <v>33</v>
      </c>
      <c r="X491" s="37" t="s">
        <v>42</v>
      </c>
      <c r="Y491" s="37">
        <f>COUNTIF(F:F,F491)</f>
        <v>2</v>
      </c>
      <c r="Z491" s="21" t="s">
        <v>1106</v>
      </c>
      <c r="AA491" s="21" t="s">
        <v>174</v>
      </c>
      <c r="AB491" s="21" t="s">
        <v>1119</v>
      </c>
    </row>
    <row r="492" spans="1:28" ht="13.9" customHeight="1" x14ac:dyDescent="0.3">
      <c r="A492" s="30" t="s">
        <v>20</v>
      </c>
      <c r="B492" s="30" t="s">
        <v>21</v>
      </c>
      <c r="C492" s="30" t="s">
        <v>22</v>
      </c>
      <c r="D492" s="30" t="s">
        <v>23</v>
      </c>
      <c r="E492" s="30" t="s">
        <v>177</v>
      </c>
      <c r="F492" s="31" t="s">
        <v>179</v>
      </c>
      <c r="G492" s="30" t="s">
        <v>26</v>
      </c>
      <c r="H492" s="30" t="s">
        <v>27</v>
      </c>
      <c r="I492" s="30">
        <v>3</v>
      </c>
      <c r="J492" s="30"/>
      <c r="K492" s="30"/>
      <c r="L492" s="32">
        <v>106.06713000000001</v>
      </c>
      <c r="M492" s="32">
        <v>10.497350000000001</v>
      </c>
      <c r="N492" s="32" t="s">
        <v>173</v>
      </c>
      <c r="O492" s="33">
        <v>0</v>
      </c>
      <c r="P492" s="30" t="s">
        <v>30</v>
      </c>
      <c r="Q492" s="30" t="s">
        <v>31</v>
      </c>
      <c r="R492" s="34" t="s">
        <v>47</v>
      </c>
      <c r="S492" s="35">
        <v>48080</v>
      </c>
      <c r="T492" s="36" t="s">
        <v>178</v>
      </c>
      <c r="U492" s="30" t="s">
        <v>174</v>
      </c>
      <c r="V492" s="37" t="s">
        <v>49</v>
      </c>
      <c r="W492" s="31" t="s">
        <v>50</v>
      </c>
      <c r="X492" s="37" t="s">
        <v>52</v>
      </c>
      <c r="Y492" s="37">
        <f>COUNTIF(F:F,F492)</f>
        <v>2</v>
      </c>
      <c r="Z492" s="21" t="s">
        <v>1106</v>
      </c>
      <c r="AA492" s="21" t="s">
        <v>174</v>
      </c>
      <c r="AB492" s="21" t="s">
        <v>1119</v>
      </c>
    </row>
    <row r="493" spans="1:28" ht="13.9" customHeight="1" x14ac:dyDescent="0.3">
      <c r="A493" s="30" t="s">
        <v>20</v>
      </c>
      <c r="B493" s="30" t="s">
        <v>21</v>
      </c>
      <c r="C493" s="30" t="s">
        <v>22</v>
      </c>
      <c r="D493" s="30" t="s">
        <v>23</v>
      </c>
      <c r="E493" s="30" t="s">
        <v>635</v>
      </c>
      <c r="F493" s="31" t="s">
        <v>635</v>
      </c>
      <c r="G493" s="30" t="s">
        <v>26</v>
      </c>
      <c r="H493" s="30" t="s">
        <v>27</v>
      </c>
      <c r="I493" s="30">
        <v>3</v>
      </c>
      <c r="J493" s="30"/>
      <c r="K493" s="30"/>
      <c r="L493" s="32">
        <v>106.02630000000001</v>
      </c>
      <c r="M493" s="32">
        <v>10.458449999999999</v>
      </c>
      <c r="N493" s="32" t="s">
        <v>173</v>
      </c>
      <c r="O493" s="33">
        <v>0</v>
      </c>
      <c r="P493" s="30" t="s">
        <v>30</v>
      </c>
      <c r="Q493" s="30" t="s">
        <v>31</v>
      </c>
      <c r="R493" s="34" t="s">
        <v>47</v>
      </c>
      <c r="S493" s="35">
        <v>48080</v>
      </c>
      <c r="T493" s="36" t="s">
        <v>174</v>
      </c>
      <c r="U493" s="30" t="s">
        <v>174</v>
      </c>
      <c r="V493" s="37" t="e">
        <v>#N/A</v>
      </c>
      <c r="W493" s="31" t="s">
        <v>33</v>
      </c>
      <c r="X493" s="37"/>
      <c r="Y493" s="37">
        <f>COUNTIF(F:F,F493)</f>
        <v>1</v>
      </c>
      <c r="Z493" s="21" t="s">
        <v>1106</v>
      </c>
      <c r="AA493" s="21" t="s">
        <v>174</v>
      </c>
      <c r="AB493" s="21" t="s">
        <v>1119</v>
      </c>
    </row>
    <row r="494" spans="1:28" ht="13.9" customHeight="1" x14ac:dyDescent="0.3">
      <c r="A494" s="30" t="s">
        <v>20</v>
      </c>
      <c r="B494" s="30" t="s">
        <v>21</v>
      </c>
      <c r="C494" s="30" t="s">
        <v>22</v>
      </c>
      <c r="D494" s="30" t="s">
        <v>23</v>
      </c>
      <c r="E494" s="30" t="s">
        <v>636</v>
      </c>
      <c r="F494" s="31" t="s">
        <v>636</v>
      </c>
      <c r="G494" s="30" t="s">
        <v>26</v>
      </c>
      <c r="H494" s="30" t="s">
        <v>27</v>
      </c>
      <c r="I494" s="30">
        <v>3</v>
      </c>
      <c r="J494" s="30"/>
      <c r="K494" s="30"/>
      <c r="L494" s="32">
        <v>106.0312996</v>
      </c>
      <c r="M494" s="32">
        <v>10.4277563</v>
      </c>
      <c r="N494" s="32" t="s">
        <v>173</v>
      </c>
      <c r="O494" s="33">
        <v>0</v>
      </c>
      <c r="P494" s="30" t="s">
        <v>30</v>
      </c>
      <c r="Q494" s="30" t="s">
        <v>31</v>
      </c>
      <c r="R494" s="34" t="s">
        <v>47</v>
      </c>
      <c r="S494" s="35">
        <v>48080</v>
      </c>
      <c r="T494" s="36" t="s">
        <v>174</v>
      </c>
      <c r="U494" s="30" t="s">
        <v>174</v>
      </c>
      <c r="V494" s="37" t="e">
        <v>#N/A</v>
      </c>
      <c r="W494" s="31" t="s">
        <v>33</v>
      </c>
      <c r="X494" s="37"/>
      <c r="Y494" s="37">
        <f>COUNTIF(F:F,F494)</f>
        <v>1</v>
      </c>
      <c r="Z494" s="21" t="s">
        <v>1106</v>
      </c>
      <c r="AA494" s="21" t="s">
        <v>174</v>
      </c>
      <c r="AB494" s="21" t="s">
        <v>1119</v>
      </c>
    </row>
    <row r="495" spans="1:28" ht="13.9" customHeight="1" x14ac:dyDescent="0.3">
      <c r="A495" s="30" t="s">
        <v>20</v>
      </c>
      <c r="B495" s="30" t="s">
        <v>21</v>
      </c>
      <c r="C495" s="30" t="s">
        <v>22</v>
      </c>
      <c r="D495" s="30" t="s">
        <v>23</v>
      </c>
      <c r="E495" s="30" t="s">
        <v>626</v>
      </c>
      <c r="F495" s="31" t="s">
        <v>506</v>
      </c>
      <c r="G495" s="30" t="s">
        <v>26</v>
      </c>
      <c r="H495" s="30" t="s">
        <v>27</v>
      </c>
      <c r="I495" s="30">
        <v>3</v>
      </c>
      <c r="J495" s="30"/>
      <c r="K495" s="30"/>
      <c r="L495" s="32">
        <v>106.08343000000001</v>
      </c>
      <c r="M495" s="32">
        <v>10.522830000000001</v>
      </c>
      <c r="N495" s="32" t="s">
        <v>173</v>
      </c>
      <c r="O495" s="33">
        <v>0</v>
      </c>
      <c r="P495" s="30" t="s">
        <v>30</v>
      </c>
      <c r="Q495" s="30" t="s">
        <v>31</v>
      </c>
      <c r="R495" s="34" t="s">
        <v>47</v>
      </c>
      <c r="S495" s="35">
        <v>48080</v>
      </c>
      <c r="T495" s="36" t="s">
        <v>178</v>
      </c>
      <c r="U495" s="30" t="s">
        <v>174</v>
      </c>
      <c r="V495" s="37" t="e">
        <v>#N/A</v>
      </c>
      <c r="W495" s="31" t="s">
        <v>33</v>
      </c>
      <c r="X495" s="37" t="s">
        <v>42</v>
      </c>
      <c r="Y495" s="37">
        <f>COUNTIF(F:F,F495)</f>
        <v>2</v>
      </c>
      <c r="Z495" s="21" t="s">
        <v>1106</v>
      </c>
      <c r="AA495" s="21" t="s">
        <v>174</v>
      </c>
      <c r="AB495" s="21" t="s">
        <v>1119</v>
      </c>
    </row>
    <row r="496" spans="1:28" ht="13.9" customHeight="1" x14ac:dyDescent="0.3">
      <c r="A496" s="41" t="s">
        <v>20</v>
      </c>
      <c r="B496" s="41" t="s">
        <v>21</v>
      </c>
      <c r="C496" s="41" t="s">
        <v>22</v>
      </c>
      <c r="D496" s="41" t="s">
        <v>23</v>
      </c>
      <c r="E496" s="63" t="s">
        <v>505</v>
      </c>
      <c r="F496" s="31" t="s">
        <v>506</v>
      </c>
      <c r="G496" s="41" t="s">
        <v>26</v>
      </c>
      <c r="H496" s="36" t="s">
        <v>27</v>
      </c>
      <c r="I496" s="36">
        <v>3</v>
      </c>
      <c r="J496" s="36"/>
      <c r="K496" s="36"/>
      <c r="L496" s="38">
        <v>106.10242100000001</v>
      </c>
      <c r="M496" s="38">
        <v>10.522252</v>
      </c>
      <c r="N496" s="38" t="s">
        <v>451</v>
      </c>
      <c r="O496" s="39">
        <v>0</v>
      </c>
      <c r="P496" s="36" t="s">
        <v>60</v>
      </c>
      <c r="Q496" s="41" t="s">
        <v>31</v>
      </c>
      <c r="R496" s="42" t="s">
        <v>47</v>
      </c>
      <c r="S496" s="35">
        <v>48070</v>
      </c>
      <c r="T496" s="36" t="s">
        <v>497</v>
      </c>
      <c r="U496" s="30" t="s">
        <v>174</v>
      </c>
      <c r="V496" s="37" t="e">
        <v>#N/A</v>
      </c>
      <c r="W496" s="31" t="s">
        <v>63</v>
      </c>
      <c r="X496" s="37" t="s">
        <v>52</v>
      </c>
      <c r="Y496" s="37">
        <f>COUNTIF(F:F,F496)</f>
        <v>2</v>
      </c>
      <c r="Z496" s="21" t="s">
        <v>1106</v>
      </c>
      <c r="AA496" s="21" t="s">
        <v>174</v>
      </c>
      <c r="AB496" s="21" t="s">
        <v>1119</v>
      </c>
    </row>
    <row r="497" spans="1:28" ht="13.9" customHeight="1" x14ac:dyDescent="0.3">
      <c r="A497" s="30" t="s">
        <v>20</v>
      </c>
      <c r="B497" s="30" t="s">
        <v>21</v>
      </c>
      <c r="C497" s="30" t="s">
        <v>22</v>
      </c>
      <c r="D497" s="30" t="s">
        <v>23</v>
      </c>
      <c r="E497" s="30" t="s">
        <v>637</v>
      </c>
      <c r="F497" s="31" t="s">
        <v>637</v>
      </c>
      <c r="G497" s="30" t="s">
        <v>26</v>
      </c>
      <c r="H497" s="30" t="s">
        <v>36</v>
      </c>
      <c r="I497" s="30">
        <v>3</v>
      </c>
      <c r="J497" s="30" t="s">
        <v>37</v>
      </c>
      <c r="K497" s="30" t="s">
        <v>38</v>
      </c>
      <c r="L497" s="32">
        <v>106.09814</v>
      </c>
      <c r="M497" s="32">
        <v>10.424200000000001</v>
      </c>
      <c r="N497" s="32" t="s">
        <v>173</v>
      </c>
      <c r="O497" s="33">
        <v>0</v>
      </c>
      <c r="P497" s="30" t="s">
        <v>39</v>
      </c>
      <c r="Q497" s="30" t="s">
        <v>31</v>
      </c>
      <c r="R497" s="34" t="s">
        <v>47</v>
      </c>
      <c r="S497" s="35">
        <v>48080</v>
      </c>
      <c r="T497" s="36" t="s">
        <v>178</v>
      </c>
      <c r="U497" s="30" t="s">
        <v>174</v>
      </c>
      <c r="V497" s="37" t="e">
        <v>#N/A</v>
      </c>
      <c r="W497" s="31" t="s">
        <v>33</v>
      </c>
      <c r="X497" s="37"/>
      <c r="Y497" s="37">
        <f>COUNTIF(F:F,F497)</f>
        <v>1</v>
      </c>
      <c r="Z497" s="21" t="s">
        <v>1106</v>
      </c>
      <c r="AA497" s="21" t="s">
        <v>174</v>
      </c>
      <c r="AB497" s="21" t="s">
        <v>1119</v>
      </c>
    </row>
    <row r="498" spans="1:28" s="22" customFormat="1" ht="13.9" customHeight="1" x14ac:dyDescent="0.3">
      <c r="A498" s="30" t="s">
        <v>20</v>
      </c>
      <c r="B498" s="30" t="s">
        <v>21</v>
      </c>
      <c r="C498" s="30" t="s">
        <v>22</v>
      </c>
      <c r="D498" s="30" t="s">
        <v>23</v>
      </c>
      <c r="E498" s="30" t="s">
        <v>638</v>
      </c>
      <c r="F498" s="31" t="s">
        <v>638</v>
      </c>
      <c r="G498" s="30" t="s">
        <v>26</v>
      </c>
      <c r="H498" s="30" t="s">
        <v>27</v>
      </c>
      <c r="I498" s="30">
        <v>3</v>
      </c>
      <c r="J498" s="30"/>
      <c r="K498" s="30"/>
      <c r="L498" s="32">
        <v>106.03658</v>
      </c>
      <c r="M498" s="32">
        <v>10.474539999999999</v>
      </c>
      <c r="N498" s="32" t="s">
        <v>173</v>
      </c>
      <c r="O498" s="33">
        <v>0</v>
      </c>
      <c r="P498" s="30" t="s">
        <v>30</v>
      </c>
      <c r="Q498" s="30" t="s">
        <v>31</v>
      </c>
      <c r="R498" s="34" t="s">
        <v>47</v>
      </c>
      <c r="S498" s="35">
        <v>48080</v>
      </c>
      <c r="T498" s="36" t="s">
        <v>174</v>
      </c>
      <c r="U498" s="30" t="s">
        <v>174</v>
      </c>
      <c r="V498" s="37" t="e">
        <v>#N/A</v>
      </c>
      <c r="W498" s="31" t="s">
        <v>33</v>
      </c>
      <c r="X498" s="37"/>
      <c r="Y498" s="37">
        <f>COUNTIF(F:F,F498)</f>
        <v>1</v>
      </c>
      <c r="Z498" s="21" t="s">
        <v>1106</v>
      </c>
      <c r="AA498" s="21" t="s">
        <v>174</v>
      </c>
      <c r="AB498" s="21" t="s">
        <v>1119</v>
      </c>
    </row>
    <row r="499" spans="1:28" ht="13.9" customHeight="1" x14ac:dyDescent="0.3">
      <c r="A499" s="30" t="s">
        <v>20</v>
      </c>
      <c r="B499" s="30" t="s">
        <v>21</v>
      </c>
      <c r="C499" s="30" t="s">
        <v>22</v>
      </c>
      <c r="D499" s="30" t="s">
        <v>23</v>
      </c>
      <c r="E499" s="30" t="s">
        <v>627</v>
      </c>
      <c r="F499" s="31" t="s">
        <v>627</v>
      </c>
      <c r="G499" s="30" t="s">
        <v>26</v>
      </c>
      <c r="H499" s="30" t="s">
        <v>36</v>
      </c>
      <c r="I499" s="30">
        <v>3</v>
      </c>
      <c r="J499" s="30" t="s">
        <v>37</v>
      </c>
      <c r="K499" s="30" t="s">
        <v>38</v>
      </c>
      <c r="L499" s="32">
        <v>106.066604</v>
      </c>
      <c r="M499" s="32">
        <v>10.4305009</v>
      </c>
      <c r="N499" s="32" t="s">
        <v>173</v>
      </c>
      <c r="O499" s="33">
        <v>0</v>
      </c>
      <c r="P499" s="30" t="s">
        <v>39</v>
      </c>
      <c r="Q499" s="30" t="s">
        <v>31</v>
      </c>
      <c r="R499" s="34" t="s">
        <v>47</v>
      </c>
      <c r="S499" s="35">
        <v>48080</v>
      </c>
      <c r="T499" s="36" t="s">
        <v>174</v>
      </c>
      <c r="U499" s="30" t="s">
        <v>174</v>
      </c>
      <c r="V499" s="37" t="e">
        <v>#N/A</v>
      </c>
      <c r="W499" s="31" t="s">
        <v>33</v>
      </c>
      <c r="X499" s="37" t="s">
        <v>42</v>
      </c>
      <c r="Y499" s="37">
        <f>COUNTIF(F:F,F499)</f>
        <v>2</v>
      </c>
      <c r="Z499" s="21" t="s">
        <v>1106</v>
      </c>
      <c r="AA499" s="21" t="s">
        <v>174</v>
      </c>
      <c r="AB499" s="21" t="s">
        <v>1119</v>
      </c>
    </row>
    <row r="500" spans="1:28" ht="13.9" customHeight="1" x14ac:dyDescent="0.3">
      <c r="A500" s="36" t="s">
        <v>20</v>
      </c>
      <c r="B500" s="36" t="s">
        <v>21</v>
      </c>
      <c r="C500" s="36" t="s">
        <v>22</v>
      </c>
      <c r="D500" s="36" t="s">
        <v>23</v>
      </c>
      <c r="E500" s="36" t="s">
        <v>628</v>
      </c>
      <c r="F500" s="31" t="s">
        <v>627</v>
      </c>
      <c r="G500" s="36" t="s">
        <v>26</v>
      </c>
      <c r="H500" s="36" t="s">
        <v>27</v>
      </c>
      <c r="I500" s="36">
        <v>3</v>
      </c>
      <c r="J500" s="36"/>
      <c r="K500" s="36"/>
      <c r="L500" s="38">
        <v>106.05604270000001</v>
      </c>
      <c r="M500" s="38">
        <v>10.4195002</v>
      </c>
      <c r="N500" s="38" t="s">
        <v>173</v>
      </c>
      <c r="O500" s="39">
        <v>0</v>
      </c>
      <c r="P500" s="36" t="s">
        <v>60</v>
      </c>
      <c r="Q500" s="30" t="s">
        <v>31</v>
      </c>
      <c r="R500" s="40" t="s">
        <v>47</v>
      </c>
      <c r="S500" s="35">
        <v>48080</v>
      </c>
      <c r="T500" s="36" t="s">
        <v>174</v>
      </c>
      <c r="U500" s="30" t="s">
        <v>174</v>
      </c>
      <c r="V500" s="37" t="e">
        <v>#N/A</v>
      </c>
      <c r="W500" s="31" t="s">
        <v>63</v>
      </c>
      <c r="X500" s="37" t="s">
        <v>52</v>
      </c>
      <c r="Y500" s="37">
        <f>COUNTIF(F:F,F500)</f>
        <v>2</v>
      </c>
      <c r="Z500" s="21" t="s">
        <v>1106</v>
      </c>
      <c r="AA500" s="21" t="s">
        <v>174</v>
      </c>
      <c r="AB500" s="21" t="s">
        <v>1119</v>
      </c>
    </row>
    <row r="501" spans="1:28" ht="13.9" customHeight="1" x14ac:dyDescent="0.3">
      <c r="A501" s="30" t="s">
        <v>20</v>
      </c>
      <c r="B501" s="30" t="s">
        <v>21</v>
      </c>
      <c r="C501" s="30" t="s">
        <v>22</v>
      </c>
      <c r="D501" s="30" t="s">
        <v>23</v>
      </c>
      <c r="E501" s="30" t="s">
        <v>629</v>
      </c>
      <c r="F501" s="31" t="s">
        <v>629</v>
      </c>
      <c r="G501" s="30" t="s">
        <v>26</v>
      </c>
      <c r="H501" s="30" t="s">
        <v>36</v>
      </c>
      <c r="I501" s="30">
        <v>4</v>
      </c>
      <c r="J501" s="30" t="s">
        <v>26</v>
      </c>
      <c r="K501" s="30" t="s">
        <v>269</v>
      </c>
      <c r="L501" s="32">
        <v>106.06404449999999</v>
      </c>
      <c r="M501" s="32">
        <v>10.4115147</v>
      </c>
      <c r="N501" s="32" t="s">
        <v>173</v>
      </c>
      <c r="O501" s="33">
        <v>0</v>
      </c>
      <c r="P501" s="30" t="s">
        <v>271</v>
      </c>
      <c r="Q501" s="30" t="s">
        <v>31</v>
      </c>
      <c r="R501" s="34" t="s">
        <v>47</v>
      </c>
      <c r="S501" s="35">
        <v>48080</v>
      </c>
      <c r="T501" s="36" t="s">
        <v>174</v>
      </c>
      <c r="U501" s="30" t="s">
        <v>174</v>
      </c>
      <c r="V501" s="37" t="e">
        <v>#N/A</v>
      </c>
      <c r="W501" s="31" t="s">
        <v>33</v>
      </c>
      <c r="X501" s="37"/>
      <c r="Y501" s="37">
        <f>COUNTIF(F:F,F501)</f>
        <v>1</v>
      </c>
      <c r="Z501" s="21" t="s">
        <v>1106</v>
      </c>
      <c r="AA501" s="21" t="s">
        <v>174</v>
      </c>
      <c r="AB501" s="21" t="s">
        <v>1119</v>
      </c>
    </row>
    <row r="502" spans="1:28" ht="13.9" customHeight="1" x14ac:dyDescent="0.3">
      <c r="A502" s="30" t="s">
        <v>20</v>
      </c>
      <c r="B502" s="30" t="s">
        <v>21</v>
      </c>
      <c r="C502" s="30" t="s">
        <v>22</v>
      </c>
      <c r="D502" s="30" t="s">
        <v>23</v>
      </c>
      <c r="E502" s="30" t="s">
        <v>642</v>
      </c>
      <c r="F502" s="31" t="s">
        <v>642</v>
      </c>
      <c r="G502" s="30" t="s">
        <v>26</v>
      </c>
      <c r="H502" s="30" t="s">
        <v>27</v>
      </c>
      <c r="I502" s="30">
        <v>3</v>
      </c>
      <c r="J502" s="30"/>
      <c r="K502" s="30"/>
      <c r="L502" s="32">
        <v>106.00133700000001</v>
      </c>
      <c r="M502" s="32">
        <v>10.4951177</v>
      </c>
      <c r="N502" s="32" t="s">
        <v>173</v>
      </c>
      <c r="O502" s="33">
        <v>0</v>
      </c>
      <c r="P502" s="30" t="s">
        <v>30</v>
      </c>
      <c r="Q502" s="30" t="s">
        <v>31</v>
      </c>
      <c r="R502" s="34" t="s">
        <v>47</v>
      </c>
      <c r="S502" s="35">
        <v>48080</v>
      </c>
      <c r="T502" s="36" t="s">
        <v>174</v>
      </c>
      <c r="U502" s="30" t="s">
        <v>174</v>
      </c>
      <c r="V502" s="37" t="e">
        <v>#N/A</v>
      </c>
      <c r="W502" s="31" t="s">
        <v>33</v>
      </c>
      <c r="X502" s="37"/>
      <c r="Y502" s="37">
        <f>COUNTIF(F:F,F502)</f>
        <v>1</v>
      </c>
      <c r="Z502" s="21" t="s">
        <v>1106</v>
      </c>
      <c r="AA502" s="21" t="s">
        <v>174</v>
      </c>
      <c r="AB502" s="21" t="s">
        <v>1119</v>
      </c>
    </row>
    <row r="503" spans="1:28" ht="13.9" customHeight="1" x14ac:dyDescent="0.3">
      <c r="A503" s="30" t="s">
        <v>20</v>
      </c>
      <c r="B503" s="30" t="s">
        <v>21</v>
      </c>
      <c r="C503" s="30" t="s">
        <v>22</v>
      </c>
      <c r="D503" s="30" t="s">
        <v>23</v>
      </c>
      <c r="E503" s="30" t="s">
        <v>643</v>
      </c>
      <c r="F503" s="31" t="s">
        <v>643</v>
      </c>
      <c r="G503" s="30" t="s">
        <v>26</v>
      </c>
      <c r="H503" s="30" t="s">
        <v>27</v>
      </c>
      <c r="I503" s="30">
        <v>3</v>
      </c>
      <c r="J503" s="30"/>
      <c r="K503" s="30"/>
      <c r="L503" s="32">
        <v>106.02726149999999</v>
      </c>
      <c r="M503" s="32">
        <v>10.4896838</v>
      </c>
      <c r="N503" s="32" t="s">
        <v>173</v>
      </c>
      <c r="O503" s="33">
        <v>0</v>
      </c>
      <c r="P503" s="30" t="s">
        <v>30</v>
      </c>
      <c r="Q503" s="30" t="s">
        <v>31</v>
      </c>
      <c r="R503" s="34" t="s">
        <v>47</v>
      </c>
      <c r="S503" s="35">
        <v>48080</v>
      </c>
      <c r="T503" s="36" t="s">
        <v>174</v>
      </c>
      <c r="U503" s="30" t="s">
        <v>174</v>
      </c>
      <c r="V503" s="37" t="e">
        <v>#N/A</v>
      </c>
      <c r="W503" s="31" t="s">
        <v>33</v>
      </c>
      <c r="X503" s="37"/>
      <c r="Y503" s="37">
        <f>COUNTIF(F:F,F503)</f>
        <v>1</v>
      </c>
      <c r="Z503" s="21" t="s">
        <v>1106</v>
      </c>
      <c r="AA503" s="21" t="s">
        <v>174</v>
      </c>
      <c r="AB503" s="21" t="s">
        <v>1119</v>
      </c>
    </row>
    <row r="504" spans="1:28" ht="13.9" customHeight="1" x14ac:dyDescent="0.3">
      <c r="A504" s="30" t="s">
        <v>20</v>
      </c>
      <c r="B504" s="30" t="s">
        <v>21</v>
      </c>
      <c r="C504" s="30" t="s">
        <v>22</v>
      </c>
      <c r="D504" s="30" t="s">
        <v>23</v>
      </c>
      <c r="E504" s="30" t="s">
        <v>644</v>
      </c>
      <c r="F504" s="31" t="s">
        <v>644</v>
      </c>
      <c r="G504" s="30" t="s">
        <v>26</v>
      </c>
      <c r="H504" s="30" t="s">
        <v>27</v>
      </c>
      <c r="I504" s="30">
        <v>3</v>
      </c>
      <c r="J504" s="30"/>
      <c r="K504" s="30"/>
      <c r="L504" s="32">
        <v>106.04452000000001</v>
      </c>
      <c r="M504" s="32">
        <v>10.46142</v>
      </c>
      <c r="N504" s="32" t="s">
        <v>173</v>
      </c>
      <c r="O504" s="33">
        <v>0</v>
      </c>
      <c r="P504" s="30" t="s">
        <v>30</v>
      </c>
      <c r="Q504" s="30" t="s">
        <v>31</v>
      </c>
      <c r="R504" s="34" t="s">
        <v>47</v>
      </c>
      <c r="S504" s="35">
        <v>48080</v>
      </c>
      <c r="T504" s="36" t="s">
        <v>174</v>
      </c>
      <c r="U504" s="30" t="s">
        <v>174</v>
      </c>
      <c r="V504" s="37" t="e">
        <v>#N/A</v>
      </c>
      <c r="W504" s="31" t="s">
        <v>33</v>
      </c>
      <c r="X504" s="37"/>
      <c r="Y504" s="37">
        <f>COUNTIF(F:F,F504)</f>
        <v>1</v>
      </c>
      <c r="Z504" s="21" t="s">
        <v>1106</v>
      </c>
      <c r="AA504" s="21" t="s">
        <v>174</v>
      </c>
      <c r="AB504" s="21" t="s">
        <v>1119</v>
      </c>
    </row>
    <row r="505" spans="1:28" ht="13.9" customHeight="1" x14ac:dyDescent="0.3">
      <c r="A505" s="30" t="s">
        <v>20</v>
      </c>
      <c r="B505" s="30" t="s">
        <v>21</v>
      </c>
      <c r="C505" s="30" t="s">
        <v>22</v>
      </c>
      <c r="D505" s="30" t="s">
        <v>23</v>
      </c>
      <c r="E505" s="30" t="s">
        <v>645</v>
      </c>
      <c r="F505" s="31" t="s">
        <v>645</v>
      </c>
      <c r="G505" s="30" t="s">
        <v>26</v>
      </c>
      <c r="H505" s="30" t="s">
        <v>27</v>
      </c>
      <c r="I505" s="30">
        <v>3</v>
      </c>
      <c r="J505" s="30"/>
      <c r="K505" s="30"/>
      <c r="L505" s="32">
        <v>106.03937000000001</v>
      </c>
      <c r="M505" s="32">
        <v>10.52838</v>
      </c>
      <c r="N505" s="32" t="s">
        <v>173</v>
      </c>
      <c r="O505" s="33">
        <v>0</v>
      </c>
      <c r="P505" s="30" t="s">
        <v>30</v>
      </c>
      <c r="Q505" s="30" t="s">
        <v>31</v>
      </c>
      <c r="R505" s="34" t="s">
        <v>47</v>
      </c>
      <c r="S505" s="35">
        <v>48080</v>
      </c>
      <c r="T505" s="36" t="s">
        <v>174</v>
      </c>
      <c r="U505" s="30" t="s">
        <v>174</v>
      </c>
      <c r="V505" s="37" t="e">
        <v>#N/A</v>
      </c>
      <c r="W505" s="31" t="s">
        <v>33</v>
      </c>
      <c r="X505" s="37"/>
      <c r="Y505" s="37">
        <f>COUNTIF(F:F,F505)</f>
        <v>1</v>
      </c>
      <c r="Z505" s="21" t="s">
        <v>1106</v>
      </c>
      <c r="AA505" s="21" t="s">
        <v>174</v>
      </c>
      <c r="AB505" s="21" t="s">
        <v>1119</v>
      </c>
    </row>
    <row r="506" spans="1:28" ht="13.9" customHeight="1" x14ac:dyDescent="0.3">
      <c r="A506" s="45" t="s">
        <v>20</v>
      </c>
      <c r="B506" s="45" t="s">
        <v>21</v>
      </c>
      <c r="C506" s="45" t="s">
        <v>500</v>
      </c>
      <c r="D506" s="45" t="s">
        <v>23</v>
      </c>
      <c r="E506" s="64" t="s">
        <v>501</v>
      </c>
      <c r="F506" s="60" t="s">
        <v>502</v>
      </c>
      <c r="G506" s="45" t="s">
        <v>26</v>
      </c>
      <c r="H506" s="45" t="s">
        <v>36</v>
      </c>
      <c r="I506" s="45">
        <v>1</v>
      </c>
      <c r="J506" s="45"/>
      <c r="K506" s="45"/>
      <c r="L506" s="49">
        <v>106.1052</v>
      </c>
      <c r="M506" s="49">
        <v>10.524749999999999</v>
      </c>
      <c r="N506" s="49" t="s">
        <v>503</v>
      </c>
      <c r="O506" s="50">
        <v>0</v>
      </c>
      <c r="P506" s="41" t="s">
        <v>504</v>
      </c>
      <c r="Q506" s="45"/>
      <c r="R506" s="51"/>
      <c r="S506" s="35" t="e">
        <v>#N/A</v>
      </c>
      <c r="T506" s="58" t="s">
        <v>497</v>
      </c>
      <c r="U506" s="30" t="s">
        <v>174</v>
      </c>
      <c r="V506" s="37" t="e">
        <v>#N/A</v>
      </c>
      <c r="W506" s="31" t="s">
        <v>63</v>
      </c>
      <c r="X506" s="37" t="s">
        <v>52</v>
      </c>
      <c r="Y506" s="37">
        <f>COUNTIF(F:F,F506)</f>
        <v>1</v>
      </c>
      <c r="Z506" s="21" t="s">
        <v>1106</v>
      </c>
      <c r="AA506" s="21" t="s">
        <v>174</v>
      </c>
      <c r="AB506" s="21" t="s">
        <v>1119</v>
      </c>
    </row>
    <row r="507" spans="1:28" ht="13.9" customHeight="1" x14ac:dyDescent="0.3">
      <c r="A507" s="30" t="s">
        <v>20</v>
      </c>
      <c r="B507" s="30" t="s">
        <v>21</v>
      </c>
      <c r="C507" s="30" t="s">
        <v>22</v>
      </c>
      <c r="D507" s="30" t="s">
        <v>23</v>
      </c>
      <c r="E507" s="30" t="s">
        <v>646</v>
      </c>
      <c r="F507" s="31" t="s">
        <v>647</v>
      </c>
      <c r="G507" s="30" t="s">
        <v>26</v>
      </c>
      <c r="H507" s="30" t="s">
        <v>27</v>
      </c>
      <c r="I507" s="30">
        <v>3</v>
      </c>
      <c r="J507" s="30"/>
      <c r="K507" s="30"/>
      <c r="L507" s="32">
        <v>106.0818094</v>
      </c>
      <c r="M507" s="32">
        <v>10.3735754</v>
      </c>
      <c r="N507" s="32" t="s">
        <v>173</v>
      </c>
      <c r="O507" s="33">
        <v>0</v>
      </c>
      <c r="P507" s="30" t="s">
        <v>30</v>
      </c>
      <c r="Q507" s="30" t="s">
        <v>31</v>
      </c>
      <c r="R507" s="34" t="s">
        <v>47</v>
      </c>
      <c r="S507" s="35">
        <v>48080</v>
      </c>
      <c r="T507" s="36" t="s">
        <v>242</v>
      </c>
      <c r="U507" s="30" t="s">
        <v>242</v>
      </c>
      <c r="V507" s="37" t="e">
        <v>#N/A</v>
      </c>
      <c r="W507" s="31" t="s">
        <v>33</v>
      </c>
      <c r="X507" s="37" t="s">
        <v>42</v>
      </c>
      <c r="Y507" s="37">
        <f>COUNTIF(F:F,F507)</f>
        <v>2</v>
      </c>
      <c r="Z507" s="21" t="s">
        <v>1106</v>
      </c>
      <c r="AA507" s="21" t="s">
        <v>242</v>
      </c>
      <c r="AB507" s="21" t="s">
        <v>1119</v>
      </c>
    </row>
    <row r="508" spans="1:28" ht="13.9" customHeight="1" x14ac:dyDescent="0.3">
      <c r="A508" s="41" t="s">
        <v>20</v>
      </c>
      <c r="B508" s="41" t="s">
        <v>21</v>
      </c>
      <c r="C508" s="41" t="s">
        <v>22</v>
      </c>
      <c r="D508" s="41" t="s">
        <v>23</v>
      </c>
      <c r="E508" s="41" t="s">
        <v>648</v>
      </c>
      <c r="F508" s="31" t="s">
        <v>647</v>
      </c>
      <c r="G508" s="41" t="s">
        <v>26</v>
      </c>
      <c r="H508" s="36" t="s">
        <v>27</v>
      </c>
      <c r="I508" s="36">
        <v>3</v>
      </c>
      <c r="J508" s="36"/>
      <c r="K508" s="36"/>
      <c r="L508" s="38">
        <v>106.10083</v>
      </c>
      <c r="M508" s="38">
        <v>10.374320000000001</v>
      </c>
      <c r="N508" s="38" t="s">
        <v>429</v>
      </c>
      <c r="O508" s="39">
        <v>0</v>
      </c>
      <c r="P508" s="36" t="s">
        <v>30</v>
      </c>
      <c r="Q508" s="41" t="s">
        <v>31</v>
      </c>
      <c r="R508" s="42" t="s">
        <v>47</v>
      </c>
      <c r="S508" s="14">
        <v>48090</v>
      </c>
      <c r="T508" s="36" t="s">
        <v>649</v>
      </c>
      <c r="U508" s="30" t="s">
        <v>242</v>
      </c>
      <c r="V508" s="37" t="e">
        <v>#N/A</v>
      </c>
      <c r="W508" s="31" t="s">
        <v>63</v>
      </c>
      <c r="X508" s="37" t="s">
        <v>52</v>
      </c>
      <c r="Y508" s="37">
        <f>COUNTIF(F:F,F508)</f>
        <v>2</v>
      </c>
      <c r="Z508" s="21" t="s">
        <v>1106</v>
      </c>
      <c r="AA508" s="21" t="s">
        <v>242</v>
      </c>
      <c r="AB508" s="21" t="s">
        <v>1119</v>
      </c>
    </row>
    <row r="509" spans="1:28" ht="13.9" customHeight="1" x14ac:dyDescent="0.3">
      <c r="A509" s="30" t="s">
        <v>20</v>
      </c>
      <c r="B509" s="30" t="s">
        <v>21</v>
      </c>
      <c r="C509" s="30" t="s">
        <v>22</v>
      </c>
      <c r="D509" s="30" t="s">
        <v>23</v>
      </c>
      <c r="E509" s="30" t="s">
        <v>664</v>
      </c>
      <c r="F509" s="31" t="s">
        <v>664</v>
      </c>
      <c r="G509" s="30" t="s">
        <v>26</v>
      </c>
      <c r="H509" s="30" t="s">
        <v>36</v>
      </c>
      <c r="I509" s="30">
        <v>4</v>
      </c>
      <c r="J509" s="30" t="s">
        <v>26</v>
      </c>
      <c r="K509" s="30" t="s">
        <v>405</v>
      </c>
      <c r="L509" s="32">
        <v>106.04231299999999</v>
      </c>
      <c r="M509" s="32">
        <v>10.373279399999999</v>
      </c>
      <c r="N509" s="32" t="s">
        <v>173</v>
      </c>
      <c r="O509" s="33">
        <v>0</v>
      </c>
      <c r="P509" s="30" t="s">
        <v>271</v>
      </c>
      <c r="Q509" s="30" t="s">
        <v>31</v>
      </c>
      <c r="R509" s="34" t="s">
        <v>47</v>
      </c>
      <c r="S509" s="35">
        <v>48080</v>
      </c>
      <c r="T509" s="36" t="s">
        <v>242</v>
      </c>
      <c r="U509" s="30" t="s">
        <v>242</v>
      </c>
      <c r="V509" s="37" t="e">
        <v>#N/A</v>
      </c>
      <c r="W509" s="31" t="s">
        <v>33</v>
      </c>
      <c r="X509" s="37"/>
      <c r="Y509" s="37">
        <f>COUNTIF(F:F,F509)</f>
        <v>1</v>
      </c>
      <c r="Z509" s="21" t="s">
        <v>1106</v>
      </c>
      <c r="AA509" s="21" t="s">
        <v>242</v>
      </c>
      <c r="AB509" s="21" t="s">
        <v>1119</v>
      </c>
    </row>
    <row r="510" spans="1:28" ht="13.9" customHeight="1" x14ac:dyDescent="0.3">
      <c r="A510" s="30" t="s">
        <v>20</v>
      </c>
      <c r="B510" s="30" t="s">
        <v>21</v>
      </c>
      <c r="C510" s="30" t="s">
        <v>22</v>
      </c>
      <c r="D510" s="30" t="s">
        <v>23</v>
      </c>
      <c r="E510" s="30" t="s">
        <v>665</v>
      </c>
      <c r="F510" s="31" t="s">
        <v>665</v>
      </c>
      <c r="G510" s="30" t="s">
        <v>26</v>
      </c>
      <c r="H510" s="30" t="s">
        <v>36</v>
      </c>
      <c r="I510" s="30">
        <v>4</v>
      </c>
      <c r="J510" s="30"/>
      <c r="K510" s="30"/>
      <c r="L510" s="32">
        <v>106.0568311</v>
      </c>
      <c r="M510" s="32">
        <v>10.3711254</v>
      </c>
      <c r="N510" s="32" t="s">
        <v>173</v>
      </c>
      <c r="O510" s="33">
        <v>0</v>
      </c>
      <c r="P510" s="30" t="s">
        <v>109</v>
      </c>
      <c r="Q510" s="30" t="s">
        <v>31</v>
      </c>
      <c r="R510" s="34" t="s">
        <v>47</v>
      </c>
      <c r="S510" s="35">
        <v>48080</v>
      </c>
      <c r="T510" s="36" t="s">
        <v>242</v>
      </c>
      <c r="U510" s="30" t="s">
        <v>242</v>
      </c>
      <c r="V510" s="37" t="e">
        <v>#N/A</v>
      </c>
      <c r="W510" s="31" t="s">
        <v>33</v>
      </c>
      <c r="X510" s="37"/>
      <c r="Y510" s="37">
        <f>COUNTIF(F:F,F510)</f>
        <v>1</v>
      </c>
      <c r="Z510" s="21" t="s">
        <v>1106</v>
      </c>
      <c r="AA510" s="21" t="s">
        <v>242</v>
      </c>
      <c r="AB510" s="21" t="s">
        <v>1119</v>
      </c>
    </row>
    <row r="511" spans="1:28" ht="13.9" customHeight="1" x14ac:dyDescent="0.3">
      <c r="A511" s="30" t="s">
        <v>20</v>
      </c>
      <c r="B511" s="30" t="s">
        <v>21</v>
      </c>
      <c r="C511" s="30" t="s">
        <v>22</v>
      </c>
      <c r="D511" s="30" t="s">
        <v>23</v>
      </c>
      <c r="E511" s="30" t="s">
        <v>650</v>
      </c>
      <c r="F511" s="31" t="s">
        <v>243</v>
      </c>
      <c r="G511" s="30" t="s">
        <v>26</v>
      </c>
      <c r="H511" s="30" t="s">
        <v>27</v>
      </c>
      <c r="I511" s="30">
        <v>3</v>
      </c>
      <c r="J511" s="30"/>
      <c r="K511" s="30"/>
      <c r="L511" s="32">
        <v>106.08636730000001</v>
      </c>
      <c r="M511" s="32">
        <v>10.353046600000001</v>
      </c>
      <c r="N511" s="32" t="s">
        <v>173</v>
      </c>
      <c r="O511" s="33">
        <v>0</v>
      </c>
      <c r="P511" s="30" t="s">
        <v>30</v>
      </c>
      <c r="Q511" s="30" t="s">
        <v>31</v>
      </c>
      <c r="R511" s="34" t="s">
        <v>47</v>
      </c>
      <c r="S511" s="35">
        <v>48080</v>
      </c>
      <c r="T511" s="36" t="s">
        <v>242</v>
      </c>
      <c r="U511" s="30" t="s">
        <v>242</v>
      </c>
      <c r="V511" s="37" t="e">
        <v>#N/A</v>
      </c>
      <c r="W511" s="31" t="s">
        <v>33</v>
      </c>
      <c r="X511" s="37" t="s">
        <v>42</v>
      </c>
      <c r="Y511" s="37">
        <f>COUNTIF(F:F,F511)</f>
        <v>3</v>
      </c>
      <c r="Z511" s="21" t="s">
        <v>1106</v>
      </c>
      <c r="AA511" s="21" t="s">
        <v>242</v>
      </c>
      <c r="AB511" s="21" t="s">
        <v>1119</v>
      </c>
    </row>
    <row r="512" spans="1:28" ht="13.9" customHeight="1" x14ac:dyDescent="0.3">
      <c r="A512" s="30" t="s">
        <v>20</v>
      </c>
      <c r="B512" s="30" t="s">
        <v>21</v>
      </c>
      <c r="C512" s="30" t="s">
        <v>22</v>
      </c>
      <c r="D512" s="30" t="s">
        <v>23</v>
      </c>
      <c r="E512" s="30" t="s">
        <v>241</v>
      </c>
      <c r="F512" s="31" t="s">
        <v>243</v>
      </c>
      <c r="G512" s="30" t="s">
        <v>26</v>
      </c>
      <c r="H512" s="30" t="s">
        <v>27</v>
      </c>
      <c r="I512" s="30">
        <v>3</v>
      </c>
      <c r="J512" s="30"/>
      <c r="K512" s="30"/>
      <c r="L512" s="32">
        <v>106.10472</v>
      </c>
      <c r="M512" s="32">
        <v>10.335800000000001</v>
      </c>
      <c r="N512" s="32" t="s">
        <v>173</v>
      </c>
      <c r="O512" s="33">
        <v>0</v>
      </c>
      <c r="P512" s="30" t="s">
        <v>30</v>
      </c>
      <c r="Q512" s="30" t="s">
        <v>31</v>
      </c>
      <c r="R512" s="34" t="s">
        <v>47</v>
      </c>
      <c r="S512" s="35">
        <v>48080</v>
      </c>
      <c r="T512" s="36" t="s">
        <v>242</v>
      </c>
      <c r="U512" s="30" t="s">
        <v>242</v>
      </c>
      <c r="V512" s="37" t="s">
        <v>49</v>
      </c>
      <c r="W512" s="31" t="s">
        <v>50</v>
      </c>
      <c r="X512" s="37" t="s">
        <v>52</v>
      </c>
      <c r="Y512" s="37">
        <f>COUNTIF(F:F,F512)</f>
        <v>3</v>
      </c>
      <c r="Z512" s="21" t="s">
        <v>1106</v>
      </c>
      <c r="AA512" s="21" t="s">
        <v>242</v>
      </c>
      <c r="AB512" s="21" t="s">
        <v>1119</v>
      </c>
    </row>
    <row r="513" spans="1:28" ht="13.9" customHeight="1" x14ac:dyDescent="0.3">
      <c r="A513" s="41" t="s">
        <v>20</v>
      </c>
      <c r="B513" s="41" t="s">
        <v>21</v>
      </c>
      <c r="C513" s="41" t="s">
        <v>22</v>
      </c>
      <c r="D513" s="41" t="s">
        <v>23</v>
      </c>
      <c r="E513" s="41" t="s">
        <v>651</v>
      </c>
      <c r="F513" s="31" t="s">
        <v>243</v>
      </c>
      <c r="G513" s="41" t="s">
        <v>26</v>
      </c>
      <c r="H513" s="36" t="s">
        <v>27</v>
      </c>
      <c r="I513" s="36">
        <v>3</v>
      </c>
      <c r="J513" s="36"/>
      <c r="K513" s="36"/>
      <c r="L513" s="38">
        <v>106.10416669999999</v>
      </c>
      <c r="M513" s="38">
        <v>10.356373400000001</v>
      </c>
      <c r="N513" s="38" t="s">
        <v>429</v>
      </c>
      <c r="O513" s="39">
        <v>0</v>
      </c>
      <c r="P513" s="36" t="s">
        <v>30</v>
      </c>
      <c r="Q513" s="41" t="s">
        <v>31</v>
      </c>
      <c r="R513" s="42" t="s">
        <v>47</v>
      </c>
      <c r="S513" s="35">
        <v>48090</v>
      </c>
      <c r="T513" s="36" t="s">
        <v>649</v>
      </c>
      <c r="U513" s="30" t="s">
        <v>242</v>
      </c>
      <c r="V513" s="37" t="e">
        <v>#N/A</v>
      </c>
      <c r="W513" s="31" t="s">
        <v>63</v>
      </c>
      <c r="X513" s="37" t="s">
        <v>52</v>
      </c>
      <c r="Y513" s="37">
        <f>COUNTIF(F:F,F513)</f>
        <v>3</v>
      </c>
      <c r="Z513" s="21" t="s">
        <v>1106</v>
      </c>
      <c r="AA513" s="21" t="s">
        <v>242</v>
      </c>
      <c r="AB513" s="21" t="s">
        <v>1119</v>
      </c>
    </row>
    <row r="514" spans="1:28" ht="13.9" customHeight="1" x14ac:dyDescent="0.3">
      <c r="A514" s="30" t="s">
        <v>20</v>
      </c>
      <c r="B514" s="30" t="s">
        <v>21</v>
      </c>
      <c r="C514" s="30" t="s">
        <v>22</v>
      </c>
      <c r="D514" s="30" t="s">
        <v>23</v>
      </c>
      <c r="E514" s="30" t="s">
        <v>652</v>
      </c>
      <c r="F514" s="31" t="s">
        <v>579</v>
      </c>
      <c r="G514" s="30" t="s">
        <v>26</v>
      </c>
      <c r="H514" s="30" t="s">
        <v>27</v>
      </c>
      <c r="I514" s="30">
        <v>3</v>
      </c>
      <c r="J514" s="30"/>
      <c r="K514" s="30"/>
      <c r="L514" s="32">
        <v>106.0778121</v>
      </c>
      <c r="M514" s="32">
        <v>10.392661199999999</v>
      </c>
      <c r="N514" s="32" t="s">
        <v>173</v>
      </c>
      <c r="O514" s="33">
        <v>0</v>
      </c>
      <c r="P514" s="30" t="s">
        <v>30</v>
      </c>
      <c r="Q514" s="30" t="s">
        <v>31</v>
      </c>
      <c r="R514" s="34" t="s">
        <v>47</v>
      </c>
      <c r="S514" s="35">
        <v>48080</v>
      </c>
      <c r="T514" s="36" t="s">
        <v>242</v>
      </c>
      <c r="U514" s="30" t="s">
        <v>242</v>
      </c>
      <c r="V514" s="37" t="e">
        <v>#N/A</v>
      </c>
      <c r="W514" s="31" t="s">
        <v>33</v>
      </c>
      <c r="X514" s="37" t="s">
        <v>42</v>
      </c>
      <c r="Y514" s="37">
        <f>COUNTIF(F:F,F514)</f>
        <v>2</v>
      </c>
      <c r="Z514" s="21" t="s">
        <v>1106</v>
      </c>
      <c r="AA514" s="21" t="s">
        <v>242</v>
      </c>
      <c r="AB514" s="21" t="s">
        <v>1119</v>
      </c>
    </row>
    <row r="515" spans="1:28" ht="13.9" customHeight="1" x14ac:dyDescent="0.3">
      <c r="A515" s="41" t="s">
        <v>20</v>
      </c>
      <c r="B515" s="41" t="s">
        <v>21</v>
      </c>
      <c r="C515" s="41" t="s">
        <v>22</v>
      </c>
      <c r="D515" s="41" t="s">
        <v>23</v>
      </c>
      <c r="E515" s="41" t="s">
        <v>578</v>
      </c>
      <c r="F515" s="31" t="s">
        <v>579</v>
      </c>
      <c r="G515" s="41" t="s">
        <v>26</v>
      </c>
      <c r="H515" s="36" t="s">
        <v>27</v>
      </c>
      <c r="I515" s="36">
        <v>3</v>
      </c>
      <c r="J515" s="36" t="s">
        <v>37</v>
      </c>
      <c r="K515" s="36" t="s">
        <v>38</v>
      </c>
      <c r="L515" s="38">
        <v>106.0952984</v>
      </c>
      <c r="M515" s="38">
        <v>10.3869568</v>
      </c>
      <c r="N515" s="38" t="s">
        <v>429</v>
      </c>
      <c r="O515" s="39">
        <v>0</v>
      </c>
      <c r="P515" s="36" t="s">
        <v>41</v>
      </c>
      <c r="Q515" s="41" t="s">
        <v>31</v>
      </c>
      <c r="R515" s="42" t="s">
        <v>47</v>
      </c>
      <c r="S515" s="35">
        <v>48090</v>
      </c>
      <c r="T515" s="36" t="s">
        <v>580</v>
      </c>
      <c r="U515" s="30" t="s">
        <v>242</v>
      </c>
      <c r="V515" s="37" t="e">
        <v>#N/A</v>
      </c>
      <c r="W515" s="31" t="s">
        <v>63</v>
      </c>
      <c r="X515" s="37" t="s">
        <v>52</v>
      </c>
      <c r="Y515" s="37">
        <f>COUNTIF(F:F,F515)</f>
        <v>2</v>
      </c>
      <c r="Z515" s="21" t="s">
        <v>1106</v>
      </c>
      <c r="AA515" s="21" t="s">
        <v>242</v>
      </c>
      <c r="AB515" s="21" t="s">
        <v>1119</v>
      </c>
    </row>
    <row r="516" spans="1:28" ht="13.9" customHeight="1" x14ac:dyDescent="0.3">
      <c r="A516" s="30" t="s">
        <v>20</v>
      </c>
      <c r="B516" s="30" t="s">
        <v>21</v>
      </c>
      <c r="C516" s="30" t="s">
        <v>22</v>
      </c>
      <c r="D516" s="30" t="s">
        <v>23</v>
      </c>
      <c r="E516" s="30" t="s">
        <v>666</v>
      </c>
      <c r="F516" s="31" t="s">
        <v>666</v>
      </c>
      <c r="G516" s="30" t="s">
        <v>26</v>
      </c>
      <c r="H516" s="30" t="s">
        <v>36</v>
      </c>
      <c r="I516" s="30">
        <v>3</v>
      </c>
      <c r="J516" s="30" t="s">
        <v>37</v>
      </c>
      <c r="K516" s="30" t="s">
        <v>38</v>
      </c>
      <c r="L516" s="32">
        <v>106.0917931</v>
      </c>
      <c r="M516" s="32">
        <v>10.322255800000001</v>
      </c>
      <c r="N516" s="32" t="s">
        <v>173</v>
      </c>
      <c r="O516" s="33">
        <v>0</v>
      </c>
      <c r="P516" s="30" t="s">
        <v>39</v>
      </c>
      <c r="Q516" s="30" t="s">
        <v>31</v>
      </c>
      <c r="R516" s="34" t="s">
        <v>47</v>
      </c>
      <c r="S516" s="35">
        <v>48080</v>
      </c>
      <c r="T516" s="36" t="s">
        <v>242</v>
      </c>
      <c r="U516" s="30" t="s">
        <v>242</v>
      </c>
      <c r="V516" s="37" t="e">
        <v>#N/A</v>
      </c>
      <c r="W516" s="31" t="s">
        <v>33</v>
      </c>
      <c r="X516" s="37"/>
      <c r="Y516" s="37">
        <f>COUNTIF(F:F,F516)</f>
        <v>1</v>
      </c>
      <c r="Z516" s="21" t="s">
        <v>1106</v>
      </c>
      <c r="AA516" s="21" t="s">
        <v>242</v>
      </c>
      <c r="AB516" s="21" t="s">
        <v>1119</v>
      </c>
    </row>
    <row r="517" spans="1:28" ht="13.9" customHeight="1" x14ac:dyDescent="0.3">
      <c r="A517" s="36" t="s">
        <v>20</v>
      </c>
      <c r="B517" s="36" t="s">
        <v>21</v>
      </c>
      <c r="C517" s="36" t="s">
        <v>22</v>
      </c>
      <c r="D517" s="36" t="s">
        <v>23</v>
      </c>
      <c r="E517" s="36" t="s">
        <v>653</v>
      </c>
      <c r="F517" s="31" t="s">
        <v>654</v>
      </c>
      <c r="G517" s="36" t="s">
        <v>26</v>
      </c>
      <c r="H517" s="36" t="s">
        <v>36</v>
      </c>
      <c r="I517" s="36">
        <v>3</v>
      </c>
      <c r="J517" s="36" t="s">
        <v>37</v>
      </c>
      <c r="K517" s="36" t="s">
        <v>38</v>
      </c>
      <c r="L517" s="38">
        <v>106.0615016</v>
      </c>
      <c r="M517" s="38">
        <v>10.3543246</v>
      </c>
      <c r="N517" s="38" t="s">
        <v>173</v>
      </c>
      <c r="O517" s="39">
        <v>0</v>
      </c>
      <c r="P517" s="36" t="s">
        <v>39</v>
      </c>
      <c r="Q517" s="30" t="s">
        <v>31</v>
      </c>
      <c r="R517" s="40" t="s">
        <v>47</v>
      </c>
      <c r="S517" s="35">
        <v>48080</v>
      </c>
      <c r="T517" s="36" t="s">
        <v>242</v>
      </c>
      <c r="U517" s="30" t="s">
        <v>242</v>
      </c>
      <c r="V517" s="37" t="e">
        <v>#N/A</v>
      </c>
      <c r="W517" s="31" t="s">
        <v>63</v>
      </c>
      <c r="X517" s="37" t="s">
        <v>52</v>
      </c>
      <c r="Y517" s="37">
        <f>COUNTIF(F:F,F517)</f>
        <v>3</v>
      </c>
      <c r="Z517" s="21" t="s">
        <v>1106</v>
      </c>
      <c r="AA517" s="21" t="s">
        <v>242</v>
      </c>
      <c r="AB517" s="21" t="s">
        <v>1119</v>
      </c>
    </row>
    <row r="518" spans="1:28" ht="13.9" customHeight="1" x14ac:dyDescent="0.3">
      <c r="A518" s="30" t="s">
        <v>20</v>
      </c>
      <c r="B518" s="30" t="s">
        <v>21</v>
      </c>
      <c r="C518" s="30" t="s">
        <v>22</v>
      </c>
      <c r="D518" s="30" t="s">
        <v>23</v>
      </c>
      <c r="E518" s="30" t="s">
        <v>654</v>
      </c>
      <c r="F518" s="31" t="s">
        <v>654</v>
      </c>
      <c r="G518" s="30" t="s">
        <v>26</v>
      </c>
      <c r="H518" s="30" t="s">
        <v>36</v>
      </c>
      <c r="I518" s="30">
        <v>3</v>
      </c>
      <c r="J518" s="30" t="s">
        <v>37</v>
      </c>
      <c r="K518" s="30" t="s">
        <v>38</v>
      </c>
      <c r="L518" s="32">
        <v>106.059601</v>
      </c>
      <c r="M518" s="32">
        <v>10.330411099999999</v>
      </c>
      <c r="N518" s="32" t="s">
        <v>173</v>
      </c>
      <c r="O518" s="33">
        <v>0</v>
      </c>
      <c r="P518" s="30" t="s">
        <v>39</v>
      </c>
      <c r="Q518" s="30" t="s">
        <v>31</v>
      </c>
      <c r="R518" s="34" t="s">
        <v>47</v>
      </c>
      <c r="S518" s="35">
        <v>48080</v>
      </c>
      <c r="T518" s="36" t="s">
        <v>242</v>
      </c>
      <c r="U518" s="30" t="s">
        <v>242</v>
      </c>
      <c r="V518" s="37" t="e">
        <v>#N/A</v>
      </c>
      <c r="W518" s="31" t="s">
        <v>33</v>
      </c>
      <c r="X518" s="37" t="s">
        <v>42</v>
      </c>
      <c r="Y518" s="37">
        <f>COUNTIF(F:F,F518)</f>
        <v>3</v>
      </c>
      <c r="Z518" s="21" t="s">
        <v>1106</v>
      </c>
      <c r="AA518" s="21" t="s">
        <v>242</v>
      </c>
      <c r="AB518" s="21" t="s">
        <v>1119</v>
      </c>
    </row>
    <row r="519" spans="1:28" ht="13.9" customHeight="1" x14ac:dyDescent="0.3">
      <c r="A519" s="36" t="s">
        <v>20</v>
      </c>
      <c r="B519" s="36" t="s">
        <v>21</v>
      </c>
      <c r="C519" s="36" t="s">
        <v>22</v>
      </c>
      <c r="D519" s="36" t="s">
        <v>23</v>
      </c>
      <c r="E519" s="36" t="s">
        <v>655</v>
      </c>
      <c r="F519" s="31" t="s">
        <v>654</v>
      </c>
      <c r="G519" s="36" t="s">
        <v>26</v>
      </c>
      <c r="H519" s="36" t="s">
        <v>27</v>
      </c>
      <c r="I519" s="36">
        <v>3</v>
      </c>
      <c r="J519" s="36"/>
      <c r="K519" s="36"/>
      <c r="L519" s="38">
        <v>106.07579990000001</v>
      </c>
      <c r="M519" s="38">
        <v>10.3249119</v>
      </c>
      <c r="N519" s="38" t="s">
        <v>173</v>
      </c>
      <c r="O519" s="39">
        <v>0</v>
      </c>
      <c r="P519" s="36" t="s">
        <v>30</v>
      </c>
      <c r="Q519" s="30" t="s">
        <v>31</v>
      </c>
      <c r="R519" s="40" t="s">
        <v>47</v>
      </c>
      <c r="S519" s="35">
        <v>48080</v>
      </c>
      <c r="T519" s="36" t="s">
        <v>242</v>
      </c>
      <c r="U519" s="30" t="s">
        <v>242</v>
      </c>
      <c r="V519" s="37" t="e">
        <v>#N/A</v>
      </c>
      <c r="W519" s="31" t="s">
        <v>63</v>
      </c>
      <c r="X519" s="37" t="s">
        <v>52</v>
      </c>
      <c r="Y519" s="37">
        <f>COUNTIF(F:F,F519)</f>
        <v>3</v>
      </c>
      <c r="Z519" s="21" t="s">
        <v>1106</v>
      </c>
      <c r="AA519" s="21" t="s">
        <v>242</v>
      </c>
      <c r="AB519" s="21" t="s">
        <v>1119</v>
      </c>
    </row>
    <row r="520" spans="1:28" ht="13.9" customHeight="1" x14ac:dyDescent="0.3">
      <c r="A520" s="30" t="s">
        <v>20</v>
      </c>
      <c r="B520" s="30" t="s">
        <v>21</v>
      </c>
      <c r="C520" s="30" t="s">
        <v>22</v>
      </c>
      <c r="D520" s="30" t="s">
        <v>23</v>
      </c>
      <c r="E520" s="30" t="s">
        <v>667</v>
      </c>
      <c r="F520" s="31" t="s">
        <v>667</v>
      </c>
      <c r="G520" s="30" t="s">
        <v>26</v>
      </c>
      <c r="H520" s="30" t="s">
        <v>36</v>
      </c>
      <c r="I520" s="30">
        <v>4</v>
      </c>
      <c r="J520" s="30"/>
      <c r="K520" s="30"/>
      <c r="L520" s="32">
        <v>106.05632230000001</v>
      </c>
      <c r="M520" s="32">
        <v>10.390164</v>
      </c>
      <c r="N520" s="32" t="s">
        <v>173</v>
      </c>
      <c r="O520" s="33">
        <v>0</v>
      </c>
      <c r="P520" s="30" t="s">
        <v>109</v>
      </c>
      <c r="Q520" s="30" t="s">
        <v>31</v>
      </c>
      <c r="R520" s="34" t="s">
        <v>47</v>
      </c>
      <c r="S520" s="35">
        <v>48080</v>
      </c>
      <c r="T520" s="36" t="s">
        <v>242</v>
      </c>
      <c r="U520" s="30" t="s">
        <v>242</v>
      </c>
      <c r="V520" s="37" t="e">
        <v>#N/A</v>
      </c>
      <c r="W520" s="31" t="s">
        <v>33</v>
      </c>
      <c r="X520" s="37"/>
      <c r="Y520" s="37">
        <f>COUNTIF(F:F,F520)</f>
        <v>1</v>
      </c>
      <c r="Z520" s="21" t="s">
        <v>1106</v>
      </c>
      <c r="AA520" s="21" t="s">
        <v>242</v>
      </c>
      <c r="AB520" s="21" t="s">
        <v>1119</v>
      </c>
    </row>
    <row r="521" spans="1:28" ht="13.9" customHeight="1" x14ac:dyDescent="0.3">
      <c r="A521" s="30" t="s">
        <v>20</v>
      </c>
      <c r="B521" s="30" t="s">
        <v>21</v>
      </c>
      <c r="C521" s="30" t="s">
        <v>22</v>
      </c>
      <c r="D521" s="30" t="s">
        <v>23</v>
      </c>
      <c r="E521" s="30" t="s">
        <v>659</v>
      </c>
      <c r="F521" s="31" t="s">
        <v>659</v>
      </c>
      <c r="G521" s="30" t="s">
        <v>26</v>
      </c>
      <c r="H521" s="30" t="s">
        <v>27</v>
      </c>
      <c r="I521" s="30">
        <v>3</v>
      </c>
      <c r="J521" s="30"/>
      <c r="K521" s="30"/>
      <c r="L521" s="32">
        <v>106.088064</v>
      </c>
      <c r="M521" s="32">
        <v>10.307101299999999</v>
      </c>
      <c r="N521" s="32" t="s">
        <v>173</v>
      </c>
      <c r="O521" s="33">
        <v>0</v>
      </c>
      <c r="P521" s="30" t="s">
        <v>30</v>
      </c>
      <c r="Q521" s="30" t="s">
        <v>31</v>
      </c>
      <c r="R521" s="34" t="s">
        <v>47</v>
      </c>
      <c r="S521" s="35">
        <v>48080</v>
      </c>
      <c r="T521" s="36" t="s">
        <v>242</v>
      </c>
      <c r="U521" s="30" t="s">
        <v>242</v>
      </c>
      <c r="V521" s="37" t="e">
        <v>#N/A</v>
      </c>
      <c r="W521" s="31" t="s">
        <v>33</v>
      </c>
      <c r="X521" s="37"/>
      <c r="Y521" s="37">
        <f>COUNTIF(F:F,F521)</f>
        <v>1</v>
      </c>
      <c r="Z521" s="21" t="s">
        <v>1106</v>
      </c>
      <c r="AA521" s="21" t="s">
        <v>242</v>
      </c>
      <c r="AB521" s="21" t="s">
        <v>1119</v>
      </c>
    </row>
    <row r="522" spans="1:28" ht="13.9" customHeight="1" x14ac:dyDescent="0.3">
      <c r="A522" s="30" t="s">
        <v>20</v>
      </c>
      <c r="B522" s="30" t="s">
        <v>21</v>
      </c>
      <c r="C522" s="30" t="s">
        <v>22</v>
      </c>
      <c r="D522" s="30" t="s">
        <v>23</v>
      </c>
      <c r="E522" s="30" t="s">
        <v>660</v>
      </c>
      <c r="F522" s="31" t="s">
        <v>660</v>
      </c>
      <c r="G522" s="30" t="s">
        <v>26</v>
      </c>
      <c r="H522" s="30" t="s">
        <v>27</v>
      </c>
      <c r="I522" s="30">
        <v>3</v>
      </c>
      <c r="J522" s="30"/>
      <c r="K522" s="30"/>
      <c r="L522" s="32">
        <v>106.0629677</v>
      </c>
      <c r="M522" s="32">
        <v>10.302440499999999</v>
      </c>
      <c r="N522" s="32" t="s">
        <v>173</v>
      </c>
      <c r="O522" s="33">
        <v>0</v>
      </c>
      <c r="P522" s="30" t="s">
        <v>30</v>
      </c>
      <c r="Q522" s="30" t="s">
        <v>31</v>
      </c>
      <c r="R522" s="34" t="s">
        <v>47</v>
      </c>
      <c r="S522" s="35">
        <v>48080</v>
      </c>
      <c r="T522" s="36" t="s">
        <v>242</v>
      </c>
      <c r="U522" s="30" t="s">
        <v>242</v>
      </c>
      <c r="V522" s="37" t="e">
        <v>#N/A</v>
      </c>
      <c r="W522" s="31" t="s">
        <v>33</v>
      </c>
      <c r="X522" s="37"/>
      <c r="Y522" s="37">
        <f>COUNTIF(F:F,F522)</f>
        <v>1</v>
      </c>
      <c r="Z522" s="21" t="s">
        <v>1106</v>
      </c>
      <c r="AA522" s="21" t="s">
        <v>242</v>
      </c>
      <c r="AB522" s="21" t="s">
        <v>1119</v>
      </c>
    </row>
    <row r="523" spans="1:28" ht="13.9" customHeight="1" x14ac:dyDescent="0.3">
      <c r="A523" s="30" t="s">
        <v>20</v>
      </c>
      <c r="B523" s="30" t="s">
        <v>21</v>
      </c>
      <c r="C523" s="30" t="s">
        <v>22</v>
      </c>
      <c r="D523" s="30" t="s">
        <v>23</v>
      </c>
      <c r="E523" s="30" t="s">
        <v>661</v>
      </c>
      <c r="F523" s="31" t="s">
        <v>661</v>
      </c>
      <c r="G523" s="30" t="s">
        <v>26</v>
      </c>
      <c r="H523" s="30" t="s">
        <v>36</v>
      </c>
      <c r="I523" s="30">
        <v>3</v>
      </c>
      <c r="J523" s="30" t="s">
        <v>37</v>
      </c>
      <c r="K523" s="30" t="s">
        <v>38</v>
      </c>
      <c r="L523" s="32">
        <v>106.04050770000001</v>
      </c>
      <c r="M523" s="32">
        <v>10.317508800000001</v>
      </c>
      <c r="N523" s="32" t="s">
        <v>173</v>
      </c>
      <c r="O523" s="33">
        <v>0</v>
      </c>
      <c r="P523" s="30" t="s">
        <v>39</v>
      </c>
      <c r="Q523" s="30" t="s">
        <v>31</v>
      </c>
      <c r="R523" s="34" t="s">
        <v>47</v>
      </c>
      <c r="S523" s="35">
        <v>48080</v>
      </c>
      <c r="T523" s="36" t="s">
        <v>242</v>
      </c>
      <c r="U523" s="30" t="s">
        <v>242</v>
      </c>
      <c r="V523" s="37" t="e">
        <v>#N/A</v>
      </c>
      <c r="W523" s="31" t="s">
        <v>33</v>
      </c>
      <c r="X523" s="37"/>
      <c r="Y523" s="37">
        <f>COUNTIF(F:F,F523)</f>
        <v>1</v>
      </c>
      <c r="Z523" s="21" t="s">
        <v>1106</v>
      </c>
      <c r="AA523" s="21" t="s">
        <v>242</v>
      </c>
      <c r="AB523" s="21" t="s">
        <v>1119</v>
      </c>
    </row>
    <row r="524" spans="1:28" ht="13.9" customHeight="1" x14ac:dyDescent="0.3">
      <c r="A524" s="30" t="s">
        <v>20</v>
      </c>
      <c r="B524" s="30" t="s">
        <v>21</v>
      </c>
      <c r="C524" s="30" t="s">
        <v>22</v>
      </c>
      <c r="D524" s="30" t="s">
        <v>23</v>
      </c>
      <c r="E524" s="30" t="s">
        <v>662</v>
      </c>
      <c r="F524" s="31" t="s">
        <v>662</v>
      </c>
      <c r="G524" s="30" t="s">
        <v>26</v>
      </c>
      <c r="H524" s="30" t="s">
        <v>27</v>
      </c>
      <c r="I524" s="30">
        <v>3</v>
      </c>
      <c r="J524" s="30"/>
      <c r="K524" s="30"/>
      <c r="L524" s="32">
        <v>106.08324</v>
      </c>
      <c r="M524" s="32">
        <v>10.28884</v>
      </c>
      <c r="N524" s="32" t="s">
        <v>173</v>
      </c>
      <c r="O524" s="33">
        <v>0</v>
      </c>
      <c r="P524" s="30" t="s">
        <v>30</v>
      </c>
      <c r="Q524" s="30" t="s">
        <v>31</v>
      </c>
      <c r="R524" s="34" t="s">
        <v>47</v>
      </c>
      <c r="S524" s="35">
        <v>48080</v>
      </c>
      <c r="T524" s="36" t="s">
        <v>242</v>
      </c>
      <c r="U524" s="30" t="s">
        <v>242</v>
      </c>
      <c r="V524" s="37" t="e">
        <v>#N/A</v>
      </c>
      <c r="W524" s="31" t="s">
        <v>33</v>
      </c>
      <c r="X524" s="37"/>
      <c r="Y524" s="37">
        <f>COUNTIF(F:F,F524)</f>
        <v>1</v>
      </c>
      <c r="Z524" s="21" t="s">
        <v>1106</v>
      </c>
      <c r="AA524" s="21" t="s">
        <v>242</v>
      </c>
      <c r="AB524" s="21" t="s">
        <v>1119</v>
      </c>
    </row>
    <row r="525" spans="1:28" ht="13.9" customHeight="1" x14ac:dyDescent="0.3">
      <c r="A525" s="41" t="s">
        <v>20</v>
      </c>
      <c r="B525" s="41" t="s">
        <v>21</v>
      </c>
      <c r="C525" s="41" t="s">
        <v>22</v>
      </c>
      <c r="D525" s="41" t="s">
        <v>23</v>
      </c>
      <c r="E525" s="41" t="s">
        <v>656</v>
      </c>
      <c r="F525" s="31" t="s">
        <v>657</v>
      </c>
      <c r="G525" s="41" t="s">
        <v>26</v>
      </c>
      <c r="H525" s="36" t="s">
        <v>36</v>
      </c>
      <c r="I525" s="36">
        <v>3</v>
      </c>
      <c r="J525" s="36"/>
      <c r="K525" s="36"/>
      <c r="L525" s="38">
        <v>106.02995</v>
      </c>
      <c r="M525" s="38">
        <v>10.365790000000001</v>
      </c>
      <c r="N525" s="38" t="s">
        <v>46</v>
      </c>
      <c r="O525" s="39">
        <v>0</v>
      </c>
      <c r="P525" s="36" t="s">
        <v>109</v>
      </c>
      <c r="Q525" s="41" t="s">
        <v>31</v>
      </c>
      <c r="R525" s="42" t="s">
        <v>47</v>
      </c>
      <c r="S525" s="14">
        <v>48000</v>
      </c>
      <c r="T525" s="36" t="s">
        <v>649</v>
      </c>
      <c r="U525" s="30" t="s">
        <v>242</v>
      </c>
      <c r="V525" s="37" t="e">
        <v>#N/A</v>
      </c>
      <c r="W525" s="31" t="s">
        <v>63</v>
      </c>
      <c r="X525" s="37" t="s">
        <v>52</v>
      </c>
      <c r="Y525" s="37">
        <f>COUNTIF(F:F,F525)</f>
        <v>3</v>
      </c>
      <c r="Z525" s="21" t="s">
        <v>1106</v>
      </c>
      <c r="AA525" s="21" t="s">
        <v>242</v>
      </c>
      <c r="AB525" s="21" t="s">
        <v>1119</v>
      </c>
    </row>
    <row r="526" spans="1:28" ht="13.9" customHeight="1" x14ac:dyDescent="0.3">
      <c r="A526" s="30" t="s">
        <v>20</v>
      </c>
      <c r="B526" s="30" t="s">
        <v>21</v>
      </c>
      <c r="C526" s="30" t="s">
        <v>22</v>
      </c>
      <c r="D526" s="30" t="s">
        <v>23</v>
      </c>
      <c r="E526" s="30" t="s">
        <v>657</v>
      </c>
      <c r="F526" s="31" t="s">
        <v>657</v>
      </c>
      <c r="G526" s="30" t="s">
        <v>26</v>
      </c>
      <c r="H526" s="30" t="s">
        <v>36</v>
      </c>
      <c r="I526" s="30">
        <v>4</v>
      </c>
      <c r="J526" s="30" t="s">
        <v>37</v>
      </c>
      <c r="K526" s="30" t="s">
        <v>38</v>
      </c>
      <c r="L526" s="32">
        <v>106.03728</v>
      </c>
      <c r="M526" s="32">
        <v>10.358169999999999</v>
      </c>
      <c r="N526" s="32" t="s">
        <v>173</v>
      </c>
      <c r="O526" s="33">
        <v>0</v>
      </c>
      <c r="P526" s="30" t="s">
        <v>39</v>
      </c>
      <c r="Q526" s="30" t="s">
        <v>31</v>
      </c>
      <c r="R526" s="34" t="s">
        <v>47</v>
      </c>
      <c r="S526" s="35">
        <v>48080</v>
      </c>
      <c r="T526" s="36" t="s">
        <v>242</v>
      </c>
      <c r="U526" s="30" t="s">
        <v>242</v>
      </c>
      <c r="V526" s="37" t="e">
        <v>#N/A</v>
      </c>
      <c r="W526" s="31" t="s">
        <v>33</v>
      </c>
      <c r="X526" s="37" t="s">
        <v>42</v>
      </c>
      <c r="Y526" s="37">
        <f>COUNTIF(F:F,F526)</f>
        <v>3</v>
      </c>
      <c r="Z526" s="21" t="s">
        <v>1106</v>
      </c>
      <c r="AA526" s="21" t="s">
        <v>242</v>
      </c>
      <c r="AB526" s="21" t="s">
        <v>1119</v>
      </c>
    </row>
    <row r="527" spans="1:28" ht="13.9" customHeight="1" x14ac:dyDescent="0.3">
      <c r="A527" s="36" t="s">
        <v>20</v>
      </c>
      <c r="B527" s="36" t="s">
        <v>21</v>
      </c>
      <c r="C527" s="36" t="s">
        <v>22</v>
      </c>
      <c r="D527" s="36" t="s">
        <v>23</v>
      </c>
      <c r="E527" s="36" t="s">
        <v>658</v>
      </c>
      <c r="F527" s="31" t="s">
        <v>657</v>
      </c>
      <c r="G527" s="36" t="s">
        <v>26</v>
      </c>
      <c r="H527" s="36" t="s">
        <v>36</v>
      </c>
      <c r="I527" s="36">
        <v>3</v>
      </c>
      <c r="J527" s="36"/>
      <c r="K527" s="36"/>
      <c r="L527" s="38">
        <v>106.03791</v>
      </c>
      <c r="M527" s="38">
        <v>10.351380000000001</v>
      </c>
      <c r="N527" s="38" t="s">
        <v>173</v>
      </c>
      <c r="O527" s="39">
        <v>0</v>
      </c>
      <c r="P527" s="36" t="s">
        <v>109</v>
      </c>
      <c r="Q527" s="30" t="s">
        <v>31</v>
      </c>
      <c r="R527" s="40" t="s">
        <v>47</v>
      </c>
      <c r="S527" s="35">
        <v>48080</v>
      </c>
      <c r="T527" s="36" t="s">
        <v>242</v>
      </c>
      <c r="U527" s="30" t="s">
        <v>242</v>
      </c>
      <c r="V527" s="37" t="e">
        <v>#N/A</v>
      </c>
      <c r="W527" s="31" t="s">
        <v>63</v>
      </c>
      <c r="X527" s="37" t="s">
        <v>52</v>
      </c>
      <c r="Y527" s="37">
        <f>COUNTIF(F:F,F527)</f>
        <v>3</v>
      </c>
      <c r="Z527" s="21" t="s">
        <v>1106</v>
      </c>
      <c r="AA527" s="21" t="s">
        <v>242</v>
      </c>
      <c r="AB527" s="21" t="s">
        <v>1119</v>
      </c>
    </row>
    <row r="528" spans="1:28" ht="13.9" customHeight="1" x14ac:dyDescent="0.3">
      <c r="A528" s="30" t="s">
        <v>20</v>
      </c>
      <c r="B528" s="30" t="s">
        <v>21</v>
      </c>
      <c r="C528" s="30" t="s">
        <v>22</v>
      </c>
      <c r="D528" s="30" t="s">
        <v>23</v>
      </c>
      <c r="E528" s="30" t="s">
        <v>668</v>
      </c>
      <c r="F528" s="31" t="s">
        <v>668</v>
      </c>
      <c r="G528" s="30" t="s">
        <v>26</v>
      </c>
      <c r="H528" s="30" t="s">
        <v>36</v>
      </c>
      <c r="I528" s="30">
        <v>4</v>
      </c>
      <c r="J528" s="30" t="s">
        <v>37</v>
      </c>
      <c r="K528" s="30" t="s">
        <v>38</v>
      </c>
      <c r="L528" s="32">
        <v>106.04537000000001</v>
      </c>
      <c r="M528" s="32">
        <v>10.3866721</v>
      </c>
      <c r="N528" s="32" t="s">
        <v>173</v>
      </c>
      <c r="O528" s="33">
        <v>0</v>
      </c>
      <c r="P528" s="30" t="s">
        <v>39</v>
      </c>
      <c r="Q528" s="30" t="s">
        <v>31</v>
      </c>
      <c r="R528" s="34" t="s">
        <v>47</v>
      </c>
      <c r="S528" s="35">
        <v>48080</v>
      </c>
      <c r="T528" s="36" t="s">
        <v>242</v>
      </c>
      <c r="U528" s="30" t="s">
        <v>242</v>
      </c>
      <c r="V528" s="37" t="e">
        <v>#N/A</v>
      </c>
      <c r="W528" s="31" t="s">
        <v>33</v>
      </c>
      <c r="X528" s="37"/>
      <c r="Y528" s="37">
        <f>COUNTIF(F:F,F528)</f>
        <v>1</v>
      </c>
      <c r="Z528" s="21" t="s">
        <v>1106</v>
      </c>
      <c r="AA528" s="21" t="s">
        <v>242</v>
      </c>
      <c r="AB528" s="21" t="s">
        <v>1119</v>
      </c>
    </row>
    <row r="529" spans="1:28" ht="13.9" customHeight="1" x14ac:dyDescent="0.3">
      <c r="A529" s="30" t="s">
        <v>20</v>
      </c>
      <c r="B529" s="30" t="s">
        <v>21</v>
      </c>
      <c r="C529" s="30" t="s">
        <v>22</v>
      </c>
      <c r="D529" s="30" t="s">
        <v>23</v>
      </c>
      <c r="E529" s="30" t="s">
        <v>663</v>
      </c>
      <c r="F529" s="31" t="s">
        <v>663</v>
      </c>
      <c r="G529" s="30" t="s">
        <v>26</v>
      </c>
      <c r="H529" s="30" t="s">
        <v>27</v>
      </c>
      <c r="I529" s="30">
        <v>3</v>
      </c>
      <c r="J529" s="30"/>
      <c r="K529" s="30"/>
      <c r="L529" s="32">
        <v>106.10227999999999</v>
      </c>
      <c r="M529" s="32">
        <v>10.295076</v>
      </c>
      <c r="N529" s="32" t="s">
        <v>173</v>
      </c>
      <c r="O529" s="33">
        <v>0</v>
      </c>
      <c r="P529" s="30" t="s">
        <v>30</v>
      </c>
      <c r="Q529" s="30" t="s">
        <v>31</v>
      </c>
      <c r="R529" s="34" t="s">
        <v>47</v>
      </c>
      <c r="S529" s="35">
        <v>48080</v>
      </c>
      <c r="T529" s="36" t="s">
        <v>242</v>
      </c>
      <c r="U529" s="30" t="s">
        <v>242</v>
      </c>
      <c r="V529" s="37" t="e">
        <v>#N/A</v>
      </c>
      <c r="W529" s="31" t="s">
        <v>33</v>
      </c>
      <c r="X529" s="37"/>
      <c r="Y529" s="37">
        <f>COUNTIF(F:F,F529)</f>
        <v>1</v>
      </c>
      <c r="Z529" s="21" t="s">
        <v>1106</v>
      </c>
      <c r="AA529" s="21" t="s">
        <v>242</v>
      </c>
      <c r="AB529" s="21" t="s">
        <v>1119</v>
      </c>
    </row>
    <row r="530" spans="1:28" ht="13.9" customHeight="1" x14ac:dyDescent="0.3">
      <c r="A530" s="30" t="s">
        <v>20</v>
      </c>
      <c r="B530" s="30" t="s">
        <v>21</v>
      </c>
      <c r="C530" s="30" t="s">
        <v>22</v>
      </c>
      <c r="D530" s="30" t="s">
        <v>23</v>
      </c>
      <c r="E530" s="30" t="s">
        <v>670</v>
      </c>
      <c r="F530" s="31" t="s">
        <v>670</v>
      </c>
      <c r="G530" s="30" t="s">
        <v>26</v>
      </c>
      <c r="H530" s="30" t="s">
        <v>27</v>
      </c>
      <c r="I530" s="30">
        <v>3</v>
      </c>
      <c r="J530" s="30"/>
      <c r="K530" s="30"/>
      <c r="L530" s="32">
        <v>106.08147</v>
      </c>
      <c r="M530" s="32">
        <v>10.339437999999999</v>
      </c>
      <c r="N530" s="32" t="s">
        <v>173</v>
      </c>
      <c r="O530" s="33">
        <v>0</v>
      </c>
      <c r="P530" s="30" t="s">
        <v>30</v>
      </c>
      <c r="Q530" s="30" t="s">
        <v>31</v>
      </c>
      <c r="R530" s="34" t="s">
        <v>47</v>
      </c>
      <c r="S530" s="35">
        <v>48080</v>
      </c>
      <c r="T530" s="36" t="s">
        <v>242</v>
      </c>
      <c r="U530" s="30" t="s">
        <v>242</v>
      </c>
      <c r="V530" s="37" t="e">
        <v>#N/A</v>
      </c>
      <c r="W530" s="31" t="s">
        <v>33</v>
      </c>
      <c r="X530" s="37"/>
      <c r="Y530" s="37">
        <f>COUNTIF(F:F,F530)</f>
        <v>1</v>
      </c>
      <c r="Z530" s="21" t="s">
        <v>1106</v>
      </c>
      <c r="AA530" s="21" t="s">
        <v>242</v>
      </c>
      <c r="AB530" s="21" t="s">
        <v>1119</v>
      </c>
    </row>
    <row r="531" spans="1:28" ht="13.9" customHeight="1" x14ac:dyDescent="0.3">
      <c r="A531" s="30" t="s">
        <v>20</v>
      </c>
      <c r="B531" s="30" t="s">
        <v>21</v>
      </c>
      <c r="C531" s="30" t="s">
        <v>22</v>
      </c>
      <c r="D531" s="30" t="s">
        <v>23</v>
      </c>
      <c r="E531" s="30" t="s">
        <v>684</v>
      </c>
      <c r="F531" s="31" t="s">
        <v>684</v>
      </c>
      <c r="G531" s="30" t="s">
        <v>26</v>
      </c>
      <c r="H531" s="30" t="s">
        <v>36</v>
      </c>
      <c r="I531" s="30">
        <v>4</v>
      </c>
      <c r="J531" s="30" t="s">
        <v>26</v>
      </c>
      <c r="K531" s="30" t="s">
        <v>405</v>
      </c>
      <c r="L531" s="32">
        <v>106.03294</v>
      </c>
      <c r="M531" s="32">
        <v>10.33548</v>
      </c>
      <c r="N531" s="32" t="s">
        <v>46</v>
      </c>
      <c r="O531" s="33">
        <v>0</v>
      </c>
      <c r="P531" s="30" t="s">
        <v>271</v>
      </c>
      <c r="Q531" s="30" t="s">
        <v>31</v>
      </c>
      <c r="R531" s="34" t="s">
        <v>47</v>
      </c>
      <c r="S531" s="35">
        <v>48000</v>
      </c>
      <c r="T531" s="36" t="s">
        <v>672</v>
      </c>
      <c r="U531" s="30" t="s">
        <v>672</v>
      </c>
      <c r="V531" s="37" t="e">
        <v>#N/A</v>
      </c>
      <c r="W531" s="31" t="s">
        <v>33</v>
      </c>
      <c r="X531" s="37"/>
      <c r="Y531" s="37">
        <f>COUNTIF(F:F,F531)</f>
        <v>1</v>
      </c>
      <c r="Z531" s="21" t="s">
        <v>1116</v>
      </c>
      <c r="AA531" s="21" t="s">
        <v>672</v>
      </c>
      <c r="AB531" s="21" t="s">
        <v>1121</v>
      </c>
    </row>
    <row r="532" spans="1:28" ht="13.9" customHeight="1" x14ac:dyDescent="0.3">
      <c r="A532" s="30" t="s">
        <v>20</v>
      </c>
      <c r="B532" s="30" t="s">
        <v>21</v>
      </c>
      <c r="C532" s="30" t="s">
        <v>22</v>
      </c>
      <c r="D532" s="30" t="s">
        <v>23</v>
      </c>
      <c r="E532" s="30" t="s">
        <v>671</v>
      </c>
      <c r="F532" s="31" t="s">
        <v>671</v>
      </c>
      <c r="G532" s="30" t="s">
        <v>26</v>
      </c>
      <c r="H532" s="30" t="s">
        <v>36</v>
      </c>
      <c r="I532" s="30">
        <v>3</v>
      </c>
      <c r="J532" s="30" t="s">
        <v>37</v>
      </c>
      <c r="K532" s="30" t="s">
        <v>38</v>
      </c>
      <c r="L532" s="32">
        <v>106.03185740000001</v>
      </c>
      <c r="M532" s="32">
        <v>10.330155</v>
      </c>
      <c r="N532" s="32" t="s">
        <v>46</v>
      </c>
      <c r="O532" s="33">
        <v>0</v>
      </c>
      <c r="P532" s="30" t="s">
        <v>39</v>
      </c>
      <c r="Q532" s="30" t="s">
        <v>31</v>
      </c>
      <c r="R532" s="34" t="s">
        <v>47</v>
      </c>
      <c r="S532" s="35">
        <v>48000</v>
      </c>
      <c r="T532" s="36" t="s">
        <v>672</v>
      </c>
      <c r="U532" s="30" t="s">
        <v>672</v>
      </c>
      <c r="V532" s="37" t="e">
        <v>#N/A</v>
      </c>
      <c r="W532" s="31" t="s">
        <v>33</v>
      </c>
      <c r="X532" s="37" t="s">
        <v>42</v>
      </c>
      <c r="Y532" s="37">
        <f>COUNTIF(F:F,F532)</f>
        <v>2</v>
      </c>
      <c r="Z532" s="21" t="s">
        <v>1116</v>
      </c>
      <c r="AA532" s="21" t="s">
        <v>672</v>
      </c>
      <c r="AB532" s="21" t="s">
        <v>1121</v>
      </c>
    </row>
    <row r="533" spans="1:28" ht="13.9" customHeight="1" x14ac:dyDescent="0.3">
      <c r="A533" s="41" t="s">
        <v>20</v>
      </c>
      <c r="B533" s="41" t="s">
        <v>21</v>
      </c>
      <c r="C533" s="36" t="s">
        <v>22</v>
      </c>
      <c r="D533" s="36" t="s">
        <v>23</v>
      </c>
      <c r="E533" s="36" t="s">
        <v>673</v>
      </c>
      <c r="F533" s="31" t="s">
        <v>671</v>
      </c>
      <c r="G533" s="36" t="s">
        <v>26</v>
      </c>
      <c r="H533" s="36" t="s">
        <v>36</v>
      </c>
      <c r="I533" s="36">
        <v>3</v>
      </c>
      <c r="J533" s="36" t="s">
        <v>37</v>
      </c>
      <c r="K533" s="36" t="s">
        <v>38</v>
      </c>
      <c r="L533" s="38">
        <v>106.01599589999999</v>
      </c>
      <c r="M533" s="38">
        <v>10.3270254</v>
      </c>
      <c r="N533" s="38" t="s">
        <v>46</v>
      </c>
      <c r="O533" s="39">
        <v>0</v>
      </c>
      <c r="P533" s="36" t="s">
        <v>39</v>
      </c>
      <c r="Q533" s="36" t="s">
        <v>31</v>
      </c>
      <c r="R533" s="40" t="s">
        <v>47</v>
      </c>
      <c r="S533" s="35">
        <v>48000</v>
      </c>
      <c r="T533" s="36" t="s">
        <v>672</v>
      </c>
      <c r="U533" s="30" t="s">
        <v>672</v>
      </c>
      <c r="V533" s="37" t="e">
        <v>#N/A</v>
      </c>
      <c r="W533" s="31" t="s">
        <v>63</v>
      </c>
      <c r="X533" s="37" t="s">
        <v>52</v>
      </c>
      <c r="Y533" s="37">
        <f>COUNTIF(F:F,F533)</f>
        <v>2</v>
      </c>
      <c r="Z533" s="21" t="s">
        <v>1116</v>
      </c>
      <c r="AA533" s="21" t="s">
        <v>672</v>
      </c>
      <c r="AB533" s="21" t="s">
        <v>1121</v>
      </c>
    </row>
    <row r="534" spans="1:28" s="22" customFormat="1" ht="13.9" customHeight="1" x14ac:dyDescent="0.3">
      <c r="A534" s="30" t="s">
        <v>20</v>
      </c>
      <c r="B534" s="30" t="s">
        <v>21</v>
      </c>
      <c r="C534" s="30" t="s">
        <v>22</v>
      </c>
      <c r="D534" s="30" t="s">
        <v>23</v>
      </c>
      <c r="E534" s="30" t="s">
        <v>674</v>
      </c>
      <c r="F534" s="31" t="s">
        <v>674</v>
      </c>
      <c r="G534" s="30" t="s">
        <v>26</v>
      </c>
      <c r="H534" s="30" t="s">
        <v>36</v>
      </c>
      <c r="I534" s="30">
        <v>4</v>
      </c>
      <c r="J534" s="30" t="s">
        <v>26</v>
      </c>
      <c r="K534" s="30" t="s">
        <v>405</v>
      </c>
      <c r="L534" s="32">
        <v>106.02031820000001</v>
      </c>
      <c r="M534" s="32">
        <v>10.365577</v>
      </c>
      <c r="N534" s="32" t="s">
        <v>46</v>
      </c>
      <c r="O534" s="33">
        <v>0</v>
      </c>
      <c r="P534" s="30" t="s">
        <v>271</v>
      </c>
      <c r="Q534" s="30" t="s">
        <v>31</v>
      </c>
      <c r="R534" s="34" t="s">
        <v>47</v>
      </c>
      <c r="S534" s="35">
        <v>48000</v>
      </c>
      <c r="T534" s="36" t="s">
        <v>672</v>
      </c>
      <c r="U534" s="30" t="s">
        <v>672</v>
      </c>
      <c r="V534" s="37" t="e">
        <v>#N/A</v>
      </c>
      <c r="W534" s="31" t="s">
        <v>33</v>
      </c>
      <c r="X534" s="37" t="s">
        <v>42</v>
      </c>
      <c r="Y534" s="37">
        <f>COUNTIF(F:F,F534)</f>
        <v>2</v>
      </c>
      <c r="Z534" s="21" t="s">
        <v>1116</v>
      </c>
      <c r="AA534" s="21" t="s">
        <v>672</v>
      </c>
      <c r="AB534" s="21" t="s">
        <v>1121</v>
      </c>
    </row>
    <row r="535" spans="1:28" ht="13.9" customHeight="1" x14ac:dyDescent="0.3">
      <c r="A535" s="41" t="s">
        <v>20</v>
      </c>
      <c r="B535" s="41" t="s">
        <v>21</v>
      </c>
      <c r="C535" s="36" t="s">
        <v>22</v>
      </c>
      <c r="D535" s="36" t="s">
        <v>23</v>
      </c>
      <c r="E535" s="36" t="s">
        <v>675</v>
      </c>
      <c r="F535" s="31" t="s">
        <v>674</v>
      </c>
      <c r="G535" s="36" t="s">
        <v>26</v>
      </c>
      <c r="H535" s="36" t="s">
        <v>36</v>
      </c>
      <c r="I535" s="36">
        <v>4</v>
      </c>
      <c r="J535" s="36" t="s">
        <v>37</v>
      </c>
      <c r="K535" s="36" t="s">
        <v>38</v>
      </c>
      <c r="L535" s="38">
        <v>105.9997666</v>
      </c>
      <c r="M535" s="38">
        <v>10.375502900000001</v>
      </c>
      <c r="N535" s="38" t="s">
        <v>46</v>
      </c>
      <c r="O535" s="39">
        <v>0</v>
      </c>
      <c r="P535" s="36" t="s">
        <v>39</v>
      </c>
      <c r="Q535" s="36" t="s">
        <v>31</v>
      </c>
      <c r="R535" s="40" t="s">
        <v>47</v>
      </c>
      <c r="S535" s="35">
        <v>48000</v>
      </c>
      <c r="T535" s="36" t="s">
        <v>672</v>
      </c>
      <c r="U535" s="30" t="s">
        <v>672</v>
      </c>
      <c r="V535" s="37" t="e">
        <v>#N/A</v>
      </c>
      <c r="W535" s="31" t="s">
        <v>63</v>
      </c>
      <c r="X535" s="37" t="s">
        <v>52</v>
      </c>
      <c r="Y535" s="37">
        <f>COUNTIF(F:F,F535)</f>
        <v>2</v>
      </c>
      <c r="Z535" s="21" t="s">
        <v>1116</v>
      </c>
      <c r="AA535" s="21" t="s">
        <v>672</v>
      </c>
      <c r="AB535" s="21" t="s">
        <v>1121</v>
      </c>
    </row>
    <row r="536" spans="1:28" ht="13.9" customHeight="1" x14ac:dyDescent="0.3">
      <c r="A536" s="30" t="s">
        <v>20</v>
      </c>
      <c r="B536" s="30" t="s">
        <v>21</v>
      </c>
      <c r="C536" s="30" t="s">
        <v>22</v>
      </c>
      <c r="D536" s="30" t="s">
        <v>23</v>
      </c>
      <c r="E536" s="30" t="s">
        <v>686</v>
      </c>
      <c r="F536" s="31" t="s">
        <v>686</v>
      </c>
      <c r="G536" s="30" t="s">
        <v>26</v>
      </c>
      <c r="H536" s="30" t="s">
        <v>36</v>
      </c>
      <c r="I536" s="30">
        <v>4</v>
      </c>
      <c r="J536" s="30" t="s">
        <v>26</v>
      </c>
      <c r="K536" s="30" t="s">
        <v>269</v>
      </c>
      <c r="L536" s="32">
        <v>106.00919039999999</v>
      </c>
      <c r="M536" s="32">
        <v>10.3972949</v>
      </c>
      <c r="N536" s="32" t="s">
        <v>46</v>
      </c>
      <c r="O536" s="33">
        <v>0</v>
      </c>
      <c r="P536" s="30" t="s">
        <v>271</v>
      </c>
      <c r="Q536" s="30" t="s">
        <v>31</v>
      </c>
      <c r="R536" s="34" t="s">
        <v>47</v>
      </c>
      <c r="S536" s="35">
        <v>48000</v>
      </c>
      <c r="T536" s="36" t="s">
        <v>672</v>
      </c>
      <c r="U536" s="30" t="s">
        <v>672</v>
      </c>
      <c r="V536" s="37" t="e">
        <v>#N/A</v>
      </c>
      <c r="W536" s="31" t="s">
        <v>33</v>
      </c>
      <c r="X536" s="37"/>
      <c r="Y536" s="37">
        <f>COUNTIF(F:F,F536)</f>
        <v>1</v>
      </c>
      <c r="Z536" s="21" t="s">
        <v>1116</v>
      </c>
      <c r="AA536" s="21" t="s">
        <v>672</v>
      </c>
      <c r="AB536" s="21" t="s">
        <v>1121</v>
      </c>
    </row>
    <row r="537" spans="1:28" ht="13.9" customHeight="1" x14ac:dyDescent="0.3">
      <c r="A537" s="30" t="s">
        <v>20</v>
      </c>
      <c r="B537" s="30" t="s">
        <v>21</v>
      </c>
      <c r="C537" s="30" t="s">
        <v>22</v>
      </c>
      <c r="D537" s="30" t="s">
        <v>23</v>
      </c>
      <c r="E537" s="30" t="s">
        <v>685</v>
      </c>
      <c r="F537" s="31" t="s">
        <v>685</v>
      </c>
      <c r="G537" s="30" t="s">
        <v>26</v>
      </c>
      <c r="H537" s="30" t="s">
        <v>36</v>
      </c>
      <c r="I537" s="30">
        <v>4</v>
      </c>
      <c r="J537" s="30" t="s">
        <v>26</v>
      </c>
      <c r="K537" s="30" t="s">
        <v>405</v>
      </c>
      <c r="L537" s="32">
        <v>105.97945</v>
      </c>
      <c r="M537" s="32">
        <v>10.35976</v>
      </c>
      <c r="N537" s="32" t="s">
        <v>46</v>
      </c>
      <c r="O537" s="33">
        <v>0</v>
      </c>
      <c r="P537" s="30" t="s">
        <v>271</v>
      </c>
      <c r="Q537" s="30" t="s">
        <v>31</v>
      </c>
      <c r="R537" s="34" t="s">
        <v>47</v>
      </c>
      <c r="S537" s="35">
        <v>48000</v>
      </c>
      <c r="T537" s="36" t="s">
        <v>672</v>
      </c>
      <c r="U537" s="30" t="s">
        <v>672</v>
      </c>
      <c r="V537" s="37" t="e">
        <v>#N/A</v>
      </c>
      <c r="W537" s="31" t="s">
        <v>33</v>
      </c>
      <c r="X537" s="37"/>
      <c r="Y537" s="37">
        <f>COUNTIF(F:F,F537)</f>
        <v>1</v>
      </c>
      <c r="Z537" s="21" t="s">
        <v>1116</v>
      </c>
      <c r="AA537" s="21" t="s">
        <v>672</v>
      </c>
      <c r="AB537" s="21" t="s">
        <v>1121</v>
      </c>
    </row>
    <row r="538" spans="1:28" ht="13.9" customHeight="1" x14ac:dyDescent="0.3">
      <c r="A538" s="30" t="s">
        <v>20</v>
      </c>
      <c r="B538" s="30" t="s">
        <v>21</v>
      </c>
      <c r="C538" s="30" t="s">
        <v>22</v>
      </c>
      <c r="D538" s="30" t="s">
        <v>23</v>
      </c>
      <c r="E538" s="30" t="s">
        <v>687</v>
      </c>
      <c r="F538" s="31" t="s">
        <v>687</v>
      </c>
      <c r="G538" s="30" t="s">
        <v>26</v>
      </c>
      <c r="H538" s="30" t="s">
        <v>36</v>
      </c>
      <c r="I538" s="30">
        <v>4</v>
      </c>
      <c r="J538" s="30" t="s">
        <v>26</v>
      </c>
      <c r="K538" s="30" t="s">
        <v>269</v>
      </c>
      <c r="L538" s="32">
        <v>106.0346175</v>
      </c>
      <c r="M538" s="32">
        <v>10.3424411</v>
      </c>
      <c r="N538" s="32" t="s">
        <v>46</v>
      </c>
      <c r="O538" s="33">
        <v>0</v>
      </c>
      <c r="P538" s="30" t="s">
        <v>271</v>
      </c>
      <c r="Q538" s="30" t="s">
        <v>31</v>
      </c>
      <c r="R538" s="34" t="s">
        <v>47</v>
      </c>
      <c r="S538" s="35">
        <v>48000</v>
      </c>
      <c r="T538" s="36" t="s">
        <v>672</v>
      </c>
      <c r="U538" s="30" t="s">
        <v>672</v>
      </c>
      <c r="V538" s="37" t="e">
        <v>#N/A</v>
      </c>
      <c r="W538" s="31" t="s">
        <v>33</v>
      </c>
      <c r="X538" s="37"/>
      <c r="Y538" s="37">
        <f>COUNTIF(F:F,F538)</f>
        <v>1</v>
      </c>
      <c r="Z538" s="21" t="s">
        <v>1116</v>
      </c>
      <c r="AA538" s="21" t="s">
        <v>672</v>
      </c>
      <c r="AB538" s="21" t="s">
        <v>1121</v>
      </c>
    </row>
    <row r="539" spans="1:28" ht="13.9" customHeight="1" x14ac:dyDescent="0.3">
      <c r="A539" s="30" t="s">
        <v>20</v>
      </c>
      <c r="B539" s="30" t="s">
        <v>21</v>
      </c>
      <c r="C539" s="30" t="s">
        <v>22</v>
      </c>
      <c r="D539" s="30" t="s">
        <v>23</v>
      </c>
      <c r="E539" s="30" t="s">
        <v>688</v>
      </c>
      <c r="F539" s="31" t="s">
        <v>688</v>
      </c>
      <c r="G539" s="30" t="s">
        <v>26</v>
      </c>
      <c r="H539" s="30" t="s">
        <v>36</v>
      </c>
      <c r="I539" s="30">
        <v>4</v>
      </c>
      <c r="J539" s="30" t="s">
        <v>37</v>
      </c>
      <c r="K539" s="30" t="s">
        <v>38</v>
      </c>
      <c r="L539" s="32">
        <v>105.97996999999999</v>
      </c>
      <c r="M539" s="32">
        <v>10.389810000000001</v>
      </c>
      <c r="N539" s="32" t="s">
        <v>46</v>
      </c>
      <c r="O539" s="33">
        <v>0</v>
      </c>
      <c r="P539" s="30" t="s">
        <v>39</v>
      </c>
      <c r="Q539" s="30" t="s">
        <v>31</v>
      </c>
      <c r="R539" s="34" t="s">
        <v>47</v>
      </c>
      <c r="S539" s="35">
        <v>48000</v>
      </c>
      <c r="T539" s="36" t="s">
        <v>672</v>
      </c>
      <c r="U539" s="30" t="s">
        <v>672</v>
      </c>
      <c r="V539" s="37" t="e">
        <v>#N/A</v>
      </c>
      <c r="W539" s="31" t="s">
        <v>33</v>
      </c>
      <c r="X539" s="37"/>
      <c r="Y539" s="37">
        <f>COUNTIF(F:F,F539)</f>
        <v>1</v>
      </c>
      <c r="Z539" s="21" t="s">
        <v>1116</v>
      </c>
      <c r="AA539" s="21" t="s">
        <v>672</v>
      </c>
      <c r="AB539" s="21" t="s">
        <v>1121</v>
      </c>
    </row>
    <row r="540" spans="1:28" ht="13.9" customHeight="1" x14ac:dyDescent="0.3">
      <c r="A540" s="30" t="s">
        <v>20</v>
      </c>
      <c r="B540" s="30" t="s">
        <v>21</v>
      </c>
      <c r="C540" s="30" t="s">
        <v>22</v>
      </c>
      <c r="D540" s="30" t="s">
        <v>23</v>
      </c>
      <c r="E540" s="30" t="s">
        <v>689</v>
      </c>
      <c r="F540" s="31" t="s">
        <v>689</v>
      </c>
      <c r="G540" s="30" t="s">
        <v>26</v>
      </c>
      <c r="H540" s="30" t="s">
        <v>36</v>
      </c>
      <c r="I540" s="30">
        <v>4</v>
      </c>
      <c r="J540" s="30" t="s">
        <v>37</v>
      </c>
      <c r="K540" s="30" t="s">
        <v>38</v>
      </c>
      <c r="L540" s="32">
        <v>106.00269</v>
      </c>
      <c r="M540" s="32">
        <v>10.363160000000001</v>
      </c>
      <c r="N540" s="32" t="s">
        <v>46</v>
      </c>
      <c r="O540" s="33">
        <v>0</v>
      </c>
      <c r="P540" s="30" t="s">
        <v>39</v>
      </c>
      <c r="Q540" s="30" t="s">
        <v>31</v>
      </c>
      <c r="R540" s="34" t="s">
        <v>47</v>
      </c>
      <c r="S540" s="35">
        <v>48000</v>
      </c>
      <c r="T540" s="36" t="s">
        <v>672</v>
      </c>
      <c r="U540" s="30" t="s">
        <v>672</v>
      </c>
      <c r="V540" s="37" t="e">
        <v>#N/A</v>
      </c>
      <c r="W540" s="31" t="s">
        <v>33</v>
      </c>
      <c r="X540" s="37"/>
      <c r="Y540" s="37">
        <f>COUNTIF(F:F,F540)</f>
        <v>1</v>
      </c>
      <c r="Z540" s="21" t="s">
        <v>1116</v>
      </c>
      <c r="AA540" s="21" t="s">
        <v>672</v>
      </c>
      <c r="AB540" s="21" t="s">
        <v>1121</v>
      </c>
    </row>
    <row r="541" spans="1:28" s="22" customFormat="1" ht="13.9" customHeight="1" x14ac:dyDescent="0.3">
      <c r="A541" s="30" t="s">
        <v>20</v>
      </c>
      <c r="B541" s="30" t="s">
        <v>21</v>
      </c>
      <c r="C541" s="30" t="s">
        <v>22</v>
      </c>
      <c r="D541" s="30" t="s">
        <v>23</v>
      </c>
      <c r="E541" s="30" t="s">
        <v>690</v>
      </c>
      <c r="F541" s="31" t="s">
        <v>690</v>
      </c>
      <c r="G541" s="30" t="s">
        <v>26</v>
      </c>
      <c r="H541" s="30" t="s">
        <v>36</v>
      </c>
      <c r="I541" s="30">
        <v>3</v>
      </c>
      <c r="J541" s="30" t="s">
        <v>37</v>
      </c>
      <c r="K541" s="30" t="s">
        <v>38</v>
      </c>
      <c r="L541" s="32">
        <v>105.99169000000001</v>
      </c>
      <c r="M541" s="32">
        <v>10.342510000000001</v>
      </c>
      <c r="N541" s="32" t="s">
        <v>46</v>
      </c>
      <c r="O541" s="33">
        <v>0</v>
      </c>
      <c r="P541" s="30" t="s">
        <v>39</v>
      </c>
      <c r="Q541" s="30" t="s">
        <v>31</v>
      </c>
      <c r="R541" s="34" t="s">
        <v>47</v>
      </c>
      <c r="S541" s="35">
        <v>48000</v>
      </c>
      <c r="T541" s="36" t="s">
        <v>672</v>
      </c>
      <c r="U541" s="30" t="s">
        <v>672</v>
      </c>
      <c r="V541" s="37" t="e">
        <v>#N/A</v>
      </c>
      <c r="W541" s="31" t="s">
        <v>33</v>
      </c>
      <c r="X541" s="37"/>
      <c r="Y541" s="37">
        <f>COUNTIF(F:F,F541)</f>
        <v>1</v>
      </c>
      <c r="Z541" s="21" t="s">
        <v>1116</v>
      </c>
      <c r="AA541" s="21" t="s">
        <v>672</v>
      </c>
      <c r="AB541" s="21" t="s">
        <v>1121</v>
      </c>
    </row>
    <row r="542" spans="1:28" ht="13.9" customHeight="1" x14ac:dyDescent="0.3">
      <c r="A542" s="30" t="s">
        <v>20</v>
      </c>
      <c r="B542" s="30" t="s">
        <v>21</v>
      </c>
      <c r="C542" s="30" t="s">
        <v>22</v>
      </c>
      <c r="D542" s="30" t="s">
        <v>23</v>
      </c>
      <c r="E542" s="30" t="s">
        <v>691</v>
      </c>
      <c r="F542" s="31" t="s">
        <v>691</v>
      </c>
      <c r="G542" s="30" t="s">
        <v>26</v>
      </c>
      <c r="H542" s="30" t="s">
        <v>36</v>
      </c>
      <c r="I542" s="30">
        <v>3</v>
      </c>
      <c r="J542" s="30" t="s">
        <v>37</v>
      </c>
      <c r="K542" s="30" t="s">
        <v>38</v>
      </c>
      <c r="L542" s="32">
        <v>106.02235</v>
      </c>
      <c r="M542" s="32">
        <v>10.34356</v>
      </c>
      <c r="N542" s="32" t="s">
        <v>46</v>
      </c>
      <c r="O542" s="33">
        <v>0</v>
      </c>
      <c r="P542" s="30" t="s">
        <v>39</v>
      </c>
      <c r="Q542" s="30" t="s">
        <v>31</v>
      </c>
      <c r="R542" s="34" t="s">
        <v>47</v>
      </c>
      <c r="S542" s="35">
        <v>48000</v>
      </c>
      <c r="T542" s="36" t="s">
        <v>672</v>
      </c>
      <c r="U542" s="30" t="s">
        <v>672</v>
      </c>
      <c r="V542" s="37" t="e">
        <v>#N/A</v>
      </c>
      <c r="W542" s="31" t="s">
        <v>33</v>
      </c>
      <c r="X542" s="37"/>
      <c r="Y542" s="37">
        <f>COUNTIF(F:F,F542)</f>
        <v>1</v>
      </c>
      <c r="Z542" s="21" t="s">
        <v>1116</v>
      </c>
      <c r="AA542" s="21" t="s">
        <v>672</v>
      </c>
      <c r="AB542" s="21" t="s">
        <v>1121</v>
      </c>
    </row>
    <row r="543" spans="1:28" ht="13.9" customHeight="1" x14ac:dyDescent="0.3">
      <c r="A543" s="30" t="s">
        <v>20</v>
      </c>
      <c r="B543" s="30" t="s">
        <v>21</v>
      </c>
      <c r="C543" s="30" t="s">
        <v>22</v>
      </c>
      <c r="D543" s="30" t="s">
        <v>23</v>
      </c>
      <c r="E543" s="30" t="s">
        <v>697</v>
      </c>
      <c r="F543" s="31" t="s">
        <v>697</v>
      </c>
      <c r="G543" s="30" t="s">
        <v>26</v>
      </c>
      <c r="H543" s="30" t="s">
        <v>36</v>
      </c>
      <c r="I543" s="30">
        <v>3</v>
      </c>
      <c r="J543" s="30" t="s">
        <v>37</v>
      </c>
      <c r="K543" s="30" t="s">
        <v>38</v>
      </c>
      <c r="L543" s="32">
        <v>105.9632</v>
      </c>
      <c r="M543" s="32">
        <v>10.375299999999999</v>
      </c>
      <c r="N543" s="32" t="s">
        <v>46</v>
      </c>
      <c r="O543" s="33">
        <v>0</v>
      </c>
      <c r="P543" s="30" t="s">
        <v>39</v>
      </c>
      <c r="Q543" s="30" t="s">
        <v>31</v>
      </c>
      <c r="R543" s="34" t="s">
        <v>47</v>
      </c>
      <c r="S543" s="35">
        <v>48000</v>
      </c>
      <c r="T543" s="36" t="s">
        <v>672</v>
      </c>
      <c r="U543" s="30" t="s">
        <v>672</v>
      </c>
      <c r="V543" s="37" t="e">
        <v>#N/A</v>
      </c>
      <c r="W543" s="31" t="s">
        <v>33</v>
      </c>
      <c r="X543" s="37"/>
      <c r="Y543" s="37">
        <f>COUNTIF(F:F,F543)</f>
        <v>1</v>
      </c>
      <c r="Z543" s="21" t="s">
        <v>1116</v>
      </c>
      <c r="AA543" s="21" t="s">
        <v>672</v>
      </c>
      <c r="AB543" s="21" t="s">
        <v>1121</v>
      </c>
    </row>
    <row r="544" spans="1:28" s="22" customFormat="1" ht="13.9" customHeight="1" x14ac:dyDescent="0.3">
      <c r="A544" s="30" t="s">
        <v>20</v>
      </c>
      <c r="B544" s="30" t="s">
        <v>21</v>
      </c>
      <c r="C544" s="30" t="s">
        <v>22</v>
      </c>
      <c r="D544" s="30" t="s">
        <v>23</v>
      </c>
      <c r="E544" s="30" t="s">
        <v>676</v>
      </c>
      <c r="F544" s="31" t="s">
        <v>676</v>
      </c>
      <c r="G544" s="30" t="s">
        <v>26</v>
      </c>
      <c r="H544" s="30" t="s">
        <v>36</v>
      </c>
      <c r="I544" s="30">
        <v>4</v>
      </c>
      <c r="J544" s="30" t="s">
        <v>37</v>
      </c>
      <c r="K544" s="30" t="s">
        <v>38</v>
      </c>
      <c r="L544" s="32">
        <v>106.02495999999999</v>
      </c>
      <c r="M544" s="32">
        <v>10.40067</v>
      </c>
      <c r="N544" s="32" t="s">
        <v>46</v>
      </c>
      <c r="O544" s="33">
        <v>0</v>
      </c>
      <c r="P544" s="30" t="s">
        <v>39</v>
      </c>
      <c r="Q544" s="30" t="s">
        <v>31</v>
      </c>
      <c r="R544" s="34" t="s">
        <v>47</v>
      </c>
      <c r="S544" s="35">
        <v>48000</v>
      </c>
      <c r="T544" s="36" t="s">
        <v>672</v>
      </c>
      <c r="U544" s="30" t="s">
        <v>672</v>
      </c>
      <c r="V544" s="37" t="e">
        <v>#N/A</v>
      </c>
      <c r="W544" s="31" t="s">
        <v>33</v>
      </c>
      <c r="X544" s="37" t="s">
        <v>42</v>
      </c>
      <c r="Y544" s="37">
        <f>COUNTIF(F:F,F544)</f>
        <v>4</v>
      </c>
      <c r="Z544" s="21" t="s">
        <v>1116</v>
      </c>
      <c r="AA544" s="21" t="s">
        <v>672</v>
      </c>
      <c r="AB544" s="21" t="s">
        <v>1121</v>
      </c>
    </row>
    <row r="545" spans="1:28" ht="13.9" customHeight="1" x14ac:dyDescent="0.3">
      <c r="A545" s="41" t="s">
        <v>20</v>
      </c>
      <c r="B545" s="41" t="s">
        <v>21</v>
      </c>
      <c r="C545" s="41" t="s">
        <v>22</v>
      </c>
      <c r="D545" s="41" t="s">
        <v>23</v>
      </c>
      <c r="E545" s="41" t="s">
        <v>677</v>
      </c>
      <c r="F545" s="31" t="s">
        <v>676</v>
      </c>
      <c r="G545" s="41" t="s">
        <v>26</v>
      </c>
      <c r="H545" s="36" t="s">
        <v>27</v>
      </c>
      <c r="I545" s="36">
        <v>3</v>
      </c>
      <c r="J545" s="36"/>
      <c r="K545" s="36"/>
      <c r="L545" s="38">
        <v>106.01171429999999</v>
      </c>
      <c r="M545" s="38">
        <v>10.4220351</v>
      </c>
      <c r="N545" s="38" t="s">
        <v>46</v>
      </c>
      <c r="O545" s="39">
        <v>0</v>
      </c>
      <c r="P545" s="36" t="s">
        <v>30</v>
      </c>
      <c r="Q545" s="41" t="s">
        <v>31</v>
      </c>
      <c r="R545" s="42" t="s">
        <v>47</v>
      </c>
      <c r="S545" s="35">
        <v>48000</v>
      </c>
      <c r="T545" s="36" t="s">
        <v>678</v>
      </c>
      <c r="U545" s="30" t="s">
        <v>672</v>
      </c>
      <c r="V545" s="37" t="e">
        <v>#N/A</v>
      </c>
      <c r="W545" s="31" t="s">
        <v>63</v>
      </c>
      <c r="X545" s="37" t="s">
        <v>52</v>
      </c>
      <c r="Y545" s="37">
        <f>COUNTIF(F:F,F545)</f>
        <v>4</v>
      </c>
      <c r="Z545" s="21" t="s">
        <v>1116</v>
      </c>
      <c r="AA545" s="21" t="s">
        <v>672</v>
      </c>
      <c r="AB545" s="21" t="s">
        <v>1121</v>
      </c>
    </row>
    <row r="546" spans="1:28" ht="13.9" customHeight="1" x14ac:dyDescent="0.3">
      <c r="A546" s="30" t="s">
        <v>20</v>
      </c>
      <c r="B546" s="30" t="s">
        <v>21</v>
      </c>
      <c r="C546" s="30" t="s">
        <v>22</v>
      </c>
      <c r="D546" s="30" t="s">
        <v>23</v>
      </c>
      <c r="E546" s="30" t="s">
        <v>679</v>
      </c>
      <c r="F546" s="31" t="s">
        <v>676</v>
      </c>
      <c r="G546" s="30" t="s">
        <v>26</v>
      </c>
      <c r="H546" s="30" t="s">
        <v>27</v>
      </c>
      <c r="I546" s="30">
        <v>3</v>
      </c>
      <c r="J546" s="30"/>
      <c r="K546" s="30"/>
      <c r="L546" s="32">
        <v>106.0266</v>
      </c>
      <c r="M546" s="32">
        <v>10.3842</v>
      </c>
      <c r="N546" s="32" t="s">
        <v>46</v>
      </c>
      <c r="O546" s="33">
        <v>0</v>
      </c>
      <c r="P546" s="30" t="s">
        <v>30</v>
      </c>
      <c r="Q546" s="30" t="s">
        <v>31</v>
      </c>
      <c r="R546" s="34" t="s">
        <v>47</v>
      </c>
      <c r="S546" s="35">
        <v>48000</v>
      </c>
      <c r="T546" s="36" t="s">
        <v>672</v>
      </c>
      <c r="U546" s="30" t="s">
        <v>672</v>
      </c>
      <c r="V546" s="37" t="e">
        <v>#N/A</v>
      </c>
      <c r="W546" s="31" t="s">
        <v>63</v>
      </c>
      <c r="X546" s="37" t="s">
        <v>52</v>
      </c>
      <c r="Y546" s="37">
        <f>COUNTIF(F:F,F546)</f>
        <v>4</v>
      </c>
      <c r="Z546" s="21" t="s">
        <v>1116</v>
      </c>
      <c r="AA546" s="21" t="s">
        <v>672</v>
      </c>
      <c r="AB546" s="21" t="s">
        <v>1121</v>
      </c>
    </row>
    <row r="547" spans="1:28" ht="13.9" customHeight="1" x14ac:dyDescent="0.3">
      <c r="A547" s="36" t="s">
        <v>20</v>
      </c>
      <c r="B547" s="36" t="s">
        <v>21</v>
      </c>
      <c r="C547" s="36" t="s">
        <v>22</v>
      </c>
      <c r="D547" s="36" t="s">
        <v>23</v>
      </c>
      <c r="E547" s="36" t="s">
        <v>680</v>
      </c>
      <c r="F547" s="31" t="s">
        <v>676</v>
      </c>
      <c r="G547" s="36" t="s">
        <v>26</v>
      </c>
      <c r="H547" s="36" t="s">
        <v>27</v>
      </c>
      <c r="I547" s="36">
        <v>3</v>
      </c>
      <c r="J547" s="36"/>
      <c r="K547" s="36"/>
      <c r="L547" s="38">
        <v>106.02135199999999</v>
      </c>
      <c r="M547" s="38">
        <v>10.408897899999999</v>
      </c>
      <c r="N547" s="38" t="s">
        <v>46</v>
      </c>
      <c r="O547" s="39">
        <v>0</v>
      </c>
      <c r="P547" s="36" t="s">
        <v>30</v>
      </c>
      <c r="Q547" s="30" t="s">
        <v>31</v>
      </c>
      <c r="R547" s="40" t="s">
        <v>47</v>
      </c>
      <c r="S547" s="35">
        <v>48000</v>
      </c>
      <c r="T547" s="36" t="s">
        <v>672</v>
      </c>
      <c r="U547" s="30" t="s">
        <v>672</v>
      </c>
      <c r="V547" s="37" t="e">
        <v>#N/A</v>
      </c>
      <c r="W547" s="31" t="s">
        <v>63</v>
      </c>
      <c r="X547" s="37" t="s">
        <v>52</v>
      </c>
      <c r="Y547" s="37">
        <f>COUNTIF(F:F,F547)</f>
        <v>4</v>
      </c>
      <c r="Z547" s="21" t="s">
        <v>1116</v>
      </c>
      <c r="AA547" s="21" t="s">
        <v>672</v>
      </c>
      <c r="AB547" s="21" t="s">
        <v>1121</v>
      </c>
    </row>
    <row r="548" spans="1:28" ht="13.9" customHeight="1" x14ac:dyDescent="0.3">
      <c r="A548" s="41" t="s">
        <v>20</v>
      </c>
      <c r="B548" s="41" t="s">
        <v>21</v>
      </c>
      <c r="C548" s="41" t="s">
        <v>22</v>
      </c>
      <c r="D548" s="41" t="s">
        <v>23</v>
      </c>
      <c r="E548" s="41" t="s">
        <v>681</v>
      </c>
      <c r="F548" s="31" t="s">
        <v>682</v>
      </c>
      <c r="G548" s="41" t="s">
        <v>26</v>
      </c>
      <c r="H548" s="36" t="s">
        <v>36</v>
      </c>
      <c r="I548" s="36">
        <v>3</v>
      </c>
      <c r="J548" s="36" t="s">
        <v>37</v>
      </c>
      <c r="K548" s="36" t="s">
        <v>38</v>
      </c>
      <c r="L548" s="38">
        <v>105.96313000000001</v>
      </c>
      <c r="M548" s="38">
        <v>10.33235</v>
      </c>
      <c r="N548" s="38" t="s">
        <v>46</v>
      </c>
      <c r="O548" s="39">
        <v>0</v>
      </c>
      <c r="P548" s="36" t="s">
        <v>39</v>
      </c>
      <c r="Q548" s="41" t="s">
        <v>31</v>
      </c>
      <c r="R548" s="42" t="s">
        <v>47</v>
      </c>
      <c r="S548" s="35">
        <v>48000</v>
      </c>
      <c r="T548" s="36" t="s">
        <v>678</v>
      </c>
      <c r="U548" s="30" t="s">
        <v>672</v>
      </c>
      <c r="V548" s="37" t="e">
        <v>#N/A</v>
      </c>
      <c r="W548" s="31" t="s">
        <v>63</v>
      </c>
      <c r="X548" s="37" t="s">
        <v>52</v>
      </c>
      <c r="Y548" s="37">
        <f>COUNTIF(F:F,F548)</f>
        <v>3</v>
      </c>
      <c r="Z548" s="21" t="s">
        <v>1116</v>
      </c>
      <c r="AA548" s="21" t="s">
        <v>672</v>
      </c>
      <c r="AB548" s="21" t="s">
        <v>1121</v>
      </c>
    </row>
    <row r="549" spans="1:28" ht="13.9" customHeight="1" x14ac:dyDescent="0.3">
      <c r="A549" s="30" t="s">
        <v>20</v>
      </c>
      <c r="B549" s="30" t="s">
        <v>21</v>
      </c>
      <c r="C549" s="30" t="s">
        <v>22</v>
      </c>
      <c r="D549" s="30" t="s">
        <v>23</v>
      </c>
      <c r="E549" s="30" t="s">
        <v>682</v>
      </c>
      <c r="F549" s="31" t="s">
        <v>682</v>
      </c>
      <c r="G549" s="30" t="s">
        <v>26</v>
      </c>
      <c r="H549" s="30" t="s">
        <v>36</v>
      </c>
      <c r="I549" s="30">
        <v>3</v>
      </c>
      <c r="J549" s="30"/>
      <c r="K549" s="30"/>
      <c r="L549" s="32">
        <v>105.97367</v>
      </c>
      <c r="M549" s="32">
        <v>10.344620000000001</v>
      </c>
      <c r="N549" s="32" t="s">
        <v>46</v>
      </c>
      <c r="O549" s="33">
        <v>0</v>
      </c>
      <c r="P549" s="30" t="s">
        <v>109</v>
      </c>
      <c r="Q549" s="30" t="s">
        <v>31</v>
      </c>
      <c r="R549" s="34" t="s">
        <v>47</v>
      </c>
      <c r="S549" s="35">
        <v>48000</v>
      </c>
      <c r="T549" s="36" t="s">
        <v>672</v>
      </c>
      <c r="U549" s="30" t="s">
        <v>672</v>
      </c>
      <c r="V549" s="37" t="e">
        <v>#N/A</v>
      </c>
      <c r="W549" s="31" t="s">
        <v>33</v>
      </c>
      <c r="X549" s="37" t="s">
        <v>42</v>
      </c>
      <c r="Y549" s="37">
        <f>COUNTIF(F:F,F549)</f>
        <v>3</v>
      </c>
      <c r="Z549" s="21" t="s">
        <v>1116</v>
      </c>
      <c r="AA549" s="21" t="s">
        <v>672</v>
      </c>
      <c r="AB549" s="21" t="s">
        <v>1121</v>
      </c>
    </row>
    <row r="550" spans="1:28" ht="13.9" customHeight="1" x14ac:dyDescent="0.3">
      <c r="A550" s="36" t="s">
        <v>20</v>
      </c>
      <c r="B550" s="36" t="s">
        <v>21</v>
      </c>
      <c r="C550" s="36" t="s">
        <v>22</v>
      </c>
      <c r="D550" s="36" t="s">
        <v>23</v>
      </c>
      <c r="E550" s="36" t="s">
        <v>683</v>
      </c>
      <c r="F550" s="31" t="s">
        <v>682</v>
      </c>
      <c r="G550" s="36" t="s">
        <v>26</v>
      </c>
      <c r="H550" s="36" t="s">
        <v>27</v>
      </c>
      <c r="I550" s="36">
        <v>3</v>
      </c>
      <c r="J550" s="36"/>
      <c r="K550" s="36"/>
      <c r="L550" s="38">
        <v>105.9838</v>
      </c>
      <c r="M550" s="38">
        <v>10.3367</v>
      </c>
      <c r="N550" s="38" t="s">
        <v>46</v>
      </c>
      <c r="O550" s="39">
        <v>0</v>
      </c>
      <c r="P550" s="36" t="s">
        <v>30</v>
      </c>
      <c r="Q550" s="30" t="s">
        <v>31</v>
      </c>
      <c r="R550" s="40" t="s">
        <v>47</v>
      </c>
      <c r="S550" s="35">
        <v>48000</v>
      </c>
      <c r="T550" s="36" t="s">
        <v>672</v>
      </c>
      <c r="U550" s="30" t="s">
        <v>672</v>
      </c>
      <c r="V550" s="37" t="e">
        <v>#N/A</v>
      </c>
      <c r="W550" s="31" t="s">
        <v>63</v>
      </c>
      <c r="X550" s="37" t="s">
        <v>52</v>
      </c>
      <c r="Y550" s="37">
        <f>COUNTIF(F:F,F550)</f>
        <v>3</v>
      </c>
      <c r="Z550" s="21" t="s">
        <v>1116</v>
      </c>
      <c r="AA550" s="21" t="s">
        <v>672</v>
      </c>
      <c r="AB550" s="21" t="s">
        <v>1121</v>
      </c>
    </row>
    <row r="551" spans="1:28" ht="13.9" customHeight="1" x14ac:dyDescent="0.3">
      <c r="A551" s="30" t="s">
        <v>20</v>
      </c>
      <c r="B551" s="30" t="s">
        <v>21</v>
      </c>
      <c r="C551" s="30" t="s">
        <v>22</v>
      </c>
      <c r="D551" s="30" t="s">
        <v>23</v>
      </c>
      <c r="E551" s="30" t="s">
        <v>692</v>
      </c>
      <c r="F551" s="31" t="s">
        <v>692</v>
      </c>
      <c r="G551" s="30" t="s">
        <v>26</v>
      </c>
      <c r="H551" s="30" t="s">
        <v>36</v>
      </c>
      <c r="I551" s="30">
        <v>4</v>
      </c>
      <c r="J551" s="30" t="s">
        <v>37</v>
      </c>
      <c r="K551" s="30" t="s">
        <v>38</v>
      </c>
      <c r="L551" s="32">
        <v>106.0362052</v>
      </c>
      <c r="M551" s="32">
        <v>10.3312197</v>
      </c>
      <c r="N551" s="32" t="s">
        <v>46</v>
      </c>
      <c r="O551" s="33">
        <v>0</v>
      </c>
      <c r="P551" s="30" t="s">
        <v>39</v>
      </c>
      <c r="Q551" s="30" t="s">
        <v>31</v>
      </c>
      <c r="R551" s="34" t="s">
        <v>47</v>
      </c>
      <c r="S551" s="35">
        <v>48000</v>
      </c>
      <c r="T551" s="36" t="s">
        <v>672</v>
      </c>
      <c r="U551" s="30" t="s">
        <v>672</v>
      </c>
      <c r="V551" s="37" t="e">
        <v>#N/A</v>
      </c>
      <c r="W551" s="31" t="s">
        <v>33</v>
      </c>
      <c r="X551" s="37"/>
      <c r="Y551" s="37">
        <f>COUNTIF(F:F,F551)</f>
        <v>1</v>
      </c>
      <c r="Z551" s="21" t="s">
        <v>1116</v>
      </c>
      <c r="AA551" s="21" t="s">
        <v>672</v>
      </c>
      <c r="AB551" s="21" t="s">
        <v>1121</v>
      </c>
    </row>
    <row r="552" spans="1:28" ht="13.9" customHeight="1" x14ac:dyDescent="0.3">
      <c r="A552" s="30" t="s">
        <v>20</v>
      </c>
      <c r="B552" s="30" t="s">
        <v>21</v>
      </c>
      <c r="C552" s="30" t="s">
        <v>22</v>
      </c>
      <c r="D552" s="30" t="s">
        <v>23</v>
      </c>
      <c r="E552" s="30" t="s">
        <v>693</v>
      </c>
      <c r="F552" s="31" t="s">
        <v>693</v>
      </c>
      <c r="G552" s="30" t="s">
        <v>26</v>
      </c>
      <c r="H552" s="30" t="s">
        <v>36</v>
      </c>
      <c r="I552" s="30">
        <v>4</v>
      </c>
      <c r="J552" s="30" t="s">
        <v>37</v>
      </c>
      <c r="K552" s="30" t="s">
        <v>38</v>
      </c>
      <c r="L552" s="32">
        <v>106.01691</v>
      </c>
      <c r="M552" s="32">
        <v>10.35834</v>
      </c>
      <c r="N552" s="32" t="s">
        <v>46</v>
      </c>
      <c r="O552" s="33">
        <v>0</v>
      </c>
      <c r="P552" s="30" t="s">
        <v>39</v>
      </c>
      <c r="Q552" s="30" t="s">
        <v>31</v>
      </c>
      <c r="R552" s="34" t="s">
        <v>47</v>
      </c>
      <c r="S552" s="35">
        <v>48000</v>
      </c>
      <c r="T552" s="36" t="s">
        <v>672</v>
      </c>
      <c r="U552" s="30" t="s">
        <v>672</v>
      </c>
      <c r="V552" s="37" t="e">
        <v>#N/A</v>
      </c>
      <c r="W552" s="31" t="s">
        <v>33</v>
      </c>
      <c r="X552" s="37"/>
      <c r="Y552" s="37">
        <f>COUNTIF(F:F,F552)</f>
        <v>1</v>
      </c>
      <c r="Z552" s="21" t="s">
        <v>1116</v>
      </c>
      <c r="AA552" s="21" t="s">
        <v>672</v>
      </c>
      <c r="AB552" s="21" t="s">
        <v>1121</v>
      </c>
    </row>
    <row r="553" spans="1:28" ht="13.9" customHeight="1" x14ac:dyDescent="0.3">
      <c r="A553" s="30" t="s">
        <v>20</v>
      </c>
      <c r="B553" s="30" t="s">
        <v>21</v>
      </c>
      <c r="C553" s="30" t="s">
        <v>22</v>
      </c>
      <c r="D553" s="30" t="s">
        <v>23</v>
      </c>
      <c r="E553" s="30" t="s">
        <v>694</v>
      </c>
      <c r="F553" s="31" t="s">
        <v>694</v>
      </c>
      <c r="G553" s="30" t="s">
        <v>26</v>
      </c>
      <c r="H553" s="30" t="s">
        <v>36</v>
      </c>
      <c r="I553" s="30">
        <v>4</v>
      </c>
      <c r="J553" s="30" t="s">
        <v>37</v>
      </c>
      <c r="K553" s="30" t="s">
        <v>38</v>
      </c>
      <c r="L553" s="32">
        <v>105.98990000000001</v>
      </c>
      <c r="M553" s="32">
        <v>10.360900000000001</v>
      </c>
      <c r="N553" s="32" t="s">
        <v>46</v>
      </c>
      <c r="O553" s="33">
        <v>0</v>
      </c>
      <c r="P553" s="30" t="s">
        <v>39</v>
      </c>
      <c r="Q553" s="30" t="s">
        <v>31</v>
      </c>
      <c r="R553" s="34" t="s">
        <v>47</v>
      </c>
      <c r="S553" s="35">
        <v>48000</v>
      </c>
      <c r="T553" s="36" t="s">
        <v>672</v>
      </c>
      <c r="U553" s="30" t="s">
        <v>672</v>
      </c>
      <c r="V553" s="37" t="e">
        <v>#N/A</v>
      </c>
      <c r="W553" s="31" t="s">
        <v>33</v>
      </c>
      <c r="X553" s="37"/>
      <c r="Y553" s="37">
        <f>COUNTIF(F:F,F553)</f>
        <v>1</v>
      </c>
      <c r="Z553" s="21" t="s">
        <v>1116</v>
      </c>
      <c r="AA553" s="21" t="s">
        <v>672</v>
      </c>
      <c r="AB553" s="21" t="s">
        <v>1121</v>
      </c>
    </row>
    <row r="554" spans="1:28" s="22" customFormat="1" ht="13.9" customHeight="1" x14ac:dyDescent="0.3">
      <c r="A554" s="30" t="s">
        <v>20</v>
      </c>
      <c r="B554" s="30" t="s">
        <v>21</v>
      </c>
      <c r="C554" s="30" t="s">
        <v>22</v>
      </c>
      <c r="D554" s="30" t="s">
        <v>23</v>
      </c>
      <c r="E554" s="30" t="s">
        <v>698</v>
      </c>
      <c r="F554" s="31" t="s">
        <v>698</v>
      </c>
      <c r="G554" s="30" t="s">
        <v>26</v>
      </c>
      <c r="H554" s="30" t="s">
        <v>36</v>
      </c>
      <c r="I554" s="30">
        <v>4</v>
      </c>
      <c r="J554" s="30" t="s">
        <v>37</v>
      </c>
      <c r="K554" s="30" t="s">
        <v>38</v>
      </c>
      <c r="L554" s="32">
        <v>105.96696</v>
      </c>
      <c r="M554" s="32">
        <v>10.359870000000001</v>
      </c>
      <c r="N554" s="32" t="s">
        <v>46</v>
      </c>
      <c r="O554" s="33">
        <v>0</v>
      </c>
      <c r="P554" s="30" t="s">
        <v>39</v>
      </c>
      <c r="Q554" s="30" t="s">
        <v>31</v>
      </c>
      <c r="R554" s="34" t="s">
        <v>47</v>
      </c>
      <c r="S554" s="35">
        <v>48000</v>
      </c>
      <c r="T554" s="36" t="s">
        <v>672</v>
      </c>
      <c r="U554" s="30" t="s">
        <v>672</v>
      </c>
      <c r="V554" s="37" t="e">
        <v>#N/A</v>
      </c>
      <c r="W554" s="31" t="s">
        <v>33</v>
      </c>
      <c r="X554" s="37"/>
      <c r="Y554" s="37">
        <f>COUNTIF(F:F,F554)</f>
        <v>1</v>
      </c>
      <c r="Z554" s="21" t="s">
        <v>1116</v>
      </c>
      <c r="AA554" s="21" t="s">
        <v>672</v>
      </c>
      <c r="AB554" s="21" t="s">
        <v>1121</v>
      </c>
    </row>
    <row r="555" spans="1:28" ht="13.9" customHeight="1" x14ac:dyDescent="0.3">
      <c r="A555" s="30" t="s">
        <v>20</v>
      </c>
      <c r="B555" s="30" t="s">
        <v>21</v>
      </c>
      <c r="C555" s="30" t="s">
        <v>22</v>
      </c>
      <c r="D555" s="30" t="s">
        <v>23</v>
      </c>
      <c r="E555" s="30" t="s">
        <v>695</v>
      </c>
      <c r="F555" s="31" t="s">
        <v>695</v>
      </c>
      <c r="G555" s="30" t="s">
        <v>26</v>
      </c>
      <c r="H555" s="30" t="s">
        <v>27</v>
      </c>
      <c r="I555" s="30">
        <v>3</v>
      </c>
      <c r="J555" s="30"/>
      <c r="K555" s="30"/>
      <c r="L555" s="32">
        <v>106.0035</v>
      </c>
      <c r="M555" s="32">
        <v>10.33619</v>
      </c>
      <c r="N555" s="32" t="s">
        <v>46</v>
      </c>
      <c r="O555" s="33">
        <v>0</v>
      </c>
      <c r="P555" s="30" t="s">
        <v>30</v>
      </c>
      <c r="Q555" s="30" t="s">
        <v>31</v>
      </c>
      <c r="R555" s="34" t="s">
        <v>47</v>
      </c>
      <c r="S555" s="35">
        <v>48000</v>
      </c>
      <c r="T555" s="36" t="s">
        <v>672</v>
      </c>
      <c r="U555" s="30" t="s">
        <v>672</v>
      </c>
      <c r="V555" s="37" t="e">
        <v>#N/A</v>
      </c>
      <c r="W555" s="31" t="s">
        <v>33</v>
      </c>
      <c r="X555" s="37"/>
      <c r="Y555" s="37">
        <f>COUNTIF(F:F,F555)</f>
        <v>1</v>
      </c>
      <c r="Z555" s="21" t="s">
        <v>1116</v>
      </c>
      <c r="AA555" s="21" t="s">
        <v>672</v>
      </c>
      <c r="AB555" s="21" t="s">
        <v>1121</v>
      </c>
    </row>
    <row r="556" spans="1:28" ht="13.9" customHeight="1" x14ac:dyDescent="0.3">
      <c r="A556" s="30" t="s">
        <v>20</v>
      </c>
      <c r="B556" s="30" t="s">
        <v>21</v>
      </c>
      <c r="C556" s="30" t="s">
        <v>22</v>
      </c>
      <c r="D556" s="30" t="s">
        <v>23</v>
      </c>
      <c r="E556" s="30" t="s">
        <v>696</v>
      </c>
      <c r="F556" s="31" t="s">
        <v>696</v>
      </c>
      <c r="G556" s="30" t="s">
        <v>26</v>
      </c>
      <c r="H556" s="30" t="s">
        <v>27</v>
      </c>
      <c r="I556" s="30">
        <v>3</v>
      </c>
      <c r="J556" s="30" t="s">
        <v>37</v>
      </c>
      <c r="K556" s="30" t="s">
        <v>38</v>
      </c>
      <c r="L556" s="32">
        <v>106.01266630000001</v>
      </c>
      <c r="M556" s="32">
        <v>10.3805225</v>
      </c>
      <c r="N556" s="32" t="s">
        <v>46</v>
      </c>
      <c r="O556" s="33">
        <v>0</v>
      </c>
      <c r="P556" s="30" t="s">
        <v>41</v>
      </c>
      <c r="Q556" s="30" t="s">
        <v>31</v>
      </c>
      <c r="R556" s="34" t="s">
        <v>47</v>
      </c>
      <c r="S556" s="35">
        <v>48000</v>
      </c>
      <c r="T556" s="36" t="s">
        <v>672</v>
      </c>
      <c r="U556" s="30" t="s">
        <v>672</v>
      </c>
      <c r="V556" s="37" t="e">
        <v>#N/A</v>
      </c>
      <c r="W556" s="31" t="s">
        <v>33</v>
      </c>
      <c r="X556" s="37"/>
      <c r="Y556" s="37">
        <f>COUNTIF(F:F,F556)</f>
        <v>1</v>
      </c>
      <c r="Z556" s="21" t="s">
        <v>1116</v>
      </c>
      <c r="AA556" s="21" t="s">
        <v>672</v>
      </c>
      <c r="AB556" s="21" t="s">
        <v>1121</v>
      </c>
    </row>
    <row r="557" spans="1:28" ht="13.9" customHeight="1" x14ac:dyDescent="0.3">
      <c r="A557" s="30" t="s">
        <v>20</v>
      </c>
      <c r="B557" s="30" t="s">
        <v>21</v>
      </c>
      <c r="C557" s="30" t="s">
        <v>22</v>
      </c>
      <c r="D557" s="30" t="s">
        <v>23</v>
      </c>
      <c r="E557" s="30" t="s">
        <v>699</v>
      </c>
      <c r="F557" s="31" t="s">
        <v>699</v>
      </c>
      <c r="G557" s="30" t="s">
        <v>26</v>
      </c>
      <c r="H557" s="30" t="s">
        <v>36</v>
      </c>
      <c r="I557" s="30">
        <v>4</v>
      </c>
      <c r="J557" s="30" t="s">
        <v>37</v>
      </c>
      <c r="K557" s="30" t="s">
        <v>38</v>
      </c>
      <c r="L557" s="32">
        <v>105.8914465</v>
      </c>
      <c r="M557" s="32">
        <v>10.313942600000001</v>
      </c>
      <c r="N557" s="32" t="s">
        <v>46</v>
      </c>
      <c r="O557" s="33">
        <v>0</v>
      </c>
      <c r="P557" s="30" t="s">
        <v>39</v>
      </c>
      <c r="Q557" s="30" t="s">
        <v>31</v>
      </c>
      <c r="R557" s="34" t="s">
        <v>47</v>
      </c>
      <c r="S557" s="35">
        <v>48000</v>
      </c>
      <c r="T557" s="36" t="s">
        <v>75</v>
      </c>
      <c r="U557" s="30" t="s">
        <v>75</v>
      </c>
      <c r="V557" s="37" t="e">
        <v>#N/A</v>
      </c>
      <c r="W557" s="31" t="s">
        <v>33</v>
      </c>
      <c r="X557" s="37" t="s">
        <v>42</v>
      </c>
      <c r="Y557" s="37">
        <f>COUNTIF(F:F,F557)</f>
        <v>2</v>
      </c>
      <c r="Z557" s="21" t="s">
        <v>1116</v>
      </c>
      <c r="AA557" s="21" t="s">
        <v>75</v>
      </c>
      <c r="AB557" s="21" t="s">
        <v>1121</v>
      </c>
    </row>
    <row r="558" spans="1:28" ht="13.9" customHeight="1" x14ac:dyDescent="0.3">
      <c r="A558" s="36" t="s">
        <v>20</v>
      </c>
      <c r="B558" s="36" t="s">
        <v>21</v>
      </c>
      <c r="C558" s="36" t="s">
        <v>22</v>
      </c>
      <c r="D558" s="36" t="s">
        <v>23</v>
      </c>
      <c r="E558" s="36" t="s">
        <v>700</v>
      </c>
      <c r="F558" s="31" t="s">
        <v>699</v>
      </c>
      <c r="G558" s="36" t="s">
        <v>26</v>
      </c>
      <c r="H558" s="36" t="s">
        <v>27</v>
      </c>
      <c r="I558" s="36">
        <v>3</v>
      </c>
      <c r="J558" s="36"/>
      <c r="K558" s="36"/>
      <c r="L558" s="38">
        <v>105.91206</v>
      </c>
      <c r="M558" s="38">
        <v>10.315060000000001</v>
      </c>
      <c r="N558" s="38" t="s">
        <v>46</v>
      </c>
      <c r="O558" s="39">
        <v>0</v>
      </c>
      <c r="P558" s="36" t="s">
        <v>30</v>
      </c>
      <c r="Q558" s="30" t="s">
        <v>31</v>
      </c>
      <c r="R558" s="40" t="s">
        <v>47</v>
      </c>
      <c r="S558" s="35">
        <v>48000</v>
      </c>
      <c r="T558" s="36" t="s">
        <v>75</v>
      </c>
      <c r="U558" s="30" t="s">
        <v>75</v>
      </c>
      <c r="V558" s="37" t="e">
        <v>#N/A</v>
      </c>
      <c r="W558" s="31" t="s">
        <v>63</v>
      </c>
      <c r="X558" s="37" t="s">
        <v>52</v>
      </c>
      <c r="Y558" s="37">
        <f>COUNTIF(F:F,F558)</f>
        <v>2</v>
      </c>
      <c r="Z558" s="21" t="s">
        <v>1116</v>
      </c>
      <c r="AA558" s="21" t="s">
        <v>75</v>
      </c>
      <c r="AB558" s="21" t="s">
        <v>1121</v>
      </c>
    </row>
    <row r="559" spans="1:28" ht="13.9" customHeight="1" x14ac:dyDescent="0.3">
      <c r="A559" s="30" t="s">
        <v>20</v>
      </c>
      <c r="B559" s="30" t="s">
        <v>21</v>
      </c>
      <c r="C559" s="30" t="s">
        <v>22</v>
      </c>
      <c r="D559" s="30" t="s">
        <v>23</v>
      </c>
      <c r="E559" s="30" t="s">
        <v>712</v>
      </c>
      <c r="F559" s="31" t="s">
        <v>712</v>
      </c>
      <c r="G559" s="30" t="s">
        <v>26</v>
      </c>
      <c r="H559" s="30" t="s">
        <v>36</v>
      </c>
      <c r="I559" s="30">
        <v>4</v>
      </c>
      <c r="J559" s="30" t="s">
        <v>37</v>
      </c>
      <c r="K559" s="30" t="s">
        <v>38</v>
      </c>
      <c r="L559" s="32">
        <v>105.90996</v>
      </c>
      <c r="M559" s="32">
        <v>10.333629999999999</v>
      </c>
      <c r="N559" s="32" t="s">
        <v>46</v>
      </c>
      <c r="O559" s="33">
        <v>0</v>
      </c>
      <c r="P559" s="30" t="s">
        <v>39</v>
      </c>
      <c r="Q559" s="30" t="s">
        <v>31</v>
      </c>
      <c r="R559" s="34" t="s">
        <v>47</v>
      </c>
      <c r="S559" s="35">
        <v>48000</v>
      </c>
      <c r="T559" s="36" t="s">
        <v>75</v>
      </c>
      <c r="U559" s="30" t="s">
        <v>75</v>
      </c>
      <c r="V559" s="37" t="e">
        <v>#N/A</v>
      </c>
      <c r="W559" s="31" t="s">
        <v>33</v>
      </c>
      <c r="X559" s="37"/>
      <c r="Y559" s="37">
        <f>COUNTIF(F:F,F559)</f>
        <v>1</v>
      </c>
      <c r="Z559" s="21" t="s">
        <v>1116</v>
      </c>
      <c r="AA559" s="21" t="s">
        <v>75</v>
      </c>
      <c r="AB559" s="21" t="s">
        <v>1121</v>
      </c>
    </row>
    <row r="560" spans="1:28" ht="13.9" customHeight="1" x14ac:dyDescent="0.3">
      <c r="A560" s="30" t="s">
        <v>20</v>
      </c>
      <c r="B560" s="30" t="s">
        <v>21</v>
      </c>
      <c r="C560" s="30" t="s">
        <v>22</v>
      </c>
      <c r="D560" s="30" t="s">
        <v>23</v>
      </c>
      <c r="E560" s="30" t="s">
        <v>702</v>
      </c>
      <c r="F560" s="31" t="s">
        <v>702</v>
      </c>
      <c r="G560" s="30" t="s">
        <v>26</v>
      </c>
      <c r="H560" s="30" t="s">
        <v>36</v>
      </c>
      <c r="I560" s="30">
        <v>4</v>
      </c>
      <c r="J560" s="30" t="s">
        <v>37</v>
      </c>
      <c r="K560" s="30" t="s">
        <v>38</v>
      </c>
      <c r="L560" s="32">
        <v>105.89452</v>
      </c>
      <c r="M560" s="32">
        <v>10.29472</v>
      </c>
      <c r="N560" s="32" t="s">
        <v>46</v>
      </c>
      <c r="O560" s="33">
        <v>0</v>
      </c>
      <c r="P560" s="30" t="s">
        <v>39</v>
      </c>
      <c r="Q560" s="30" t="s">
        <v>31</v>
      </c>
      <c r="R560" s="34" t="s">
        <v>47</v>
      </c>
      <c r="S560" s="35">
        <v>48000</v>
      </c>
      <c r="T560" s="36" t="s">
        <v>75</v>
      </c>
      <c r="U560" s="30" t="s">
        <v>75</v>
      </c>
      <c r="V560" s="37" t="e">
        <v>#N/A</v>
      </c>
      <c r="W560" s="31" t="s">
        <v>33</v>
      </c>
      <c r="X560" s="37" t="s">
        <v>42</v>
      </c>
      <c r="Y560" s="37">
        <f>COUNTIF(F:F,F560)</f>
        <v>3</v>
      </c>
      <c r="Z560" s="21" t="s">
        <v>1116</v>
      </c>
      <c r="AA560" s="21" t="s">
        <v>75</v>
      </c>
      <c r="AB560" s="21" t="s">
        <v>1121</v>
      </c>
    </row>
    <row r="561" spans="1:28" ht="13.9" customHeight="1" x14ac:dyDescent="0.3">
      <c r="A561" s="36" t="s">
        <v>20</v>
      </c>
      <c r="B561" s="36" t="s">
        <v>21</v>
      </c>
      <c r="C561" s="36" t="s">
        <v>22</v>
      </c>
      <c r="D561" s="36" t="s">
        <v>23</v>
      </c>
      <c r="E561" s="36" t="s">
        <v>703</v>
      </c>
      <c r="F561" s="31" t="s">
        <v>702</v>
      </c>
      <c r="G561" s="36" t="s">
        <v>26</v>
      </c>
      <c r="H561" s="36" t="s">
        <v>36</v>
      </c>
      <c r="I561" s="36">
        <v>3</v>
      </c>
      <c r="J561" s="36" t="s">
        <v>37</v>
      </c>
      <c r="K561" s="36" t="s">
        <v>38</v>
      </c>
      <c r="L561" s="38">
        <v>105.89758999999999</v>
      </c>
      <c r="M561" s="38">
        <v>10.280279999999999</v>
      </c>
      <c r="N561" s="38" t="s">
        <v>46</v>
      </c>
      <c r="O561" s="39">
        <v>0</v>
      </c>
      <c r="P561" s="36" t="s">
        <v>39</v>
      </c>
      <c r="Q561" s="30" t="s">
        <v>31</v>
      </c>
      <c r="R561" s="40" t="s">
        <v>47</v>
      </c>
      <c r="S561" s="35">
        <v>48000</v>
      </c>
      <c r="T561" s="36" t="s">
        <v>75</v>
      </c>
      <c r="U561" s="30" t="s">
        <v>75</v>
      </c>
      <c r="V561" s="37" t="e">
        <v>#N/A</v>
      </c>
      <c r="W561" s="31" t="s">
        <v>63</v>
      </c>
      <c r="X561" s="37" t="s">
        <v>52</v>
      </c>
      <c r="Y561" s="37">
        <f>COUNTIF(F:F,F561)</f>
        <v>3</v>
      </c>
      <c r="Z561" s="21" t="s">
        <v>1116</v>
      </c>
      <c r="AA561" s="21" t="s">
        <v>75</v>
      </c>
      <c r="AB561" s="21" t="s">
        <v>1121</v>
      </c>
    </row>
    <row r="562" spans="1:28" ht="13.9" customHeight="1" x14ac:dyDescent="0.3">
      <c r="A562" s="36" t="s">
        <v>20</v>
      </c>
      <c r="B562" s="36" t="s">
        <v>21</v>
      </c>
      <c r="C562" s="36" t="s">
        <v>22</v>
      </c>
      <c r="D562" s="36" t="s">
        <v>23</v>
      </c>
      <c r="E562" s="36" t="s">
        <v>701</v>
      </c>
      <c r="F562" s="31" t="s">
        <v>702</v>
      </c>
      <c r="G562" s="36" t="s">
        <v>26</v>
      </c>
      <c r="H562" s="36" t="s">
        <v>36</v>
      </c>
      <c r="I562" s="36">
        <v>3</v>
      </c>
      <c r="J562" s="36" t="s">
        <v>26</v>
      </c>
      <c r="K562" s="36" t="s">
        <v>269</v>
      </c>
      <c r="L562" s="38">
        <v>105.89303</v>
      </c>
      <c r="M562" s="38">
        <v>10.304589999999999</v>
      </c>
      <c r="N562" s="38" t="s">
        <v>46</v>
      </c>
      <c r="O562" s="39">
        <v>0</v>
      </c>
      <c r="P562" s="36" t="s">
        <v>271</v>
      </c>
      <c r="Q562" s="30" t="s">
        <v>31</v>
      </c>
      <c r="R562" s="40" t="s">
        <v>47</v>
      </c>
      <c r="S562" s="35">
        <v>48000</v>
      </c>
      <c r="T562" s="36" t="s">
        <v>75</v>
      </c>
      <c r="U562" s="30" t="s">
        <v>75</v>
      </c>
      <c r="V562" s="37" t="e">
        <v>#N/A</v>
      </c>
      <c r="W562" s="31" t="s">
        <v>63</v>
      </c>
      <c r="X562" s="37" t="s">
        <v>52</v>
      </c>
      <c r="Y562" s="37">
        <f>COUNTIF(F:F,F562)</f>
        <v>3</v>
      </c>
      <c r="Z562" s="21" t="s">
        <v>1116</v>
      </c>
      <c r="AA562" s="21" t="s">
        <v>75</v>
      </c>
      <c r="AB562" s="21" t="s">
        <v>1121</v>
      </c>
    </row>
    <row r="563" spans="1:28" ht="13.9" customHeight="1" x14ac:dyDescent="0.3">
      <c r="A563" s="30" t="s">
        <v>20</v>
      </c>
      <c r="B563" s="30" t="s">
        <v>21</v>
      </c>
      <c r="C563" s="30" t="s">
        <v>22</v>
      </c>
      <c r="D563" s="30" t="s">
        <v>23</v>
      </c>
      <c r="E563" s="30" t="s">
        <v>76</v>
      </c>
      <c r="F563" s="31" t="s">
        <v>76</v>
      </c>
      <c r="G563" s="30" t="s">
        <v>26</v>
      </c>
      <c r="H563" s="30" t="s">
        <v>36</v>
      </c>
      <c r="I563" s="30">
        <v>4</v>
      </c>
      <c r="J563" s="30" t="s">
        <v>37</v>
      </c>
      <c r="K563" s="30" t="s">
        <v>38</v>
      </c>
      <c r="L563" s="32">
        <v>105.95197</v>
      </c>
      <c r="M563" s="32">
        <v>10.354229999999999</v>
      </c>
      <c r="N563" s="32" t="s">
        <v>46</v>
      </c>
      <c r="O563" s="33">
        <v>0</v>
      </c>
      <c r="P563" s="30" t="s">
        <v>39</v>
      </c>
      <c r="Q563" s="30" t="s">
        <v>31</v>
      </c>
      <c r="R563" s="34" t="s">
        <v>47</v>
      </c>
      <c r="S563" s="35">
        <v>48000</v>
      </c>
      <c r="T563" s="36" t="s">
        <v>75</v>
      </c>
      <c r="U563" s="30" t="s">
        <v>75</v>
      </c>
      <c r="V563" s="37" t="e">
        <v>#N/A</v>
      </c>
      <c r="W563" s="31" t="s">
        <v>33</v>
      </c>
      <c r="X563" s="37" t="s">
        <v>42</v>
      </c>
      <c r="Y563" s="37">
        <f>COUNTIF(F:F,F563)</f>
        <v>4</v>
      </c>
      <c r="Z563" s="21" t="s">
        <v>1116</v>
      </c>
      <c r="AA563" s="21" t="s">
        <v>75</v>
      </c>
      <c r="AB563" s="21" t="s">
        <v>1121</v>
      </c>
    </row>
    <row r="564" spans="1:28" ht="13.9" customHeight="1" x14ac:dyDescent="0.3">
      <c r="A564" s="30" t="s">
        <v>20</v>
      </c>
      <c r="B564" s="30" t="s">
        <v>21</v>
      </c>
      <c r="C564" s="30" t="s">
        <v>22</v>
      </c>
      <c r="D564" s="30" t="s">
        <v>23</v>
      </c>
      <c r="E564" s="30" t="s">
        <v>74</v>
      </c>
      <c r="F564" s="31" t="s">
        <v>76</v>
      </c>
      <c r="G564" s="30" t="s">
        <v>26</v>
      </c>
      <c r="H564" s="30" t="s">
        <v>36</v>
      </c>
      <c r="I564" s="30">
        <v>4</v>
      </c>
      <c r="J564" s="30" t="s">
        <v>37</v>
      </c>
      <c r="K564" s="30" t="s">
        <v>38</v>
      </c>
      <c r="L564" s="32">
        <v>105.94472</v>
      </c>
      <c r="M564" s="32">
        <v>10.34972</v>
      </c>
      <c r="N564" s="32" t="s">
        <v>46</v>
      </c>
      <c r="O564" s="33">
        <v>0</v>
      </c>
      <c r="P564" s="30" t="s">
        <v>39</v>
      </c>
      <c r="Q564" s="30" t="s">
        <v>31</v>
      </c>
      <c r="R564" s="34" t="s">
        <v>47</v>
      </c>
      <c r="S564" s="35">
        <v>48000</v>
      </c>
      <c r="T564" s="36" t="s">
        <v>75</v>
      </c>
      <c r="U564" s="30" t="s">
        <v>75</v>
      </c>
      <c r="V564" s="37" t="s">
        <v>49</v>
      </c>
      <c r="W564" s="31" t="s">
        <v>50</v>
      </c>
      <c r="X564" s="37" t="s">
        <v>52</v>
      </c>
      <c r="Y564" s="37">
        <f>COUNTIF(F:F,F564)</f>
        <v>4</v>
      </c>
      <c r="Z564" s="21" t="s">
        <v>1116</v>
      </c>
      <c r="AA564" s="21" t="s">
        <v>75</v>
      </c>
      <c r="AB564" s="21" t="s">
        <v>1121</v>
      </c>
    </row>
    <row r="565" spans="1:28" ht="13.9" customHeight="1" x14ac:dyDescent="0.3">
      <c r="A565" s="36" t="s">
        <v>20</v>
      </c>
      <c r="B565" s="36" t="s">
        <v>21</v>
      </c>
      <c r="C565" s="36" t="s">
        <v>22</v>
      </c>
      <c r="D565" s="36" t="s">
        <v>23</v>
      </c>
      <c r="E565" s="36" t="s">
        <v>704</v>
      </c>
      <c r="F565" s="31" t="s">
        <v>76</v>
      </c>
      <c r="G565" s="36" t="s">
        <v>26</v>
      </c>
      <c r="H565" s="36" t="s">
        <v>27</v>
      </c>
      <c r="I565" s="36">
        <v>3</v>
      </c>
      <c r="J565" s="36"/>
      <c r="K565" s="36"/>
      <c r="L565" s="38">
        <v>105.95564</v>
      </c>
      <c r="M565" s="38">
        <v>10.33943</v>
      </c>
      <c r="N565" s="38" t="s">
        <v>46</v>
      </c>
      <c r="O565" s="39">
        <v>0</v>
      </c>
      <c r="P565" s="36" t="s">
        <v>30</v>
      </c>
      <c r="Q565" s="30" t="s">
        <v>31</v>
      </c>
      <c r="R565" s="40" t="s">
        <v>47</v>
      </c>
      <c r="S565" s="35">
        <v>48000</v>
      </c>
      <c r="T565" s="36" t="s">
        <v>75</v>
      </c>
      <c r="U565" s="30" t="s">
        <v>75</v>
      </c>
      <c r="V565" s="37" t="e">
        <v>#N/A</v>
      </c>
      <c r="W565" s="31" t="s">
        <v>63</v>
      </c>
      <c r="X565" s="37" t="s">
        <v>52</v>
      </c>
      <c r="Y565" s="37">
        <f>COUNTIF(F:F,F565)</f>
        <v>4</v>
      </c>
      <c r="Z565" s="21" t="s">
        <v>1116</v>
      </c>
      <c r="AA565" s="21" t="s">
        <v>75</v>
      </c>
      <c r="AB565" s="21" t="s">
        <v>1121</v>
      </c>
    </row>
    <row r="566" spans="1:28" ht="13.9" customHeight="1" x14ac:dyDescent="0.3">
      <c r="A566" s="36" t="s">
        <v>20</v>
      </c>
      <c r="B566" s="36" t="s">
        <v>21</v>
      </c>
      <c r="C566" s="36" t="s">
        <v>22</v>
      </c>
      <c r="D566" s="36" t="s">
        <v>23</v>
      </c>
      <c r="E566" s="36" t="s">
        <v>705</v>
      </c>
      <c r="F566" s="31" t="s">
        <v>76</v>
      </c>
      <c r="G566" s="36" t="s">
        <v>26</v>
      </c>
      <c r="H566" s="36" t="s">
        <v>27</v>
      </c>
      <c r="I566" s="36">
        <v>3</v>
      </c>
      <c r="J566" s="36"/>
      <c r="K566" s="36"/>
      <c r="L566" s="38">
        <v>105.94461920000001</v>
      </c>
      <c r="M566" s="38">
        <v>10.3647543</v>
      </c>
      <c r="N566" s="38" t="s">
        <v>46</v>
      </c>
      <c r="O566" s="39">
        <v>0</v>
      </c>
      <c r="P566" s="36" t="s">
        <v>30</v>
      </c>
      <c r="Q566" s="30" t="s">
        <v>31</v>
      </c>
      <c r="R566" s="40" t="s">
        <v>47</v>
      </c>
      <c r="S566" s="35">
        <v>48000</v>
      </c>
      <c r="T566" s="36" t="s">
        <v>75</v>
      </c>
      <c r="U566" s="30" t="s">
        <v>75</v>
      </c>
      <c r="V566" s="37" t="e">
        <v>#N/A</v>
      </c>
      <c r="W566" s="31" t="s">
        <v>63</v>
      </c>
      <c r="X566" s="37" t="s">
        <v>52</v>
      </c>
      <c r="Y566" s="37">
        <f>COUNTIF(F:F,F566)</f>
        <v>4</v>
      </c>
      <c r="Z566" s="21" t="s">
        <v>1116</v>
      </c>
      <c r="AA566" s="21" t="s">
        <v>75</v>
      </c>
      <c r="AB566" s="21" t="s">
        <v>1121</v>
      </c>
    </row>
    <row r="567" spans="1:28" ht="13.9" customHeight="1" x14ac:dyDescent="0.3">
      <c r="A567" s="30" t="s">
        <v>20</v>
      </c>
      <c r="B567" s="30" t="s">
        <v>21</v>
      </c>
      <c r="C567" s="30" t="s">
        <v>22</v>
      </c>
      <c r="D567" s="30" t="s">
        <v>23</v>
      </c>
      <c r="E567" s="30" t="s">
        <v>713</v>
      </c>
      <c r="F567" s="31" t="s">
        <v>713</v>
      </c>
      <c r="G567" s="30" t="s">
        <v>26</v>
      </c>
      <c r="H567" s="30" t="s">
        <v>36</v>
      </c>
      <c r="I567" s="30">
        <v>4</v>
      </c>
      <c r="J567" s="30" t="s">
        <v>37</v>
      </c>
      <c r="K567" s="30" t="s">
        <v>38</v>
      </c>
      <c r="L567" s="32">
        <v>105.93307</v>
      </c>
      <c r="M567" s="32">
        <v>10.34559</v>
      </c>
      <c r="N567" s="32" t="s">
        <v>46</v>
      </c>
      <c r="O567" s="33">
        <v>0</v>
      </c>
      <c r="P567" s="30" t="s">
        <v>39</v>
      </c>
      <c r="Q567" s="30" t="s">
        <v>31</v>
      </c>
      <c r="R567" s="34" t="s">
        <v>47</v>
      </c>
      <c r="S567" s="35">
        <v>48000</v>
      </c>
      <c r="T567" s="36" t="s">
        <v>75</v>
      </c>
      <c r="U567" s="30" t="s">
        <v>75</v>
      </c>
      <c r="V567" s="37" t="e">
        <v>#N/A</v>
      </c>
      <c r="W567" s="31" t="s">
        <v>33</v>
      </c>
      <c r="X567" s="37"/>
      <c r="Y567" s="37">
        <f>COUNTIF(F:F,F567)</f>
        <v>1</v>
      </c>
      <c r="Z567" s="21" t="s">
        <v>1116</v>
      </c>
      <c r="AA567" s="21" t="s">
        <v>75</v>
      </c>
      <c r="AB567" s="21" t="s">
        <v>1121</v>
      </c>
    </row>
    <row r="568" spans="1:28" ht="13.9" customHeight="1" x14ac:dyDescent="0.3">
      <c r="A568" s="30" t="s">
        <v>20</v>
      </c>
      <c r="B568" s="30" t="s">
        <v>21</v>
      </c>
      <c r="C568" s="30" t="s">
        <v>22</v>
      </c>
      <c r="D568" s="30" t="s">
        <v>23</v>
      </c>
      <c r="E568" s="30" t="s">
        <v>714</v>
      </c>
      <c r="F568" s="31" t="s">
        <v>714</v>
      </c>
      <c r="G568" s="30" t="s">
        <v>26</v>
      </c>
      <c r="H568" s="30" t="s">
        <v>36</v>
      </c>
      <c r="I568" s="30">
        <v>3</v>
      </c>
      <c r="J568" s="30"/>
      <c r="K568" s="30"/>
      <c r="L568" s="32">
        <v>105.93750989999999</v>
      </c>
      <c r="M568" s="32">
        <v>10.327648999999999</v>
      </c>
      <c r="N568" s="32" t="s">
        <v>46</v>
      </c>
      <c r="O568" s="33">
        <v>0</v>
      </c>
      <c r="P568" s="30" t="s">
        <v>109</v>
      </c>
      <c r="Q568" s="30" t="s">
        <v>31</v>
      </c>
      <c r="R568" s="34" t="s">
        <v>47</v>
      </c>
      <c r="S568" s="35">
        <v>48000</v>
      </c>
      <c r="T568" s="36" t="s">
        <v>75</v>
      </c>
      <c r="U568" s="30" t="s">
        <v>75</v>
      </c>
      <c r="V568" s="37" t="e">
        <v>#N/A</v>
      </c>
      <c r="W568" s="31" t="s">
        <v>33</v>
      </c>
      <c r="X568" s="37"/>
      <c r="Y568" s="37">
        <f>COUNTIF(F:F,F568)</f>
        <v>1</v>
      </c>
      <c r="Z568" s="21" t="s">
        <v>1116</v>
      </c>
      <c r="AA568" s="21" t="s">
        <v>75</v>
      </c>
      <c r="AB568" s="21" t="s">
        <v>1121</v>
      </c>
    </row>
    <row r="569" spans="1:28" ht="13.9" customHeight="1" x14ac:dyDescent="0.3">
      <c r="A569" s="30" t="s">
        <v>20</v>
      </c>
      <c r="B569" s="30" t="s">
        <v>21</v>
      </c>
      <c r="C569" s="30" t="s">
        <v>22</v>
      </c>
      <c r="D569" s="30" t="s">
        <v>23</v>
      </c>
      <c r="E569" s="30" t="s">
        <v>715</v>
      </c>
      <c r="F569" s="31" t="s">
        <v>715</v>
      </c>
      <c r="G569" s="30" t="s">
        <v>26</v>
      </c>
      <c r="H569" s="30" t="s">
        <v>36</v>
      </c>
      <c r="I569" s="30">
        <v>3</v>
      </c>
      <c r="J569" s="30" t="s">
        <v>37</v>
      </c>
      <c r="K569" s="30" t="s">
        <v>38</v>
      </c>
      <c r="L569" s="32">
        <v>105.91106000000001</v>
      </c>
      <c r="M569" s="32">
        <v>10.28612</v>
      </c>
      <c r="N569" s="32" t="s">
        <v>46</v>
      </c>
      <c r="O569" s="33">
        <v>0</v>
      </c>
      <c r="P569" s="30" t="s">
        <v>39</v>
      </c>
      <c r="Q569" s="30" t="s">
        <v>31</v>
      </c>
      <c r="R569" s="34" t="s">
        <v>47</v>
      </c>
      <c r="S569" s="35">
        <v>48000</v>
      </c>
      <c r="T569" s="36" t="s">
        <v>75</v>
      </c>
      <c r="U569" s="30" t="s">
        <v>75</v>
      </c>
      <c r="V569" s="37" t="e">
        <v>#N/A</v>
      </c>
      <c r="W569" s="31" t="s">
        <v>33</v>
      </c>
      <c r="X569" s="37"/>
      <c r="Y569" s="37">
        <f>COUNTIF(F:F,F569)</f>
        <v>1</v>
      </c>
      <c r="Z569" s="21" t="s">
        <v>1116</v>
      </c>
      <c r="AA569" s="21" t="s">
        <v>75</v>
      </c>
      <c r="AB569" s="21" t="s">
        <v>1121</v>
      </c>
    </row>
    <row r="570" spans="1:28" ht="13.9" customHeight="1" x14ac:dyDescent="0.3">
      <c r="A570" s="30" t="s">
        <v>20</v>
      </c>
      <c r="B570" s="30" t="s">
        <v>21</v>
      </c>
      <c r="C570" s="30" t="s">
        <v>22</v>
      </c>
      <c r="D570" s="30" t="s">
        <v>23</v>
      </c>
      <c r="E570" s="30" t="s">
        <v>706</v>
      </c>
      <c r="F570" s="31" t="s">
        <v>706</v>
      </c>
      <c r="G570" s="30" t="s">
        <v>26</v>
      </c>
      <c r="H570" s="30" t="s">
        <v>27</v>
      </c>
      <c r="I570" s="30">
        <v>3</v>
      </c>
      <c r="J570" s="30" t="s">
        <v>37</v>
      </c>
      <c r="K570" s="30" t="s">
        <v>38</v>
      </c>
      <c r="L570" s="32">
        <v>105.92925</v>
      </c>
      <c r="M570" s="32">
        <v>10.30367</v>
      </c>
      <c r="N570" s="32" t="s">
        <v>46</v>
      </c>
      <c r="O570" s="33">
        <v>0</v>
      </c>
      <c r="P570" s="30" t="s">
        <v>41</v>
      </c>
      <c r="Q570" s="30" t="s">
        <v>31</v>
      </c>
      <c r="R570" s="34" t="s">
        <v>47</v>
      </c>
      <c r="S570" s="35">
        <v>48000</v>
      </c>
      <c r="T570" s="36" t="s">
        <v>75</v>
      </c>
      <c r="U570" s="30" t="s">
        <v>75</v>
      </c>
      <c r="V570" s="37" t="e">
        <v>#N/A</v>
      </c>
      <c r="W570" s="31" t="s">
        <v>33</v>
      </c>
      <c r="X570" s="37" t="s">
        <v>42</v>
      </c>
      <c r="Y570" s="37">
        <f>COUNTIF(F:F,F570)</f>
        <v>2</v>
      </c>
      <c r="Z570" s="21" t="s">
        <v>1116</v>
      </c>
      <c r="AA570" s="21" t="s">
        <v>75</v>
      </c>
      <c r="AB570" s="21" t="s">
        <v>1121</v>
      </c>
    </row>
    <row r="571" spans="1:28" ht="13.9" customHeight="1" x14ac:dyDescent="0.3">
      <c r="A571" s="30" t="s">
        <v>20</v>
      </c>
      <c r="B571" s="30" t="s">
        <v>21</v>
      </c>
      <c r="C571" s="30" t="s">
        <v>22</v>
      </c>
      <c r="D571" s="30" t="s">
        <v>23</v>
      </c>
      <c r="E571" s="30" t="s">
        <v>707</v>
      </c>
      <c r="F571" s="31" t="s">
        <v>706</v>
      </c>
      <c r="G571" s="30" t="s">
        <v>26</v>
      </c>
      <c r="H571" s="30" t="s">
        <v>27</v>
      </c>
      <c r="I571" s="30">
        <v>3</v>
      </c>
      <c r="J571" s="30"/>
      <c r="K571" s="30"/>
      <c r="L571" s="32">
        <v>105.9355</v>
      </c>
      <c r="M571" s="32">
        <v>10.3165</v>
      </c>
      <c r="N571" s="32" t="s">
        <v>46</v>
      </c>
      <c r="O571" s="33">
        <v>0</v>
      </c>
      <c r="P571" s="30" t="s">
        <v>30</v>
      </c>
      <c r="Q571" s="30" t="s">
        <v>31</v>
      </c>
      <c r="R571" s="34" t="s">
        <v>47</v>
      </c>
      <c r="S571" s="35">
        <v>48000</v>
      </c>
      <c r="T571" s="36" t="s">
        <v>75</v>
      </c>
      <c r="U571" s="30" t="s">
        <v>75</v>
      </c>
      <c r="V571" s="37" t="e">
        <v>#N/A</v>
      </c>
      <c r="W571" s="31" t="s">
        <v>63</v>
      </c>
      <c r="X571" s="37" t="s">
        <v>52</v>
      </c>
      <c r="Y571" s="37">
        <f>COUNTIF(F:F,F571)</f>
        <v>2</v>
      </c>
      <c r="Z571" s="21" t="s">
        <v>1116</v>
      </c>
      <c r="AA571" s="21" t="s">
        <v>75</v>
      </c>
      <c r="AB571" s="21" t="s">
        <v>1121</v>
      </c>
    </row>
    <row r="572" spans="1:28" ht="13.9" customHeight="1" x14ac:dyDescent="0.3">
      <c r="A572" s="30" t="s">
        <v>20</v>
      </c>
      <c r="B572" s="30" t="s">
        <v>21</v>
      </c>
      <c r="C572" s="30" t="s">
        <v>22</v>
      </c>
      <c r="D572" s="30" t="s">
        <v>23</v>
      </c>
      <c r="E572" s="30" t="s">
        <v>716</v>
      </c>
      <c r="F572" s="31" t="s">
        <v>716</v>
      </c>
      <c r="G572" s="30" t="s">
        <v>26</v>
      </c>
      <c r="H572" s="30" t="s">
        <v>36</v>
      </c>
      <c r="I572" s="30">
        <v>3</v>
      </c>
      <c r="J572" s="30" t="s">
        <v>37</v>
      </c>
      <c r="K572" s="30" t="s">
        <v>38</v>
      </c>
      <c r="L572" s="32">
        <v>105.94974999999999</v>
      </c>
      <c r="M572" s="32">
        <v>10.312569999999999</v>
      </c>
      <c r="N572" s="32" t="s">
        <v>46</v>
      </c>
      <c r="O572" s="33">
        <v>0</v>
      </c>
      <c r="P572" s="30" t="s">
        <v>39</v>
      </c>
      <c r="Q572" s="30" t="s">
        <v>31</v>
      </c>
      <c r="R572" s="34" t="s">
        <v>47</v>
      </c>
      <c r="S572" s="35">
        <v>48000</v>
      </c>
      <c r="T572" s="36" t="s">
        <v>75</v>
      </c>
      <c r="U572" s="30" t="s">
        <v>75</v>
      </c>
      <c r="V572" s="37" t="e">
        <v>#N/A</v>
      </c>
      <c r="W572" s="31" t="s">
        <v>33</v>
      </c>
      <c r="X572" s="37"/>
      <c r="Y572" s="37">
        <f>COUNTIF(F:F,F572)</f>
        <v>1</v>
      </c>
      <c r="Z572" s="21" t="s">
        <v>1116</v>
      </c>
      <c r="AA572" s="21" t="s">
        <v>75</v>
      </c>
      <c r="AB572" s="21" t="s">
        <v>1121</v>
      </c>
    </row>
    <row r="573" spans="1:28" ht="13.9" customHeight="1" x14ac:dyDescent="0.3">
      <c r="A573" s="30" t="s">
        <v>20</v>
      </c>
      <c r="B573" s="30" t="s">
        <v>21</v>
      </c>
      <c r="C573" s="30" t="s">
        <v>22</v>
      </c>
      <c r="D573" s="30" t="s">
        <v>23</v>
      </c>
      <c r="E573" s="30" t="s">
        <v>717</v>
      </c>
      <c r="F573" s="31" t="s">
        <v>717</v>
      </c>
      <c r="G573" s="30" t="s">
        <v>26</v>
      </c>
      <c r="H573" s="30" t="s">
        <v>27</v>
      </c>
      <c r="I573" s="30">
        <v>3</v>
      </c>
      <c r="J573" s="30" t="s">
        <v>37</v>
      </c>
      <c r="K573" s="30" t="s">
        <v>38</v>
      </c>
      <c r="L573" s="32">
        <v>105.8754709</v>
      </c>
      <c r="M573" s="32">
        <v>10.312415400000001</v>
      </c>
      <c r="N573" s="32" t="s">
        <v>46</v>
      </c>
      <c r="O573" s="33">
        <v>0</v>
      </c>
      <c r="P573" s="30" t="s">
        <v>60</v>
      </c>
      <c r="Q573" s="30" t="s">
        <v>31</v>
      </c>
      <c r="R573" s="34" t="s">
        <v>47</v>
      </c>
      <c r="S573" s="35">
        <v>48000</v>
      </c>
      <c r="T573" s="36" t="s">
        <v>75</v>
      </c>
      <c r="U573" s="30" t="s">
        <v>75</v>
      </c>
      <c r="V573" s="37" t="e">
        <v>#N/A</v>
      </c>
      <c r="W573" s="31" t="s">
        <v>33</v>
      </c>
      <c r="X573" s="37"/>
      <c r="Y573" s="37">
        <f>COUNTIF(F:F,F573)</f>
        <v>1</v>
      </c>
      <c r="Z573" s="21" t="s">
        <v>1116</v>
      </c>
      <c r="AA573" s="21" t="s">
        <v>75</v>
      </c>
      <c r="AB573" s="21" t="s">
        <v>1121</v>
      </c>
    </row>
    <row r="574" spans="1:28" ht="13.9" customHeight="1" x14ac:dyDescent="0.3">
      <c r="A574" s="30" t="s">
        <v>20</v>
      </c>
      <c r="B574" s="30" t="s">
        <v>21</v>
      </c>
      <c r="C574" s="30" t="s">
        <v>22</v>
      </c>
      <c r="D574" s="30" t="s">
        <v>23</v>
      </c>
      <c r="E574" s="30" t="s">
        <v>718</v>
      </c>
      <c r="F574" s="31" t="s">
        <v>718</v>
      </c>
      <c r="G574" s="30" t="s">
        <v>26</v>
      </c>
      <c r="H574" s="30" t="s">
        <v>36</v>
      </c>
      <c r="I574" s="30">
        <v>4</v>
      </c>
      <c r="J574" s="30" t="s">
        <v>37</v>
      </c>
      <c r="K574" s="30" t="s">
        <v>38</v>
      </c>
      <c r="L574" s="32">
        <v>105.8903969</v>
      </c>
      <c r="M574" s="32">
        <v>10.323404500000001</v>
      </c>
      <c r="N574" s="32" t="s">
        <v>46</v>
      </c>
      <c r="O574" s="33">
        <v>0</v>
      </c>
      <c r="P574" s="30" t="s">
        <v>39</v>
      </c>
      <c r="Q574" s="30" t="s">
        <v>31</v>
      </c>
      <c r="R574" s="34" t="s">
        <v>47</v>
      </c>
      <c r="S574" s="35">
        <v>48000</v>
      </c>
      <c r="T574" s="36" t="s">
        <v>75</v>
      </c>
      <c r="U574" s="30" t="s">
        <v>75</v>
      </c>
      <c r="V574" s="37" t="e">
        <v>#N/A</v>
      </c>
      <c r="W574" s="31" t="s">
        <v>33</v>
      </c>
      <c r="X574" s="37"/>
      <c r="Y574" s="37">
        <f>COUNTIF(F:F,F574)</f>
        <v>1</v>
      </c>
      <c r="Z574" s="21" t="s">
        <v>1116</v>
      </c>
      <c r="AA574" s="21" t="s">
        <v>75</v>
      </c>
      <c r="AB574" s="21" t="s">
        <v>1121</v>
      </c>
    </row>
    <row r="575" spans="1:28" ht="13.9" customHeight="1" x14ac:dyDescent="0.3">
      <c r="A575" s="36" t="s">
        <v>20</v>
      </c>
      <c r="B575" s="36" t="s">
        <v>21</v>
      </c>
      <c r="C575" s="36" t="s">
        <v>22</v>
      </c>
      <c r="D575" s="36" t="s">
        <v>23</v>
      </c>
      <c r="E575" s="36" t="s">
        <v>708</v>
      </c>
      <c r="F575" s="31" t="s">
        <v>709</v>
      </c>
      <c r="G575" s="36" t="s">
        <v>26</v>
      </c>
      <c r="H575" s="36" t="s">
        <v>27</v>
      </c>
      <c r="I575" s="36">
        <v>3</v>
      </c>
      <c r="J575" s="36"/>
      <c r="K575" s="36"/>
      <c r="L575" s="38">
        <v>105.91212</v>
      </c>
      <c r="M575" s="38">
        <v>10.30016</v>
      </c>
      <c r="N575" s="38" t="s">
        <v>46</v>
      </c>
      <c r="O575" s="39">
        <v>0</v>
      </c>
      <c r="P575" s="36" t="s">
        <v>30</v>
      </c>
      <c r="Q575" s="30" t="s">
        <v>31</v>
      </c>
      <c r="R575" s="40" t="s">
        <v>47</v>
      </c>
      <c r="S575" s="35">
        <v>48000</v>
      </c>
      <c r="T575" s="36" t="s">
        <v>75</v>
      </c>
      <c r="U575" s="30" t="s">
        <v>75</v>
      </c>
      <c r="V575" s="37" t="e">
        <v>#N/A</v>
      </c>
      <c r="W575" s="31" t="s">
        <v>63</v>
      </c>
      <c r="X575" s="37" t="s">
        <v>52</v>
      </c>
      <c r="Y575" s="37">
        <f>COUNTIF(F:F,F575)</f>
        <v>2</v>
      </c>
      <c r="Z575" s="21" t="s">
        <v>1116</v>
      </c>
      <c r="AA575" s="21" t="s">
        <v>75</v>
      </c>
      <c r="AB575" s="21" t="s">
        <v>1121</v>
      </c>
    </row>
    <row r="576" spans="1:28" ht="13.9" customHeight="1" x14ac:dyDescent="0.3">
      <c r="A576" s="30" t="s">
        <v>20</v>
      </c>
      <c r="B576" s="30" t="s">
        <v>21</v>
      </c>
      <c r="C576" s="30" t="s">
        <v>22</v>
      </c>
      <c r="D576" s="30" t="s">
        <v>23</v>
      </c>
      <c r="E576" s="30" t="s">
        <v>709</v>
      </c>
      <c r="F576" s="31" t="s">
        <v>709</v>
      </c>
      <c r="G576" s="30" t="s">
        <v>26</v>
      </c>
      <c r="H576" s="30" t="s">
        <v>36</v>
      </c>
      <c r="I576" s="30">
        <v>3</v>
      </c>
      <c r="J576" s="30"/>
      <c r="K576" s="30"/>
      <c r="L576" s="32">
        <v>105.90318000000001</v>
      </c>
      <c r="M576" s="32">
        <v>10.291359999999999</v>
      </c>
      <c r="N576" s="32" t="s">
        <v>46</v>
      </c>
      <c r="O576" s="33">
        <v>0</v>
      </c>
      <c r="P576" s="30" t="s">
        <v>109</v>
      </c>
      <c r="Q576" s="30" t="s">
        <v>31</v>
      </c>
      <c r="R576" s="34" t="s">
        <v>47</v>
      </c>
      <c r="S576" s="35">
        <v>48000</v>
      </c>
      <c r="T576" s="36" t="s">
        <v>75</v>
      </c>
      <c r="U576" s="30" t="s">
        <v>75</v>
      </c>
      <c r="V576" s="37" t="e">
        <v>#N/A</v>
      </c>
      <c r="W576" s="31" t="s">
        <v>33</v>
      </c>
      <c r="X576" s="37" t="s">
        <v>42</v>
      </c>
      <c r="Y576" s="37">
        <f>COUNTIF(F:F,F576)</f>
        <v>2</v>
      </c>
      <c r="Z576" s="21" t="s">
        <v>1116</v>
      </c>
      <c r="AA576" s="21" t="s">
        <v>75</v>
      </c>
      <c r="AB576" s="21" t="s">
        <v>1121</v>
      </c>
    </row>
    <row r="577" spans="1:28" ht="13.9" customHeight="1" x14ac:dyDescent="0.3">
      <c r="A577" s="30" t="s">
        <v>20</v>
      </c>
      <c r="B577" s="30" t="s">
        <v>21</v>
      </c>
      <c r="C577" s="30" t="s">
        <v>22</v>
      </c>
      <c r="D577" s="30" t="s">
        <v>23</v>
      </c>
      <c r="E577" s="30" t="s">
        <v>710</v>
      </c>
      <c r="F577" s="31" t="s">
        <v>710</v>
      </c>
      <c r="G577" s="30" t="s">
        <v>26</v>
      </c>
      <c r="H577" s="30" t="s">
        <v>36</v>
      </c>
      <c r="I577" s="30">
        <v>3</v>
      </c>
      <c r="J577" s="30" t="s">
        <v>26</v>
      </c>
      <c r="K577" s="30" t="s">
        <v>405</v>
      </c>
      <c r="L577" s="32">
        <v>105.88132</v>
      </c>
      <c r="M577" s="32">
        <v>10.31793</v>
      </c>
      <c r="N577" s="32" t="s">
        <v>46</v>
      </c>
      <c r="O577" s="33">
        <v>0</v>
      </c>
      <c r="P577" s="30" t="s">
        <v>271</v>
      </c>
      <c r="Q577" s="30" t="s">
        <v>31</v>
      </c>
      <c r="R577" s="34" t="s">
        <v>47</v>
      </c>
      <c r="S577" s="35">
        <v>48000</v>
      </c>
      <c r="T577" s="36" t="s">
        <v>75</v>
      </c>
      <c r="U577" s="30" t="s">
        <v>75</v>
      </c>
      <c r="V577" s="37" t="e">
        <v>#N/A</v>
      </c>
      <c r="W577" s="31" t="s">
        <v>33</v>
      </c>
      <c r="X577" s="37"/>
      <c r="Y577" s="37">
        <f>COUNTIF(F:F,F577)</f>
        <v>1</v>
      </c>
      <c r="Z577" s="21" t="s">
        <v>1116</v>
      </c>
      <c r="AA577" s="21" t="s">
        <v>75</v>
      </c>
      <c r="AB577" s="21" t="s">
        <v>1121</v>
      </c>
    </row>
    <row r="578" spans="1:28" ht="13.9" customHeight="1" x14ac:dyDescent="0.3">
      <c r="A578" s="30" t="s">
        <v>20</v>
      </c>
      <c r="B578" s="30" t="s">
        <v>21</v>
      </c>
      <c r="C578" s="30" t="s">
        <v>22</v>
      </c>
      <c r="D578" s="30" t="s">
        <v>23</v>
      </c>
      <c r="E578" s="30" t="s">
        <v>711</v>
      </c>
      <c r="F578" s="31" t="s">
        <v>711</v>
      </c>
      <c r="G578" s="30" t="s">
        <v>26</v>
      </c>
      <c r="H578" s="30" t="s">
        <v>36</v>
      </c>
      <c r="I578" s="30">
        <v>4</v>
      </c>
      <c r="J578" s="30" t="s">
        <v>26</v>
      </c>
      <c r="K578" s="30" t="s">
        <v>269</v>
      </c>
      <c r="L578" s="32">
        <v>105.91766</v>
      </c>
      <c r="M578" s="32">
        <v>10.337870000000001</v>
      </c>
      <c r="N578" s="32" t="s">
        <v>46</v>
      </c>
      <c r="O578" s="33">
        <v>0</v>
      </c>
      <c r="P578" s="30" t="s">
        <v>271</v>
      </c>
      <c r="Q578" s="30" t="s">
        <v>31</v>
      </c>
      <c r="R578" s="34" t="s">
        <v>47</v>
      </c>
      <c r="S578" s="35">
        <v>48000</v>
      </c>
      <c r="T578" s="36" t="s">
        <v>75</v>
      </c>
      <c r="U578" s="30" t="s">
        <v>75</v>
      </c>
      <c r="V578" s="37" t="e">
        <v>#N/A</v>
      </c>
      <c r="W578" s="31" t="s">
        <v>33</v>
      </c>
      <c r="X578" s="37"/>
      <c r="Y578" s="37">
        <f>COUNTIF(F:F,F578)</f>
        <v>1</v>
      </c>
      <c r="Z578" s="21" t="s">
        <v>1116</v>
      </c>
      <c r="AA578" s="21" t="s">
        <v>75</v>
      </c>
      <c r="AB578" s="21" t="s">
        <v>1121</v>
      </c>
    </row>
    <row r="579" spans="1:28" ht="13.9" customHeight="1" x14ac:dyDescent="0.3">
      <c r="A579" s="30" t="s">
        <v>20</v>
      </c>
      <c r="B579" s="30" t="s">
        <v>21</v>
      </c>
      <c r="C579" s="30" t="s">
        <v>22</v>
      </c>
      <c r="D579" s="30" t="s">
        <v>23</v>
      </c>
      <c r="E579" s="30" t="s">
        <v>720</v>
      </c>
      <c r="F579" s="31" t="s">
        <v>720</v>
      </c>
      <c r="G579" s="30" t="s">
        <v>26</v>
      </c>
      <c r="H579" s="30" t="s">
        <v>27</v>
      </c>
      <c r="I579" s="30">
        <v>3</v>
      </c>
      <c r="J579" s="30"/>
      <c r="K579" s="30"/>
      <c r="L579" s="32">
        <v>105.872</v>
      </c>
      <c r="M579" s="32">
        <v>10.3</v>
      </c>
      <c r="N579" s="32" t="s">
        <v>46</v>
      </c>
      <c r="O579" s="33">
        <v>0</v>
      </c>
      <c r="P579" s="30" t="s">
        <v>30</v>
      </c>
      <c r="Q579" s="30" t="s">
        <v>31</v>
      </c>
      <c r="R579" s="34" t="s">
        <v>47</v>
      </c>
      <c r="S579" s="35">
        <v>48000</v>
      </c>
      <c r="T579" s="36" t="s">
        <v>75</v>
      </c>
      <c r="U579" s="30" t="s">
        <v>75</v>
      </c>
      <c r="V579" s="37" t="e">
        <v>#N/A</v>
      </c>
      <c r="W579" s="31" t="s">
        <v>33</v>
      </c>
      <c r="X579" s="37"/>
      <c r="Y579" s="37">
        <f>COUNTIF(F:F,F579)</f>
        <v>1</v>
      </c>
      <c r="Z579" s="21" t="s">
        <v>1116</v>
      </c>
      <c r="AA579" s="21" t="s">
        <v>75</v>
      </c>
      <c r="AB579" s="21" t="s">
        <v>1121</v>
      </c>
    </row>
    <row r="580" spans="1:28" ht="13.9" customHeight="1" x14ac:dyDescent="0.3">
      <c r="A580" s="30" t="s">
        <v>20</v>
      </c>
      <c r="B580" s="30" t="s">
        <v>21</v>
      </c>
      <c r="C580" s="30" t="s">
        <v>22</v>
      </c>
      <c r="D580" s="30" t="s">
        <v>23</v>
      </c>
      <c r="E580" s="30" t="s">
        <v>729</v>
      </c>
      <c r="F580" s="31" t="s">
        <v>729</v>
      </c>
      <c r="G580" s="30" t="s">
        <v>26</v>
      </c>
      <c r="H580" s="30" t="s">
        <v>27</v>
      </c>
      <c r="I580" s="30">
        <v>3</v>
      </c>
      <c r="J580" s="30" t="s">
        <v>37</v>
      </c>
      <c r="K580" s="30" t="s">
        <v>38</v>
      </c>
      <c r="L580" s="32">
        <v>105.97443</v>
      </c>
      <c r="M580" s="32">
        <v>10.44007</v>
      </c>
      <c r="N580" s="32" t="s">
        <v>46</v>
      </c>
      <c r="O580" s="33">
        <v>0</v>
      </c>
      <c r="P580" s="30" t="s">
        <v>41</v>
      </c>
      <c r="Q580" s="30" t="s">
        <v>31</v>
      </c>
      <c r="R580" s="34" t="s">
        <v>47</v>
      </c>
      <c r="S580" s="35">
        <v>48000</v>
      </c>
      <c r="T580" s="36" t="s">
        <v>722</v>
      </c>
      <c r="U580" s="30" t="s">
        <v>722</v>
      </c>
      <c r="V580" s="37" t="e">
        <v>#N/A</v>
      </c>
      <c r="W580" s="31" t="s">
        <v>33</v>
      </c>
      <c r="X580" s="37"/>
      <c r="Y580" s="37">
        <f>COUNTIF(F:F,F580)</f>
        <v>1</v>
      </c>
      <c r="Z580" s="21" t="s">
        <v>1116</v>
      </c>
      <c r="AA580" s="21" t="s">
        <v>722</v>
      </c>
      <c r="AB580" s="21" t="s">
        <v>1121</v>
      </c>
    </row>
    <row r="581" spans="1:28" ht="13.9" customHeight="1" x14ac:dyDescent="0.3">
      <c r="A581" s="30" t="s">
        <v>20</v>
      </c>
      <c r="B581" s="30" t="s">
        <v>21</v>
      </c>
      <c r="C581" s="30" t="s">
        <v>22</v>
      </c>
      <c r="D581" s="30" t="s">
        <v>23</v>
      </c>
      <c r="E581" s="30" t="s">
        <v>721</v>
      </c>
      <c r="F581" s="31" t="s">
        <v>721</v>
      </c>
      <c r="G581" s="30" t="s">
        <v>26</v>
      </c>
      <c r="H581" s="30" t="s">
        <v>36</v>
      </c>
      <c r="I581" s="30">
        <v>3</v>
      </c>
      <c r="J581" s="30" t="s">
        <v>37</v>
      </c>
      <c r="K581" s="30" t="s">
        <v>38</v>
      </c>
      <c r="L581" s="32">
        <v>105.9687266</v>
      </c>
      <c r="M581" s="32">
        <v>10.506698500000001</v>
      </c>
      <c r="N581" s="32" t="s">
        <v>46</v>
      </c>
      <c r="O581" s="33">
        <v>0</v>
      </c>
      <c r="P581" s="30" t="s">
        <v>39</v>
      </c>
      <c r="Q581" s="30" t="s">
        <v>31</v>
      </c>
      <c r="R581" s="34" t="s">
        <v>47</v>
      </c>
      <c r="S581" s="35">
        <v>48000</v>
      </c>
      <c r="T581" s="36" t="s">
        <v>722</v>
      </c>
      <c r="U581" s="30" t="s">
        <v>722</v>
      </c>
      <c r="V581" s="37" t="e">
        <v>#N/A</v>
      </c>
      <c r="W581" s="31" t="s">
        <v>33</v>
      </c>
      <c r="X581" s="37" t="s">
        <v>42</v>
      </c>
      <c r="Y581" s="37">
        <f>COUNTIF(F:F,F581)</f>
        <v>2</v>
      </c>
      <c r="Z581" s="21" t="s">
        <v>1116</v>
      </c>
      <c r="AA581" s="21" t="s">
        <v>722</v>
      </c>
      <c r="AB581" s="21" t="s">
        <v>1121</v>
      </c>
    </row>
    <row r="582" spans="1:28" ht="13.9" customHeight="1" x14ac:dyDescent="0.3">
      <c r="A582" s="36" t="s">
        <v>20</v>
      </c>
      <c r="B582" s="36" t="s">
        <v>21</v>
      </c>
      <c r="C582" s="36" t="s">
        <v>22</v>
      </c>
      <c r="D582" s="36" t="s">
        <v>23</v>
      </c>
      <c r="E582" s="36" t="s">
        <v>723</v>
      </c>
      <c r="F582" s="31" t="s">
        <v>721</v>
      </c>
      <c r="G582" s="36" t="s">
        <v>26</v>
      </c>
      <c r="H582" s="36" t="s">
        <v>27</v>
      </c>
      <c r="I582" s="36">
        <v>3</v>
      </c>
      <c r="J582" s="36"/>
      <c r="K582" s="36"/>
      <c r="L582" s="38">
        <v>105.9427841</v>
      </c>
      <c r="M582" s="38">
        <v>10.4923558</v>
      </c>
      <c r="N582" s="38" t="s">
        <v>46</v>
      </c>
      <c r="O582" s="39">
        <v>0</v>
      </c>
      <c r="P582" s="36" t="s">
        <v>30</v>
      </c>
      <c r="Q582" s="30" t="s">
        <v>31</v>
      </c>
      <c r="R582" s="40" t="s">
        <v>47</v>
      </c>
      <c r="S582" s="35">
        <v>48000</v>
      </c>
      <c r="T582" s="36" t="s">
        <v>722</v>
      </c>
      <c r="U582" s="30" t="s">
        <v>722</v>
      </c>
      <c r="V582" s="37" t="e">
        <v>#N/A</v>
      </c>
      <c r="W582" s="31" t="s">
        <v>63</v>
      </c>
      <c r="X582" s="37" t="s">
        <v>52</v>
      </c>
      <c r="Y582" s="37">
        <f>COUNTIF(F:F,F582)</f>
        <v>2</v>
      </c>
      <c r="Z582" s="21" t="s">
        <v>1116</v>
      </c>
      <c r="AA582" s="21" t="s">
        <v>722</v>
      </c>
      <c r="AB582" s="21" t="s">
        <v>1121</v>
      </c>
    </row>
    <row r="583" spans="1:28" ht="13.9" customHeight="1" x14ac:dyDescent="0.3">
      <c r="A583" s="30" t="s">
        <v>20</v>
      </c>
      <c r="B583" s="30" t="s">
        <v>21</v>
      </c>
      <c r="C583" s="30" t="s">
        <v>22</v>
      </c>
      <c r="D583" s="30" t="s">
        <v>23</v>
      </c>
      <c r="E583" s="30" t="s">
        <v>724</v>
      </c>
      <c r="F583" s="31" t="s">
        <v>724</v>
      </c>
      <c r="G583" s="30" t="s">
        <v>26</v>
      </c>
      <c r="H583" s="30" t="s">
        <v>27</v>
      </c>
      <c r="I583" s="30">
        <v>3</v>
      </c>
      <c r="J583" s="30"/>
      <c r="K583" s="30"/>
      <c r="L583" s="32">
        <v>105.93197000000001</v>
      </c>
      <c r="M583" s="32">
        <v>10.427250000000001</v>
      </c>
      <c r="N583" s="32" t="s">
        <v>46</v>
      </c>
      <c r="O583" s="33">
        <v>0</v>
      </c>
      <c r="P583" s="30" t="s">
        <v>30</v>
      </c>
      <c r="Q583" s="30" t="s">
        <v>31</v>
      </c>
      <c r="R583" s="34" t="s">
        <v>47</v>
      </c>
      <c r="S583" s="35">
        <v>48000</v>
      </c>
      <c r="T583" s="36" t="s">
        <v>722</v>
      </c>
      <c r="U583" s="30" t="s">
        <v>722</v>
      </c>
      <c r="V583" s="37" t="e">
        <v>#N/A</v>
      </c>
      <c r="W583" s="31" t="s">
        <v>33</v>
      </c>
      <c r="X583" s="37" t="s">
        <v>42</v>
      </c>
      <c r="Y583" s="37">
        <f>COUNTIF(F:F,F583)</f>
        <v>2</v>
      </c>
      <c r="Z583" s="21" t="s">
        <v>1116</v>
      </c>
      <c r="AA583" s="21" t="s">
        <v>722</v>
      </c>
      <c r="AB583" s="21" t="s">
        <v>1121</v>
      </c>
    </row>
    <row r="584" spans="1:28" ht="13.9" customHeight="1" x14ac:dyDescent="0.3">
      <c r="A584" s="36" t="s">
        <v>20</v>
      </c>
      <c r="B584" s="36" t="s">
        <v>21</v>
      </c>
      <c r="C584" s="36" t="s">
        <v>22</v>
      </c>
      <c r="D584" s="36" t="s">
        <v>23</v>
      </c>
      <c r="E584" s="36" t="s">
        <v>725</v>
      </c>
      <c r="F584" s="31" t="s">
        <v>724</v>
      </c>
      <c r="G584" s="36" t="s">
        <v>26</v>
      </c>
      <c r="H584" s="36" t="s">
        <v>27</v>
      </c>
      <c r="I584" s="36">
        <v>3</v>
      </c>
      <c r="J584" s="36"/>
      <c r="K584" s="36"/>
      <c r="L584" s="38">
        <v>105.91594000000001</v>
      </c>
      <c r="M584" s="38">
        <v>10.441470000000001</v>
      </c>
      <c r="N584" s="38" t="s">
        <v>46</v>
      </c>
      <c r="O584" s="39">
        <v>0</v>
      </c>
      <c r="P584" s="36" t="s">
        <v>30</v>
      </c>
      <c r="Q584" s="30" t="s">
        <v>31</v>
      </c>
      <c r="R584" s="40" t="s">
        <v>47</v>
      </c>
      <c r="S584" s="35">
        <v>48000</v>
      </c>
      <c r="T584" s="36" t="s">
        <v>722</v>
      </c>
      <c r="U584" s="30" t="s">
        <v>722</v>
      </c>
      <c r="V584" s="37" t="e">
        <v>#N/A</v>
      </c>
      <c r="W584" s="31" t="s">
        <v>63</v>
      </c>
      <c r="X584" s="37" t="s">
        <v>52</v>
      </c>
      <c r="Y584" s="37">
        <f>COUNTIF(F:F,F584)</f>
        <v>2</v>
      </c>
      <c r="Z584" s="21" t="s">
        <v>1116</v>
      </c>
      <c r="AA584" s="21" t="s">
        <v>722</v>
      </c>
      <c r="AB584" s="21" t="s">
        <v>1121</v>
      </c>
    </row>
    <row r="585" spans="1:28" ht="13.9" customHeight="1" x14ac:dyDescent="0.3">
      <c r="A585" s="30" t="s">
        <v>20</v>
      </c>
      <c r="B585" s="30" t="s">
        <v>21</v>
      </c>
      <c r="C585" s="30" t="s">
        <v>22</v>
      </c>
      <c r="D585" s="30" t="s">
        <v>23</v>
      </c>
      <c r="E585" s="30" t="s">
        <v>730</v>
      </c>
      <c r="F585" s="31" t="s">
        <v>730</v>
      </c>
      <c r="G585" s="30" t="s">
        <v>26</v>
      </c>
      <c r="H585" s="30" t="s">
        <v>36</v>
      </c>
      <c r="I585" s="30">
        <v>3</v>
      </c>
      <c r="J585" s="30" t="s">
        <v>37</v>
      </c>
      <c r="K585" s="30" t="s">
        <v>38</v>
      </c>
      <c r="L585" s="32">
        <v>105.98817510000001</v>
      </c>
      <c r="M585" s="32">
        <v>10.416853700000001</v>
      </c>
      <c r="N585" s="32" t="s">
        <v>46</v>
      </c>
      <c r="O585" s="33">
        <v>0</v>
      </c>
      <c r="P585" s="30" t="s">
        <v>39</v>
      </c>
      <c r="Q585" s="30" t="s">
        <v>31</v>
      </c>
      <c r="R585" s="34" t="s">
        <v>47</v>
      </c>
      <c r="S585" s="35">
        <v>48000</v>
      </c>
      <c r="T585" s="36" t="s">
        <v>722</v>
      </c>
      <c r="U585" s="30" t="s">
        <v>722</v>
      </c>
      <c r="V585" s="37" t="e">
        <v>#N/A</v>
      </c>
      <c r="W585" s="31" t="s">
        <v>33</v>
      </c>
      <c r="X585" s="37"/>
      <c r="Y585" s="37">
        <f>COUNTIF(F:F,F585)</f>
        <v>1</v>
      </c>
      <c r="Z585" s="21" t="s">
        <v>1116</v>
      </c>
      <c r="AA585" s="21" t="s">
        <v>722</v>
      </c>
      <c r="AB585" s="21" t="s">
        <v>1121</v>
      </c>
    </row>
    <row r="586" spans="1:28" ht="13.9" customHeight="1" x14ac:dyDescent="0.3">
      <c r="A586" s="30" t="s">
        <v>20</v>
      </c>
      <c r="B586" s="30" t="s">
        <v>21</v>
      </c>
      <c r="C586" s="30" t="s">
        <v>22</v>
      </c>
      <c r="D586" s="30" t="s">
        <v>23</v>
      </c>
      <c r="E586" s="30" t="s">
        <v>731</v>
      </c>
      <c r="F586" s="31" t="s">
        <v>731</v>
      </c>
      <c r="G586" s="30" t="s">
        <v>26</v>
      </c>
      <c r="H586" s="30" t="s">
        <v>27</v>
      </c>
      <c r="I586" s="30">
        <v>3</v>
      </c>
      <c r="J586" s="30"/>
      <c r="K586" s="30"/>
      <c r="L586" s="32">
        <v>105.93906</v>
      </c>
      <c r="M586" s="32">
        <v>10.456630000000001</v>
      </c>
      <c r="N586" s="32" t="s">
        <v>46</v>
      </c>
      <c r="O586" s="33">
        <v>0</v>
      </c>
      <c r="P586" s="30" t="s">
        <v>30</v>
      </c>
      <c r="Q586" s="30" t="s">
        <v>31</v>
      </c>
      <c r="R586" s="34" t="s">
        <v>47</v>
      </c>
      <c r="S586" s="35">
        <v>48000</v>
      </c>
      <c r="T586" s="36" t="s">
        <v>722</v>
      </c>
      <c r="U586" s="30" t="s">
        <v>722</v>
      </c>
      <c r="V586" s="37" t="e">
        <v>#N/A</v>
      </c>
      <c r="W586" s="31" t="s">
        <v>33</v>
      </c>
      <c r="X586" s="37"/>
      <c r="Y586" s="37">
        <f>COUNTIF(F:F,F586)</f>
        <v>1</v>
      </c>
      <c r="Z586" s="21" t="s">
        <v>1116</v>
      </c>
      <c r="AA586" s="21" t="s">
        <v>722</v>
      </c>
      <c r="AB586" s="21" t="s">
        <v>1121</v>
      </c>
    </row>
    <row r="587" spans="1:28" ht="13.9" customHeight="1" x14ac:dyDescent="0.3">
      <c r="A587" s="30" t="s">
        <v>20</v>
      </c>
      <c r="B587" s="30" t="s">
        <v>21</v>
      </c>
      <c r="C587" s="30" t="s">
        <v>22</v>
      </c>
      <c r="D587" s="30" t="s">
        <v>23</v>
      </c>
      <c r="E587" s="30" t="s">
        <v>739</v>
      </c>
      <c r="F587" s="31" t="s">
        <v>739</v>
      </c>
      <c r="G587" s="30" t="s">
        <v>26</v>
      </c>
      <c r="H587" s="30" t="s">
        <v>27</v>
      </c>
      <c r="I587" s="30">
        <v>3</v>
      </c>
      <c r="J587" s="30"/>
      <c r="K587" s="30"/>
      <c r="L587" s="32">
        <v>105.95339</v>
      </c>
      <c r="M587" s="32">
        <v>10.392620000000001</v>
      </c>
      <c r="N587" s="32" t="s">
        <v>46</v>
      </c>
      <c r="O587" s="33">
        <v>0</v>
      </c>
      <c r="P587" s="30" t="s">
        <v>30</v>
      </c>
      <c r="Q587" s="30" t="s">
        <v>31</v>
      </c>
      <c r="R587" s="34" t="s">
        <v>47</v>
      </c>
      <c r="S587" s="35">
        <v>48000</v>
      </c>
      <c r="T587" s="36" t="s">
        <v>722</v>
      </c>
      <c r="U587" s="30" t="s">
        <v>722</v>
      </c>
      <c r="V587" s="37" t="e">
        <v>#N/A</v>
      </c>
      <c r="W587" s="31" t="s">
        <v>33</v>
      </c>
      <c r="X587" s="37"/>
      <c r="Y587" s="37">
        <f>COUNTIF(F:F,F587)</f>
        <v>1</v>
      </c>
      <c r="Z587" s="21" t="s">
        <v>1116</v>
      </c>
      <c r="AA587" s="21" t="s">
        <v>722</v>
      </c>
      <c r="AB587" s="21" t="s">
        <v>1121</v>
      </c>
    </row>
    <row r="588" spans="1:28" ht="13.9" customHeight="1" x14ac:dyDescent="0.3">
      <c r="A588" s="30" t="s">
        <v>20</v>
      </c>
      <c r="B588" s="30" t="s">
        <v>21</v>
      </c>
      <c r="C588" s="30" t="s">
        <v>22</v>
      </c>
      <c r="D588" s="30" t="s">
        <v>23</v>
      </c>
      <c r="E588" s="30" t="s">
        <v>732</v>
      </c>
      <c r="F588" s="31" t="s">
        <v>732</v>
      </c>
      <c r="G588" s="30" t="s">
        <v>26</v>
      </c>
      <c r="H588" s="30" t="s">
        <v>27</v>
      </c>
      <c r="I588" s="30">
        <v>4</v>
      </c>
      <c r="J588" s="30"/>
      <c r="K588" s="30"/>
      <c r="L588" s="32">
        <v>105.9425312</v>
      </c>
      <c r="M588" s="32">
        <v>10.510993300000001</v>
      </c>
      <c r="N588" s="32" t="s">
        <v>46</v>
      </c>
      <c r="O588" s="33">
        <v>0</v>
      </c>
      <c r="P588" s="30" t="s">
        <v>30</v>
      </c>
      <c r="Q588" s="30" t="s">
        <v>31</v>
      </c>
      <c r="R588" s="34" t="s">
        <v>47</v>
      </c>
      <c r="S588" s="35">
        <v>48000</v>
      </c>
      <c r="T588" s="36" t="s">
        <v>722</v>
      </c>
      <c r="U588" s="30" t="s">
        <v>722</v>
      </c>
      <c r="V588" s="37" t="e">
        <v>#N/A</v>
      </c>
      <c r="W588" s="31" t="s">
        <v>33</v>
      </c>
      <c r="X588" s="37"/>
      <c r="Y588" s="37">
        <f>COUNTIF(F:F,F588)</f>
        <v>1</v>
      </c>
      <c r="Z588" s="21" t="s">
        <v>1116</v>
      </c>
      <c r="AA588" s="21" t="s">
        <v>722</v>
      </c>
      <c r="AB588" s="21" t="s">
        <v>1121</v>
      </c>
    </row>
    <row r="589" spans="1:28" ht="13.9" customHeight="1" x14ac:dyDescent="0.3">
      <c r="A589" s="30" t="s">
        <v>20</v>
      </c>
      <c r="B589" s="30" t="s">
        <v>21</v>
      </c>
      <c r="C589" s="30" t="s">
        <v>22</v>
      </c>
      <c r="D589" s="30" t="s">
        <v>23</v>
      </c>
      <c r="E589" s="30" t="s">
        <v>733</v>
      </c>
      <c r="F589" s="31" t="s">
        <v>733</v>
      </c>
      <c r="G589" s="30" t="s">
        <v>26</v>
      </c>
      <c r="H589" s="30" t="s">
        <v>27</v>
      </c>
      <c r="I589" s="30">
        <v>3</v>
      </c>
      <c r="J589" s="30"/>
      <c r="K589" s="30"/>
      <c r="L589" s="32">
        <v>106.00074600000001</v>
      </c>
      <c r="M589" s="32">
        <v>10.4396866</v>
      </c>
      <c r="N589" s="32" t="s">
        <v>46</v>
      </c>
      <c r="O589" s="33">
        <v>0</v>
      </c>
      <c r="P589" s="30" t="s">
        <v>30</v>
      </c>
      <c r="Q589" s="30" t="s">
        <v>31</v>
      </c>
      <c r="R589" s="34" t="s">
        <v>47</v>
      </c>
      <c r="S589" s="35">
        <v>48000</v>
      </c>
      <c r="T589" s="36" t="s">
        <v>722</v>
      </c>
      <c r="U589" s="30" t="s">
        <v>722</v>
      </c>
      <c r="V589" s="37" t="e">
        <v>#N/A</v>
      </c>
      <c r="W589" s="31" t="s">
        <v>33</v>
      </c>
      <c r="X589" s="37"/>
      <c r="Y589" s="37">
        <f>COUNTIF(F:F,F589)</f>
        <v>1</v>
      </c>
      <c r="Z589" s="21" t="s">
        <v>1116</v>
      </c>
      <c r="AA589" s="21" t="s">
        <v>722</v>
      </c>
      <c r="AB589" s="21" t="s">
        <v>1121</v>
      </c>
    </row>
    <row r="590" spans="1:28" ht="13.9" customHeight="1" x14ac:dyDescent="0.3">
      <c r="A590" s="30" t="s">
        <v>20</v>
      </c>
      <c r="B590" s="30" t="s">
        <v>21</v>
      </c>
      <c r="C590" s="30" t="s">
        <v>22</v>
      </c>
      <c r="D590" s="30" t="s">
        <v>23</v>
      </c>
      <c r="E590" s="30" t="s">
        <v>734</v>
      </c>
      <c r="F590" s="31" t="s">
        <v>734</v>
      </c>
      <c r="G590" s="30" t="s">
        <v>26</v>
      </c>
      <c r="H590" s="30" t="s">
        <v>27</v>
      </c>
      <c r="I590" s="30">
        <v>3</v>
      </c>
      <c r="J590" s="30"/>
      <c r="K590" s="30"/>
      <c r="L590" s="32">
        <v>105.98450579999999</v>
      </c>
      <c r="M590" s="32">
        <v>10.532401699999999</v>
      </c>
      <c r="N590" s="32" t="s">
        <v>46</v>
      </c>
      <c r="O590" s="33">
        <v>0</v>
      </c>
      <c r="P590" s="30" t="s">
        <v>30</v>
      </c>
      <c r="Q590" s="30" t="s">
        <v>31</v>
      </c>
      <c r="R590" s="34" t="s">
        <v>47</v>
      </c>
      <c r="S590" s="35">
        <v>48000</v>
      </c>
      <c r="T590" s="36" t="s">
        <v>722</v>
      </c>
      <c r="U590" s="30" t="s">
        <v>722</v>
      </c>
      <c r="V590" s="37" t="e">
        <v>#N/A</v>
      </c>
      <c r="W590" s="31" t="s">
        <v>33</v>
      </c>
      <c r="X590" s="37"/>
      <c r="Y590" s="37">
        <f>COUNTIF(F:F,F590)</f>
        <v>1</v>
      </c>
      <c r="Z590" s="21" t="s">
        <v>1116</v>
      </c>
      <c r="AA590" s="21" t="s">
        <v>722</v>
      </c>
      <c r="AB590" s="21" t="s">
        <v>1121</v>
      </c>
    </row>
    <row r="591" spans="1:28" ht="13.9" customHeight="1" x14ac:dyDescent="0.3">
      <c r="A591" s="30" t="s">
        <v>20</v>
      </c>
      <c r="B591" s="30" t="s">
        <v>21</v>
      </c>
      <c r="C591" s="30" t="s">
        <v>22</v>
      </c>
      <c r="D591" s="30" t="s">
        <v>23</v>
      </c>
      <c r="E591" s="30" t="s">
        <v>726</v>
      </c>
      <c r="F591" s="31" t="s">
        <v>726</v>
      </c>
      <c r="G591" s="30" t="s">
        <v>26</v>
      </c>
      <c r="H591" s="30" t="s">
        <v>27</v>
      </c>
      <c r="I591" s="30">
        <v>3</v>
      </c>
      <c r="J591" s="30"/>
      <c r="K591" s="30"/>
      <c r="L591" s="32">
        <v>105.96773949999999</v>
      </c>
      <c r="M591" s="32">
        <v>10.4613517</v>
      </c>
      <c r="N591" s="32" t="s">
        <v>46</v>
      </c>
      <c r="O591" s="33">
        <v>0</v>
      </c>
      <c r="P591" s="30" t="s">
        <v>30</v>
      </c>
      <c r="Q591" s="30" t="s">
        <v>31</v>
      </c>
      <c r="R591" s="34" t="s">
        <v>47</v>
      </c>
      <c r="S591" s="35">
        <v>48000</v>
      </c>
      <c r="T591" s="36" t="s">
        <v>722</v>
      </c>
      <c r="U591" s="30" t="s">
        <v>722</v>
      </c>
      <c r="V591" s="37" t="e">
        <v>#N/A</v>
      </c>
      <c r="W591" s="31" t="s">
        <v>33</v>
      </c>
      <c r="X591" s="37" t="s">
        <v>42</v>
      </c>
      <c r="Y591" s="37">
        <f>COUNTIF(F:F,F591)</f>
        <v>3</v>
      </c>
      <c r="Z591" s="21" t="s">
        <v>1116</v>
      </c>
      <c r="AA591" s="21" t="s">
        <v>722</v>
      </c>
      <c r="AB591" s="21" t="s">
        <v>1121</v>
      </c>
    </row>
    <row r="592" spans="1:28" ht="13.9" customHeight="1" x14ac:dyDescent="0.3">
      <c r="A592" s="36" t="s">
        <v>20</v>
      </c>
      <c r="B592" s="36" t="s">
        <v>21</v>
      </c>
      <c r="C592" s="36" t="s">
        <v>22</v>
      </c>
      <c r="D592" s="36" t="s">
        <v>23</v>
      </c>
      <c r="E592" s="36" t="s">
        <v>727</v>
      </c>
      <c r="F592" s="31" t="s">
        <v>726</v>
      </c>
      <c r="G592" s="36" t="s">
        <v>26</v>
      </c>
      <c r="H592" s="36" t="s">
        <v>27</v>
      </c>
      <c r="I592" s="36">
        <v>3</v>
      </c>
      <c r="J592" s="36"/>
      <c r="K592" s="36"/>
      <c r="L592" s="38">
        <v>105.9672336</v>
      </c>
      <c r="M592" s="38">
        <v>10.4883168</v>
      </c>
      <c r="N592" s="38" t="s">
        <v>46</v>
      </c>
      <c r="O592" s="39">
        <v>0</v>
      </c>
      <c r="P592" s="36" t="s">
        <v>30</v>
      </c>
      <c r="Q592" s="30" t="s">
        <v>31</v>
      </c>
      <c r="R592" s="40" t="s">
        <v>47</v>
      </c>
      <c r="S592" s="35">
        <v>48000</v>
      </c>
      <c r="T592" s="36" t="s">
        <v>722</v>
      </c>
      <c r="U592" s="30" t="s">
        <v>722</v>
      </c>
      <c r="V592" s="37" t="e">
        <v>#N/A</v>
      </c>
      <c r="W592" s="31" t="s">
        <v>63</v>
      </c>
      <c r="X592" s="37" t="s">
        <v>52</v>
      </c>
      <c r="Y592" s="37">
        <f>COUNTIF(F:F,F592)</f>
        <v>3</v>
      </c>
      <c r="Z592" s="21" t="s">
        <v>1116</v>
      </c>
      <c r="AA592" s="21" t="s">
        <v>722</v>
      </c>
      <c r="AB592" s="21" t="s">
        <v>1121</v>
      </c>
    </row>
    <row r="593" spans="1:28" ht="13.9" customHeight="1" x14ac:dyDescent="0.3">
      <c r="A593" s="30" t="s">
        <v>20</v>
      </c>
      <c r="B593" s="30" t="s">
        <v>21</v>
      </c>
      <c r="C593" s="30" t="s">
        <v>22</v>
      </c>
      <c r="D593" s="30" t="s">
        <v>23</v>
      </c>
      <c r="E593" s="30" t="s">
        <v>728</v>
      </c>
      <c r="F593" s="31" t="s">
        <v>726</v>
      </c>
      <c r="G593" s="30" t="s">
        <v>26</v>
      </c>
      <c r="H593" s="30" t="s">
        <v>27</v>
      </c>
      <c r="I593" s="30">
        <v>3</v>
      </c>
      <c r="J593" s="30"/>
      <c r="K593" s="30"/>
      <c r="L593" s="32">
        <v>105.98487</v>
      </c>
      <c r="M593" s="32">
        <v>10.462619999999999</v>
      </c>
      <c r="N593" s="32" t="s">
        <v>46</v>
      </c>
      <c r="O593" s="33">
        <v>0</v>
      </c>
      <c r="P593" s="30" t="s">
        <v>30</v>
      </c>
      <c r="Q593" s="30" t="s">
        <v>31</v>
      </c>
      <c r="R593" s="34" t="s">
        <v>47</v>
      </c>
      <c r="S593" s="35">
        <v>48000</v>
      </c>
      <c r="T593" s="36" t="s">
        <v>722</v>
      </c>
      <c r="U593" s="30" t="s">
        <v>722</v>
      </c>
      <c r="V593" s="37" t="e">
        <v>#N/A</v>
      </c>
      <c r="W593" s="31" t="s">
        <v>63</v>
      </c>
      <c r="X593" s="37" t="s">
        <v>52</v>
      </c>
      <c r="Y593" s="37">
        <f>COUNTIF(F:F,F593)</f>
        <v>3</v>
      </c>
      <c r="Z593" s="21" t="s">
        <v>1116</v>
      </c>
      <c r="AA593" s="21" t="s">
        <v>722</v>
      </c>
      <c r="AB593" s="21" t="s">
        <v>1121</v>
      </c>
    </row>
    <row r="594" spans="1:28" ht="13.9" customHeight="1" x14ac:dyDescent="0.3">
      <c r="A594" s="30" t="s">
        <v>20</v>
      </c>
      <c r="B594" s="30" t="s">
        <v>21</v>
      </c>
      <c r="C594" s="30" t="s">
        <v>22</v>
      </c>
      <c r="D594" s="30" t="s">
        <v>23</v>
      </c>
      <c r="E594" s="30" t="s">
        <v>735</v>
      </c>
      <c r="F594" s="31" t="s">
        <v>735</v>
      </c>
      <c r="G594" s="30" t="s">
        <v>26</v>
      </c>
      <c r="H594" s="30" t="s">
        <v>36</v>
      </c>
      <c r="I594" s="30">
        <v>3</v>
      </c>
      <c r="J594" s="30" t="s">
        <v>37</v>
      </c>
      <c r="K594" s="30" t="s">
        <v>38</v>
      </c>
      <c r="L594" s="32">
        <v>105.95529999999999</v>
      </c>
      <c r="M594" s="32">
        <v>10.4092</v>
      </c>
      <c r="N594" s="32" t="s">
        <v>46</v>
      </c>
      <c r="O594" s="33">
        <v>0</v>
      </c>
      <c r="P594" s="30" t="s">
        <v>39</v>
      </c>
      <c r="Q594" s="30" t="s">
        <v>31</v>
      </c>
      <c r="R594" s="34" t="s">
        <v>47</v>
      </c>
      <c r="S594" s="35">
        <v>48000</v>
      </c>
      <c r="T594" s="36" t="s">
        <v>722</v>
      </c>
      <c r="U594" s="30" t="s">
        <v>722</v>
      </c>
      <c r="V594" s="37" t="e">
        <v>#N/A</v>
      </c>
      <c r="W594" s="31" t="s">
        <v>33</v>
      </c>
      <c r="X594" s="37"/>
      <c r="Y594" s="37">
        <f>COUNTIF(F:F,F594)</f>
        <v>1</v>
      </c>
      <c r="Z594" s="21" t="s">
        <v>1116</v>
      </c>
      <c r="AA594" s="21" t="s">
        <v>722</v>
      </c>
      <c r="AB594" s="21" t="s">
        <v>1121</v>
      </c>
    </row>
    <row r="595" spans="1:28" ht="13.9" customHeight="1" x14ac:dyDescent="0.3">
      <c r="A595" s="30" t="s">
        <v>20</v>
      </c>
      <c r="B595" s="30" t="s">
        <v>21</v>
      </c>
      <c r="C595" s="30" t="s">
        <v>22</v>
      </c>
      <c r="D595" s="30" t="s">
        <v>23</v>
      </c>
      <c r="E595" s="30" t="s">
        <v>740</v>
      </c>
      <c r="F595" s="31" t="s">
        <v>740</v>
      </c>
      <c r="G595" s="30" t="s">
        <v>26</v>
      </c>
      <c r="H595" s="30" t="s">
        <v>27</v>
      </c>
      <c r="I595" s="30">
        <v>3</v>
      </c>
      <c r="J595" s="30"/>
      <c r="K595" s="30"/>
      <c r="L595" s="32">
        <v>105.93631000000001</v>
      </c>
      <c r="M595" s="32">
        <v>10.39772</v>
      </c>
      <c r="N595" s="32" t="s">
        <v>46</v>
      </c>
      <c r="O595" s="33">
        <v>0</v>
      </c>
      <c r="P595" s="30" t="s">
        <v>30</v>
      </c>
      <c r="Q595" s="30" t="s">
        <v>31</v>
      </c>
      <c r="R595" s="34" t="s">
        <v>47</v>
      </c>
      <c r="S595" s="35">
        <v>48000</v>
      </c>
      <c r="T595" s="36" t="s">
        <v>722</v>
      </c>
      <c r="U595" s="30" t="s">
        <v>722</v>
      </c>
      <c r="V595" s="37" t="e">
        <v>#N/A</v>
      </c>
      <c r="W595" s="31" t="s">
        <v>33</v>
      </c>
      <c r="X595" s="37"/>
      <c r="Y595" s="37">
        <f>COUNTIF(F:F,F595)</f>
        <v>1</v>
      </c>
      <c r="Z595" s="21" t="s">
        <v>1116</v>
      </c>
      <c r="AA595" s="21" t="s">
        <v>722</v>
      </c>
      <c r="AB595" s="21" t="s">
        <v>1121</v>
      </c>
    </row>
    <row r="596" spans="1:28" ht="13.9" customHeight="1" x14ac:dyDescent="0.3">
      <c r="A596" s="30" t="s">
        <v>20</v>
      </c>
      <c r="B596" s="30" t="s">
        <v>21</v>
      </c>
      <c r="C596" s="30" t="s">
        <v>22</v>
      </c>
      <c r="D596" s="30" t="s">
        <v>23</v>
      </c>
      <c r="E596" s="30" t="s">
        <v>736</v>
      </c>
      <c r="F596" s="31" t="s">
        <v>736</v>
      </c>
      <c r="G596" s="30" t="s">
        <v>26</v>
      </c>
      <c r="H596" s="30" t="s">
        <v>27</v>
      </c>
      <c r="I596" s="30">
        <v>3</v>
      </c>
      <c r="J596" s="30"/>
      <c r="K596" s="30"/>
      <c r="L596" s="32">
        <v>105.95385</v>
      </c>
      <c r="M596" s="32">
        <v>10.426450000000001</v>
      </c>
      <c r="N596" s="32" t="s">
        <v>46</v>
      </c>
      <c r="O596" s="33">
        <v>0</v>
      </c>
      <c r="P596" s="30" t="s">
        <v>30</v>
      </c>
      <c r="Q596" s="30" t="s">
        <v>31</v>
      </c>
      <c r="R596" s="34" t="s">
        <v>47</v>
      </c>
      <c r="S596" s="35">
        <v>48000</v>
      </c>
      <c r="T596" s="36" t="s">
        <v>722</v>
      </c>
      <c r="U596" s="30" t="s">
        <v>722</v>
      </c>
      <c r="V596" s="37" t="e">
        <v>#N/A</v>
      </c>
      <c r="W596" s="31" t="s">
        <v>33</v>
      </c>
      <c r="X596" s="37"/>
      <c r="Y596" s="37">
        <f>COUNTIF(F:F,F596)</f>
        <v>1</v>
      </c>
      <c r="Z596" s="21" t="s">
        <v>1116</v>
      </c>
      <c r="AA596" s="21" t="s">
        <v>722</v>
      </c>
      <c r="AB596" s="21" t="s">
        <v>1121</v>
      </c>
    </row>
    <row r="597" spans="1:28" ht="13.9" customHeight="1" x14ac:dyDescent="0.3">
      <c r="A597" s="30" t="s">
        <v>20</v>
      </c>
      <c r="B597" s="30" t="s">
        <v>21</v>
      </c>
      <c r="C597" s="30" t="s">
        <v>22</v>
      </c>
      <c r="D597" s="30" t="s">
        <v>23</v>
      </c>
      <c r="E597" s="30" t="s">
        <v>737</v>
      </c>
      <c r="F597" s="31" t="s">
        <v>737</v>
      </c>
      <c r="G597" s="30" t="s">
        <v>26</v>
      </c>
      <c r="H597" s="30" t="s">
        <v>27</v>
      </c>
      <c r="I597" s="30">
        <v>3</v>
      </c>
      <c r="J597" s="30"/>
      <c r="K597" s="30"/>
      <c r="L597" s="32">
        <v>105.9423</v>
      </c>
      <c r="M597" s="32">
        <v>10.533799999999999</v>
      </c>
      <c r="N597" s="32" t="s">
        <v>46</v>
      </c>
      <c r="O597" s="33">
        <v>0</v>
      </c>
      <c r="P597" s="30" t="s">
        <v>30</v>
      </c>
      <c r="Q597" s="30" t="s">
        <v>31</v>
      </c>
      <c r="R597" s="34" t="s">
        <v>47</v>
      </c>
      <c r="S597" s="35">
        <v>48000</v>
      </c>
      <c r="T597" s="36" t="s">
        <v>722</v>
      </c>
      <c r="U597" s="30" t="s">
        <v>722</v>
      </c>
      <c r="V597" s="37" t="e">
        <v>#N/A</v>
      </c>
      <c r="W597" s="31" t="s">
        <v>33</v>
      </c>
      <c r="X597" s="37"/>
      <c r="Y597" s="37">
        <f>COUNTIF(F:F,F597)</f>
        <v>1</v>
      </c>
      <c r="Z597" s="21" t="s">
        <v>1116</v>
      </c>
      <c r="AA597" s="21" t="s">
        <v>722</v>
      </c>
      <c r="AB597" s="21" t="s">
        <v>1121</v>
      </c>
    </row>
    <row r="598" spans="1:28" ht="13.9" customHeight="1" x14ac:dyDescent="0.3">
      <c r="A598" s="30" t="s">
        <v>20</v>
      </c>
      <c r="B598" s="30" t="s">
        <v>21</v>
      </c>
      <c r="C598" s="30" t="s">
        <v>22</v>
      </c>
      <c r="D598" s="30" t="s">
        <v>23</v>
      </c>
      <c r="E598" s="30" t="s">
        <v>738</v>
      </c>
      <c r="F598" s="31" t="s">
        <v>738</v>
      </c>
      <c r="G598" s="30" t="s">
        <v>26</v>
      </c>
      <c r="H598" s="30" t="s">
        <v>27</v>
      </c>
      <c r="I598" s="30">
        <v>3</v>
      </c>
      <c r="J598" s="30"/>
      <c r="K598" s="30"/>
      <c r="L598" s="32">
        <v>105.96651</v>
      </c>
      <c r="M598" s="32">
        <v>10.52596</v>
      </c>
      <c r="N598" s="32" t="s">
        <v>46</v>
      </c>
      <c r="O598" s="33">
        <v>0</v>
      </c>
      <c r="P598" s="30" t="s">
        <v>30</v>
      </c>
      <c r="Q598" s="30" t="s">
        <v>31</v>
      </c>
      <c r="R598" s="34" t="s">
        <v>47</v>
      </c>
      <c r="S598" s="35">
        <v>48000</v>
      </c>
      <c r="T598" s="36" t="s">
        <v>722</v>
      </c>
      <c r="U598" s="30" t="s">
        <v>722</v>
      </c>
      <c r="V598" s="37" t="e">
        <v>#N/A</v>
      </c>
      <c r="W598" s="31" t="s">
        <v>33</v>
      </c>
      <c r="X598" s="37"/>
      <c r="Y598" s="37">
        <f>COUNTIF(F:F,F598)</f>
        <v>1</v>
      </c>
      <c r="Z598" s="21" t="s">
        <v>1116</v>
      </c>
      <c r="AA598" s="21" t="s">
        <v>722</v>
      </c>
      <c r="AB598" s="21" t="s">
        <v>1121</v>
      </c>
    </row>
    <row r="599" spans="1:28" ht="13.9" customHeight="1" x14ac:dyDescent="0.3">
      <c r="A599" s="30" t="s">
        <v>20</v>
      </c>
      <c r="B599" s="30" t="s">
        <v>21</v>
      </c>
      <c r="C599" s="30" t="s">
        <v>22</v>
      </c>
      <c r="D599" s="30" t="s">
        <v>23</v>
      </c>
      <c r="E599" s="30" t="s">
        <v>747</v>
      </c>
      <c r="F599" s="31" t="s">
        <v>747</v>
      </c>
      <c r="G599" s="30" t="s">
        <v>26</v>
      </c>
      <c r="H599" s="30" t="s">
        <v>27</v>
      </c>
      <c r="I599" s="30">
        <v>4</v>
      </c>
      <c r="J599" s="30" t="s">
        <v>37</v>
      </c>
      <c r="K599" s="30" t="s">
        <v>38</v>
      </c>
      <c r="L599" s="32">
        <v>105.9119426</v>
      </c>
      <c r="M599" s="32">
        <v>10.405639600000001</v>
      </c>
      <c r="N599" s="32" t="s">
        <v>46</v>
      </c>
      <c r="O599" s="33">
        <v>0</v>
      </c>
      <c r="P599" s="30" t="s">
        <v>41</v>
      </c>
      <c r="Q599" s="30" t="s">
        <v>31</v>
      </c>
      <c r="R599" s="34" t="s">
        <v>47</v>
      </c>
      <c r="S599" s="35">
        <v>48000</v>
      </c>
      <c r="T599" s="36" t="s">
        <v>48</v>
      </c>
      <c r="U599" s="30" t="s">
        <v>48</v>
      </c>
      <c r="V599" s="37" t="e">
        <v>#N/A</v>
      </c>
      <c r="W599" s="31" t="s">
        <v>33</v>
      </c>
      <c r="X599" s="37"/>
      <c r="Y599" s="37">
        <f>COUNTIF(F:F,F599)</f>
        <v>1</v>
      </c>
      <c r="Z599" s="21" t="s">
        <v>1109</v>
      </c>
      <c r="AA599" s="21" t="s">
        <v>48</v>
      </c>
      <c r="AB599" s="21" t="s">
        <v>1121</v>
      </c>
    </row>
    <row r="600" spans="1:28" ht="13.9" customHeight="1" x14ac:dyDescent="0.3">
      <c r="A600" s="30" t="s">
        <v>20</v>
      </c>
      <c r="B600" s="30" t="s">
        <v>21</v>
      </c>
      <c r="C600" s="30" t="s">
        <v>22</v>
      </c>
      <c r="D600" s="30" t="s">
        <v>23</v>
      </c>
      <c r="E600" s="30" t="s">
        <v>54</v>
      </c>
      <c r="F600" s="31" t="s">
        <v>54</v>
      </c>
      <c r="G600" s="30" t="s">
        <v>26</v>
      </c>
      <c r="H600" s="30" t="s">
        <v>36</v>
      </c>
      <c r="I600" s="30">
        <v>4</v>
      </c>
      <c r="J600" s="30" t="s">
        <v>37</v>
      </c>
      <c r="K600" s="30" t="s">
        <v>38</v>
      </c>
      <c r="L600" s="32">
        <v>105.83814</v>
      </c>
      <c r="M600" s="32">
        <v>10.32868</v>
      </c>
      <c r="N600" s="32" t="s">
        <v>46</v>
      </c>
      <c r="O600" s="33">
        <v>0</v>
      </c>
      <c r="P600" s="30" t="s">
        <v>39</v>
      </c>
      <c r="Q600" s="30" t="s">
        <v>31</v>
      </c>
      <c r="R600" s="34" t="s">
        <v>47</v>
      </c>
      <c r="S600" s="35">
        <v>48000</v>
      </c>
      <c r="T600" s="36" t="s">
        <v>48</v>
      </c>
      <c r="U600" s="30" t="s">
        <v>48</v>
      </c>
      <c r="V600" s="37" t="e">
        <v>#N/A</v>
      </c>
      <c r="W600" s="31" t="s">
        <v>33</v>
      </c>
      <c r="X600" s="37" t="s">
        <v>42</v>
      </c>
      <c r="Y600" s="37">
        <f>COUNTIF(F:F,F600)</f>
        <v>5</v>
      </c>
      <c r="Z600" s="21" t="s">
        <v>1109</v>
      </c>
      <c r="AA600" s="21" t="s">
        <v>48</v>
      </c>
      <c r="AB600" s="21" t="s">
        <v>1121</v>
      </c>
    </row>
    <row r="601" spans="1:28" ht="13.9" customHeight="1" x14ac:dyDescent="0.3">
      <c r="A601" s="30" t="s">
        <v>20</v>
      </c>
      <c r="B601" s="30" t="s">
        <v>21</v>
      </c>
      <c r="C601" s="30" t="s">
        <v>22</v>
      </c>
      <c r="D601" s="30" t="s">
        <v>23</v>
      </c>
      <c r="E601" s="30" t="s">
        <v>53</v>
      </c>
      <c r="F601" s="31" t="s">
        <v>54</v>
      </c>
      <c r="G601" s="30" t="s">
        <v>26</v>
      </c>
      <c r="H601" s="30" t="s">
        <v>36</v>
      </c>
      <c r="I601" s="30">
        <v>4</v>
      </c>
      <c r="J601" s="30" t="s">
        <v>37</v>
      </c>
      <c r="K601" s="30" t="s">
        <v>38</v>
      </c>
      <c r="L601" s="32">
        <v>105.8401291</v>
      </c>
      <c r="M601" s="32">
        <v>10.3511799</v>
      </c>
      <c r="N601" s="32" t="s">
        <v>46</v>
      </c>
      <c r="O601" s="33">
        <v>0</v>
      </c>
      <c r="P601" s="30" t="s">
        <v>39</v>
      </c>
      <c r="Q601" s="30" t="s">
        <v>31</v>
      </c>
      <c r="R601" s="34" t="s">
        <v>47</v>
      </c>
      <c r="S601" s="35">
        <v>48000</v>
      </c>
      <c r="T601" s="36" t="s">
        <v>48</v>
      </c>
      <c r="U601" s="30" t="s">
        <v>48</v>
      </c>
      <c r="V601" s="37" t="s">
        <v>49</v>
      </c>
      <c r="W601" s="31" t="s">
        <v>50</v>
      </c>
      <c r="X601" s="37" t="s">
        <v>52</v>
      </c>
      <c r="Y601" s="37">
        <f>COUNTIF(F:F,F601)</f>
        <v>5</v>
      </c>
      <c r="Z601" s="21" t="s">
        <v>1109</v>
      </c>
      <c r="AA601" s="21" t="s">
        <v>48</v>
      </c>
      <c r="AB601" s="21" t="s">
        <v>1121</v>
      </c>
    </row>
    <row r="602" spans="1:28" ht="13.9" customHeight="1" x14ac:dyDescent="0.3">
      <c r="A602" s="30" t="s">
        <v>20</v>
      </c>
      <c r="B602" s="30" t="s">
        <v>21</v>
      </c>
      <c r="C602" s="30" t="s">
        <v>22</v>
      </c>
      <c r="D602" s="30" t="s">
        <v>23</v>
      </c>
      <c r="E602" s="30" t="s">
        <v>71</v>
      </c>
      <c r="F602" s="31" t="s">
        <v>54</v>
      </c>
      <c r="G602" s="30" t="s">
        <v>26</v>
      </c>
      <c r="H602" s="30" t="s">
        <v>27</v>
      </c>
      <c r="I602" s="30">
        <v>3</v>
      </c>
      <c r="J602" s="30" t="s">
        <v>37</v>
      </c>
      <c r="K602" s="30" t="s">
        <v>38</v>
      </c>
      <c r="L602" s="32">
        <v>105.8411835</v>
      </c>
      <c r="M602" s="32">
        <v>10.3089619</v>
      </c>
      <c r="N602" s="32" t="s">
        <v>46</v>
      </c>
      <c r="O602" s="33">
        <v>0</v>
      </c>
      <c r="P602" s="30" t="s">
        <v>41</v>
      </c>
      <c r="Q602" s="30" t="s">
        <v>31</v>
      </c>
      <c r="R602" s="34" t="s">
        <v>47</v>
      </c>
      <c r="S602" s="35">
        <v>48000</v>
      </c>
      <c r="T602" s="36" t="s">
        <v>48</v>
      </c>
      <c r="U602" s="30" t="s">
        <v>48</v>
      </c>
      <c r="V602" s="37" t="s">
        <v>49</v>
      </c>
      <c r="W602" s="31" t="s">
        <v>50</v>
      </c>
      <c r="X602" s="37" t="s">
        <v>52</v>
      </c>
      <c r="Y602" s="37">
        <f>COUNTIF(F:F,F602)</f>
        <v>5</v>
      </c>
      <c r="Z602" s="21" t="s">
        <v>1109</v>
      </c>
      <c r="AA602" s="21" t="s">
        <v>48</v>
      </c>
      <c r="AB602" s="21" t="s">
        <v>1121</v>
      </c>
    </row>
    <row r="603" spans="1:28" ht="13.9" customHeight="1" x14ac:dyDescent="0.3">
      <c r="A603" s="36" t="s">
        <v>20</v>
      </c>
      <c r="B603" s="36" t="s">
        <v>21</v>
      </c>
      <c r="C603" s="36" t="s">
        <v>22</v>
      </c>
      <c r="D603" s="36" t="s">
        <v>23</v>
      </c>
      <c r="E603" s="36" t="s">
        <v>741</v>
      </c>
      <c r="F603" s="31" t="s">
        <v>54</v>
      </c>
      <c r="G603" s="36" t="s">
        <v>26</v>
      </c>
      <c r="H603" s="36" t="s">
        <v>36</v>
      </c>
      <c r="I603" s="36">
        <v>3</v>
      </c>
      <c r="J603" s="36"/>
      <c r="K603" s="36"/>
      <c r="L603" s="38">
        <v>105.8480268</v>
      </c>
      <c r="M603" s="38">
        <v>10.3178559</v>
      </c>
      <c r="N603" s="38" t="s">
        <v>46</v>
      </c>
      <c r="O603" s="39">
        <v>0</v>
      </c>
      <c r="P603" s="36" t="s">
        <v>109</v>
      </c>
      <c r="Q603" s="30" t="s">
        <v>31</v>
      </c>
      <c r="R603" s="40" t="s">
        <v>47</v>
      </c>
      <c r="S603" s="35">
        <v>48000</v>
      </c>
      <c r="T603" s="36" t="s">
        <v>48</v>
      </c>
      <c r="U603" s="30" t="s">
        <v>48</v>
      </c>
      <c r="V603" s="37" t="e">
        <v>#N/A</v>
      </c>
      <c r="W603" s="31" t="s">
        <v>63</v>
      </c>
      <c r="X603" s="37" t="s">
        <v>52</v>
      </c>
      <c r="Y603" s="37">
        <f>COUNTIF(F:F,F603)</f>
        <v>5</v>
      </c>
      <c r="Z603" s="21" t="s">
        <v>1109</v>
      </c>
      <c r="AA603" s="21" t="s">
        <v>48</v>
      </c>
      <c r="AB603" s="21" t="s">
        <v>1121</v>
      </c>
    </row>
    <row r="604" spans="1:28" ht="13.9" customHeight="1" x14ac:dyDescent="0.3">
      <c r="A604" s="36" t="s">
        <v>20</v>
      </c>
      <c r="B604" s="36" t="s">
        <v>21</v>
      </c>
      <c r="C604" s="36" t="s">
        <v>22</v>
      </c>
      <c r="D604" s="36" t="s">
        <v>23</v>
      </c>
      <c r="E604" s="36" t="s">
        <v>742</v>
      </c>
      <c r="F604" s="31" t="s">
        <v>54</v>
      </c>
      <c r="G604" s="36" t="s">
        <v>26</v>
      </c>
      <c r="H604" s="36" t="s">
        <v>27</v>
      </c>
      <c r="I604" s="36">
        <v>3</v>
      </c>
      <c r="J604" s="36"/>
      <c r="K604" s="36"/>
      <c r="L604" s="38">
        <v>105.8261</v>
      </c>
      <c r="M604" s="38">
        <v>10.3688</v>
      </c>
      <c r="N604" s="38" t="s">
        <v>46</v>
      </c>
      <c r="O604" s="39">
        <v>0</v>
      </c>
      <c r="P604" s="36" t="s">
        <v>30</v>
      </c>
      <c r="Q604" s="30" t="s">
        <v>31</v>
      </c>
      <c r="R604" s="40" t="s">
        <v>47</v>
      </c>
      <c r="S604" s="35">
        <v>48000</v>
      </c>
      <c r="T604" s="36" t="s">
        <v>48</v>
      </c>
      <c r="U604" s="30" t="s">
        <v>48</v>
      </c>
      <c r="V604" s="37" t="e">
        <v>#N/A</v>
      </c>
      <c r="W604" s="31" t="s">
        <v>63</v>
      </c>
      <c r="X604" s="37" t="s">
        <v>52</v>
      </c>
      <c r="Y604" s="37">
        <f>COUNTIF(F:F,F604)</f>
        <v>5</v>
      </c>
      <c r="Z604" s="21" t="s">
        <v>1109</v>
      </c>
      <c r="AA604" s="21" t="s">
        <v>48</v>
      </c>
      <c r="AB604" s="21" t="s">
        <v>1121</v>
      </c>
    </row>
    <row r="605" spans="1:28" ht="13.9" customHeight="1" x14ac:dyDescent="0.3">
      <c r="A605" s="30" t="s">
        <v>20</v>
      </c>
      <c r="B605" s="30" t="s">
        <v>21</v>
      </c>
      <c r="C605" s="30" t="s">
        <v>22</v>
      </c>
      <c r="D605" s="30" t="s">
        <v>23</v>
      </c>
      <c r="E605" s="30" t="s">
        <v>748</v>
      </c>
      <c r="F605" s="31" t="s">
        <v>748</v>
      </c>
      <c r="G605" s="30" t="s">
        <v>26</v>
      </c>
      <c r="H605" s="30" t="s">
        <v>36</v>
      </c>
      <c r="I605" s="30">
        <v>3</v>
      </c>
      <c r="J605" s="30" t="s">
        <v>37</v>
      </c>
      <c r="K605" s="30" t="s">
        <v>38</v>
      </c>
      <c r="L605" s="32">
        <v>105.86507</v>
      </c>
      <c r="M605" s="32">
        <v>10.32508</v>
      </c>
      <c r="N605" s="32" t="s">
        <v>46</v>
      </c>
      <c r="O605" s="33">
        <v>0</v>
      </c>
      <c r="P605" s="30" t="s">
        <v>39</v>
      </c>
      <c r="Q605" s="30" t="s">
        <v>31</v>
      </c>
      <c r="R605" s="34" t="s">
        <v>47</v>
      </c>
      <c r="S605" s="35">
        <v>48000</v>
      </c>
      <c r="T605" s="36" t="s">
        <v>48</v>
      </c>
      <c r="U605" s="30" t="s">
        <v>48</v>
      </c>
      <c r="V605" s="37" t="e">
        <v>#N/A</v>
      </c>
      <c r="W605" s="31" t="s">
        <v>33</v>
      </c>
      <c r="X605" s="37"/>
      <c r="Y605" s="37">
        <f>COUNTIF(F:F,F605)</f>
        <v>1</v>
      </c>
      <c r="Z605" s="21" t="s">
        <v>1109</v>
      </c>
      <c r="AA605" s="21" t="s">
        <v>48</v>
      </c>
      <c r="AB605" s="21" t="s">
        <v>1121</v>
      </c>
    </row>
    <row r="606" spans="1:28" ht="13.9" customHeight="1" x14ac:dyDescent="0.3">
      <c r="A606" s="30" t="s">
        <v>20</v>
      </c>
      <c r="B606" s="30" t="s">
        <v>21</v>
      </c>
      <c r="C606" s="30" t="s">
        <v>22</v>
      </c>
      <c r="D606" s="30" t="s">
        <v>23</v>
      </c>
      <c r="E606" s="30" t="s">
        <v>749</v>
      </c>
      <c r="F606" s="31" t="s">
        <v>749</v>
      </c>
      <c r="G606" s="30" t="s">
        <v>26</v>
      </c>
      <c r="H606" s="30" t="s">
        <v>36</v>
      </c>
      <c r="I606" s="30">
        <v>3</v>
      </c>
      <c r="J606" s="30"/>
      <c r="K606" s="30"/>
      <c r="L606" s="32">
        <v>105.8895289</v>
      </c>
      <c r="M606" s="32">
        <v>10.3890499</v>
      </c>
      <c r="N606" s="32" t="s">
        <v>46</v>
      </c>
      <c r="O606" s="33">
        <v>0</v>
      </c>
      <c r="P606" s="30" t="s">
        <v>109</v>
      </c>
      <c r="Q606" s="30" t="s">
        <v>31</v>
      </c>
      <c r="R606" s="34" t="s">
        <v>47</v>
      </c>
      <c r="S606" s="35">
        <v>48000</v>
      </c>
      <c r="T606" s="36" t="s">
        <v>48</v>
      </c>
      <c r="U606" s="30" t="s">
        <v>48</v>
      </c>
      <c r="V606" s="37" t="e">
        <v>#N/A</v>
      </c>
      <c r="W606" s="31" t="s">
        <v>33</v>
      </c>
      <c r="X606" s="37"/>
      <c r="Y606" s="37">
        <f>COUNTIF(F:F,F606)</f>
        <v>1</v>
      </c>
      <c r="Z606" s="21" t="s">
        <v>1109</v>
      </c>
      <c r="AA606" s="21" t="s">
        <v>48</v>
      </c>
      <c r="AB606" s="21" t="s">
        <v>1121</v>
      </c>
    </row>
    <row r="607" spans="1:28" ht="13.9" customHeight="1" x14ac:dyDescent="0.3">
      <c r="A607" s="30" t="s">
        <v>20</v>
      </c>
      <c r="B607" s="30" t="s">
        <v>21</v>
      </c>
      <c r="C607" s="30" t="s">
        <v>22</v>
      </c>
      <c r="D607" s="30" t="s">
        <v>23</v>
      </c>
      <c r="E607" s="30" t="s">
        <v>750</v>
      </c>
      <c r="F607" s="31" t="s">
        <v>750</v>
      </c>
      <c r="G607" s="30" t="s">
        <v>26</v>
      </c>
      <c r="H607" s="30" t="s">
        <v>36</v>
      </c>
      <c r="I607" s="30">
        <v>4</v>
      </c>
      <c r="J607" s="30" t="s">
        <v>37</v>
      </c>
      <c r="K607" s="30" t="s">
        <v>38</v>
      </c>
      <c r="L607" s="32">
        <v>105.87988110000001</v>
      </c>
      <c r="M607" s="32">
        <v>10.3578115</v>
      </c>
      <c r="N607" s="32" t="s">
        <v>46</v>
      </c>
      <c r="O607" s="33">
        <v>0</v>
      </c>
      <c r="P607" s="30" t="s">
        <v>39</v>
      </c>
      <c r="Q607" s="30" t="s">
        <v>31</v>
      </c>
      <c r="R607" s="34" t="s">
        <v>47</v>
      </c>
      <c r="S607" s="35">
        <v>48000</v>
      </c>
      <c r="T607" s="36" t="s">
        <v>48</v>
      </c>
      <c r="U607" s="30" t="s">
        <v>48</v>
      </c>
      <c r="V607" s="37" t="e">
        <v>#N/A</v>
      </c>
      <c r="W607" s="31" t="s">
        <v>33</v>
      </c>
      <c r="X607" s="37"/>
      <c r="Y607" s="37">
        <f>COUNTIF(F:F,F607)</f>
        <v>1</v>
      </c>
      <c r="Z607" s="21" t="s">
        <v>1109</v>
      </c>
      <c r="AA607" s="21" t="s">
        <v>48</v>
      </c>
      <c r="AB607" s="21" t="s">
        <v>1121</v>
      </c>
    </row>
    <row r="608" spans="1:28" ht="13.9" customHeight="1" x14ac:dyDescent="0.3">
      <c r="A608" s="30" t="s">
        <v>20</v>
      </c>
      <c r="B608" s="30" t="s">
        <v>21</v>
      </c>
      <c r="C608" s="30" t="s">
        <v>22</v>
      </c>
      <c r="D608" s="30" t="s">
        <v>23</v>
      </c>
      <c r="E608" s="30" t="s">
        <v>752</v>
      </c>
      <c r="F608" s="31" t="s">
        <v>752</v>
      </c>
      <c r="G608" s="30" t="s">
        <v>26</v>
      </c>
      <c r="H608" s="30" t="s">
        <v>27</v>
      </c>
      <c r="I608" s="30">
        <v>3</v>
      </c>
      <c r="J608" s="30"/>
      <c r="K608" s="30"/>
      <c r="L608" s="32">
        <v>105.8956664</v>
      </c>
      <c r="M608" s="32">
        <v>10.419610799999999</v>
      </c>
      <c r="N608" s="32" t="s">
        <v>46</v>
      </c>
      <c r="O608" s="33">
        <v>0</v>
      </c>
      <c r="P608" s="30" t="s">
        <v>30</v>
      </c>
      <c r="Q608" s="30" t="s">
        <v>31</v>
      </c>
      <c r="R608" s="34" t="s">
        <v>47</v>
      </c>
      <c r="S608" s="35">
        <v>48000</v>
      </c>
      <c r="T608" s="36" t="s">
        <v>48</v>
      </c>
      <c r="U608" s="30" t="s">
        <v>48</v>
      </c>
      <c r="V608" s="37" t="e">
        <v>#N/A</v>
      </c>
      <c r="W608" s="31" t="s">
        <v>33</v>
      </c>
      <c r="X608" s="37"/>
      <c r="Y608" s="37">
        <f>COUNTIF(F:F,F608)</f>
        <v>1</v>
      </c>
      <c r="Z608" s="21" t="s">
        <v>1109</v>
      </c>
      <c r="AA608" s="21" t="s">
        <v>48</v>
      </c>
      <c r="AB608" s="21" t="s">
        <v>1121</v>
      </c>
    </row>
    <row r="609" spans="1:28" ht="13.9" customHeight="1" x14ac:dyDescent="0.3">
      <c r="A609" s="30" t="s">
        <v>20</v>
      </c>
      <c r="B609" s="30" t="s">
        <v>21</v>
      </c>
      <c r="C609" s="30" t="s">
        <v>22</v>
      </c>
      <c r="D609" s="30" t="s">
        <v>23</v>
      </c>
      <c r="E609" s="30" t="s">
        <v>754</v>
      </c>
      <c r="F609" s="31" t="s">
        <v>754</v>
      </c>
      <c r="G609" s="30" t="s">
        <v>26</v>
      </c>
      <c r="H609" s="30" t="s">
        <v>36</v>
      </c>
      <c r="I609" s="30">
        <v>3</v>
      </c>
      <c r="J609" s="30" t="s">
        <v>37</v>
      </c>
      <c r="K609" s="30" t="s">
        <v>38</v>
      </c>
      <c r="L609" s="32">
        <v>105.84952</v>
      </c>
      <c r="M609" s="32">
        <v>10.378410000000001</v>
      </c>
      <c r="N609" s="32" t="s">
        <v>46</v>
      </c>
      <c r="O609" s="33">
        <v>0</v>
      </c>
      <c r="P609" s="30" t="s">
        <v>39</v>
      </c>
      <c r="Q609" s="30" t="s">
        <v>31</v>
      </c>
      <c r="R609" s="34" t="s">
        <v>47</v>
      </c>
      <c r="S609" s="35">
        <v>48000</v>
      </c>
      <c r="T609" s="36" t="s">
        <v>48</v>
      </c>
      <c r="U609" s="30" t="s">
        <v>48</v>
      </c>
      <c r="V609" s="37" t="e">
        <v>#N/A</v>
      </c>
      <c r="W609" s="31" t="s">
        <v>33</v>
      </c>
      <c r="X609" s="37"/>
      <c r="Y609" s="37">
        <f>COUNTIF(F:F,F609)</f>
        <v>1</v>
      </c>
      <c r="Z609" s="21" t="s">
        <v>1109</v>
      </c>
      <c r="AA609" s="21" t="s">
        <v>48</v>
      </c>
      <c r="AB609" s="21" t="s">
        <v>1121</v>
      </c>
    </row>
    <row r="610" spans="1:28" ht="13.9" customHeight="1" x14ac:dyDescent="0.3">
      <c r="A610" s="30" t="s">
        <v>20</v>
      </c>
      <c r="B610" s="30" t="s">
        <v>21</v>
      </c>
      <c r="C610" s="30" t="s">
        <v>22</v>
      </c>
      <c r="D610" s="30" t="s">
        <v>23</v>
      </c>
      <c r="E610" s="30" t="s">
        <v>743</v>
      </c>
      <c r="F610" s="31" t="s">
        <v>743</v>
      </c>
      <c r="G610" s="30" t="s">
        <v>26</v>
      </c>
      <c r="H610" s="30" t="s">
        <v>36</v>
      </c>
      <c r="I610" s="30">
        <v>3</v>
      </c>
      <c r="J610" s="30" t="s">
        <v>37</v>
      </c>
      <c r="K610" s="30" t="s">
        <v>38</v>
      </c>
      <c r="L610" s="32">
        <v>105.9044512</v>
      </c>
      <c r="M610" s="32">
        <v>10.354119900000001</v>
      </c>
      <c r="N610" s="32" t="s">
        <v>46</v>
      </c>
      <c r="O610" s="33">
        <v>0</v>
      </c>
      <c r="P610" s="30" t="s">
        <v>39</v>
      </c>
      <c r="Q610" s="30" t="s">
        <v>31</v>
      </c>
      <c r="R610" s="34" t="s">
        <v>47</v>
      </c>
      <c r="S610" s="35">
        <v>48000</v>
      </c>
      <c r="T610" s="36" t="s">
        <v>48</v>
      </c>
      <c r="U610" s="30" t="s">
        <v>48</v>
      </c>
      <c r="V610" s="37" t="e">
        <v>#N/A</v>
      </c>
      <c r="W610" s="31" t="s">
        <v>33</v>
      </c>
      <c r="X610" s="37"/>
      <c r="Y610" s="37">
        <f>COUNTIF(F:F,F610)</f>
        <v>1</v>
      </c>
      <c r="Z610" s="21" t="s">
        <v>1109</v>
      </c>
      <c r="AA610" s="21" t="s">
        <v>48</v>
      </c>
      <c r="AB610" s="21" t="s">
        <v>1121</v>
      </c>
    </row>
    <row r="611" spans="1:28" ht="13.9" customHeight="1" x14ac:dyDescent="0.3">
      <c r="A611" s="30" t="s">
        <v>20</v>
      </c>
      <c r="B611" s="30" t="s">
        <v>21</v>
      </c>
      <c r="C611" s="30" t="s">
        <v>22</v>
      </c>
      <c r="D611" s="30" t="s">
        <v>23</v>
      </c>
      <c r="E611" s="30" t="s">
        <v>755</v>
      </c>
      <c r="F611" s="31" t="s">
        <v>755</v>
      </c>
      <c r="G611" s="30" t="s">
        <v>26</v>
      </c>
      <c r="H611" s="30" t="s">
        <v>36</v>
      </c>
      <c r="I611" s="30">
        <v>3</v>
      </c>
      <c r="J611" s="30" t="s">
        <v>37</v>
      </c>
      <c r="K611" s="30" t="s">
        <v>38</v>
      </c>
      <c r="L611" s="32">
        <v>105.88118</v>
      </c>
      <c r="M611" s="32">
        <v>10.338290000000001</v>
      </c>
      <c r="N611" s="32" t="s">
        <v>46</v>
      </c>
      <c r="O611" s="33">
        <v>0</v>
      </c>
      <c r="P611" s="30" t="s">
        <v>39</v>
      </c>
      <c r="Q611" s="30" t="s">
        <v>31</v>
      </c>
      <c r="R611" s="34" t="s">
        <v>47</v>
      </c>
      <c r="S611" s="35">
        <v>48000</v>
      </c>
      <c r="T611" s="36" t="s">
        <v>48</v>
      </c>
      <c r="U611" s="30" t="s">
        <v>48</v>
      </c>
      <c r="V611" s="37" t="e">
        <v>#N/A</v>
      </c>
      <c r="W611" s="31" t="s">
        <v>33</v>
      </c>
      <c r="X611" s="37"/>
      <c r="Y611" s="37">
        <f>COUNTIF(F:F,F611)</f>
        <v>1</v>
      </c>
      <c r="Z611" s="21" t="s">
        <v>1109</v>
      </c>
      <c r="AA611" s="21" t="s">
        <v>48</v>
      </c>
      <c r="AB611" s="21" t="s">
        <v>1121</v>
      </c>
    </row>
    <row r="612" spans="1:28" ht="13.9" customHeight="1" x14ac:dyDescent="0.3">
      <c r="A612" s="30" t="s">
        <v>20</v>
      </c>
      <c r="B612" s="30" t="s">
        <v>21</v>
      </c>
      <c r="C612" s="30" t="s">
        <v>22</v>
      </c>
      <c r="D612" s="30" t="s">
        <v>23</v>
      </c>
      <c r="E612" s="30" t="s">
        <v>756</v>
      </c>
      <c r="F612" s="31" t="s">
        <v>756</v>
      </c>
      <c r="G612" s="30" t="s">
        <v>26</v>
      </c>
      <c r="H612" s="30" t="s">
        <v>36</v>
      </c>
      <c r="I612" s="30">
        <v>4</v>
      </c>
      <c r="J612" s="30" t="s">
        <v>37</v>
      </c>
      <c r="K612" s="30" t="s">
        <v>38</v>
      </c>
      <c r="L612" s="32">
        <v>105.8702918</v>
      </c>
      <c r="M612" s="32">
        <v>10.379926299999999</v>
      </c>
      <c r="N612" s="32" t="s">
        <v>46</v>
      </c>
      <c r="O612" s="33">
        <v>0</v>
      </c>
      <c r="P612" s="30" t="s">
        <v>39</v>
      </c>
      <c r="Q612" s="30" t="s">
        <v>31</v>
      </c>
      <c r="R612" s="34" t="s">
        <v>47</v>
      </c>
      <c r="S612" s="35">
        <v>48000</v>
      </c>
      <c r="T612" s="36" t="s">
        <v>48</v>
      </c>
      <c r="U612" s="30" t="s">
        <v>48</v>
      </c>
      <c r="V612" s="37" t="e">
        <v>#N/A</v>
      </c>
      <c r="W612" s="31" t="s">
        <v>33</v>
      </c>
      <c r="X612" s="37"/>
      <c r="Y612" s="37">
        <f>COUNTIF(F:F,F612)</f>
        <v>1</v>
      </c>
      <c r="Z612" s="21" t="s">
        <v>1109</v>
      </c>
      <c r="AA612" s="21" t="s">
        <v>48</v>
      </c>
      <c r="AB612" s="21" t="s">
        <v>1121</v>
      </c>
    </row>
    <row r="613" spans="1:28" ht="13.9" customHeight="1" x14ac:dyDescent="0.3">
      <c r="A613" s="30" t="s">
        <v>20</v>
      </c>
      <c r="B613" s="30" t="s">
        <v>21</v>
      </c>
      <c r="C613" s="30" t="s">
        <v>22</v>
      </c>
      <c r="D613" s="30" t="s">
        <v>23</v>
      </c>
      <c r="E613" s="30" t="s">
        <v>744</v>
      </c>
      <c r="F613" s="31" t="s">
        <v>744</v>
      </c>
      <c r="G613" s="30" t="s">
        <v>26</v>
      </c>
      <c r="H613" s="30" t="s">
        <v>27</v>
      </c>
      <c r="I613" s="30">
        <v>3</v>
      </c>
      <c r="J613" s="30" t="s">
        <v>37</v>
      </c>
      <c r="K613" s="30" t="s">
        <v>38</v>
      </c>
      <c r="L613" s="32">
        <v>105.93904999999999</v>
      </c>
      <c r="M613" s="32">
        <v>10.37523</v>
      </c>
      <c r="N613" s="32" t="s">
        <v>46</v>
      </c>
      <c r="O613" s="33">
        <v>0</v>
      </c>
      <c r="P613" s="30" t="s">
        <v>41</v>
      </c>
      <c r="Q613" s="30" t="s">
        <v>31</v>
      </c>
      <c r="R613" s="34" t="s">
        <v>47</v>
      </c>
      <c r="S613" s="35">
        <v>48000</v>
      </c>
      <c r="T613" s="36" t="s">
        <v>48</v>
      </c>
      <c r="U613" s="30" t="s">
        <v>48</v>
      </c>
      <c r="V613" s="37" t="e">
        <v>#N/A</v>
      </c>
      <c r="W613" s="31" t="s">
        <v>33</v>
      </c>
      <c r="X613" s="37"/>
      <c r="Y613" s="37">
        <f>COUNTIF(F:F,F613)</f>
        <v>1</v>
      </c>
      <c r="Z613" s="21" t="s">
        <v>1109</v>
      </c>
      <c r="AA613" s="21" t="s">
        <v>48</v>
      </c>
      <c r="AB613" s="21" t="s">
        <v>1121</v>
      </c>
    </row>
    <row r="614" spans="1:28" ht="13.9" customHeight="1" x14ac:dyDescent="0.3">
      <c r="A614" s="30" t="s">
        <v>20</v>
      </c>
      <c r="B614" s="30" t="s">
        <v>21</v>
      </c>
      <c r="C614" s="30" t="s">
        <v>22</v>
      </c>
      <c r="D614" s="30" t="s">
        <v>23</v>
      </c>
      <c r="E614" s="30" t="s">
        <v>45</v>
      </c>
      <c r="F614" s="31" t="s">
        <v>51</v>
      </c>
      <c r="G614" s="30" t="s">
        <v>26</v>
      </c>
      <c r="H614" s="30" t="s">
        <v>36</v>
      </c>
      <c r="I614" s="30">
        <v>4</v>
      </c>
      <c r="J614" s="30" t="s">
        <v>37</v>
      </c>
      <c r="K614" s="30" t="s">
        <v>38</v>
      </c>
      <c r="L614" s="32">
        <v>105.91715000000001</v>
      </c>
      <c r="M614" s="32">
        <v>10.37612</v>
      </c>
      <c r="N614" s="32" t="s">
        <v>46</v>
      </c>
      <c r="O614" s="33">
        <v>0</v>
      </c>
      <c r="P614" s="30" t="s">
        <v>39</v>
      </c>
      <c r="Q614" s="30" t="s">
        <v>31</v>
      </c>
      <c r="R614" s="34" t="s">
        <v>47</v>
      </c>
      <c r="S614" s="35">
        <v>48000</v>
      </c>
      <c r="T614" s="36" t="s">
        <v>48</v>
      </c>
      <c r="U614" s="30" t="s">
        <v>48</v>
      </c>
      <c r="V614" s="37" t="s">
        <v>49</v>
      </c>
      <c r="W614" s="31" t="s">
        <v>50</v>
      </c>
      <c r="X614" s="37" t="s">
        <v>52</v>
      </c>
      <c r="Y614" s="37">
        <f>COUNTIF(F:F,F614)</f>
        <v>2</v>
      </c>
      <c r="Z614" s="21" t="s">
        <v>1109</v>
      </c>
      <c r="AA614" s="21" t="s">
        <v>48</v>
      </c>
      <c r="AB614" s="21" t="s">
        <v>1121</v>
      </c>
    </row>
    <row r="615" spans="1:28" ht="13.9" customHeight="1" x14ac:dyDescent="0.3">
      <c r="A615" s="30" t="s">
        <v>20</v>
      </c>
      <c r="B615" s="30" t="s">
        <v>21</v>
      </c>
      <c r="C615" s="30" t="s">
        <v>22</v>
      </c>
      <c r="D615" s="30" t="s">
        <v>23</v>
      </c>
      <c r="E615" s="30" t="s">
        <v>51</v>
      </c>
      <c r="F615" s="31" t="s">
        <v>51</v>
      </c>
      <c r="G615" s="30" t="s">
        <v>26</v>
      </c>
      <c r="H615" s="30" t="s">
        <v>36</v>
      </c>
      <c r="I615" s="30">
        <v>3</v>
      </c>
      <c r="J615" s="30" t="s">
        <v>37</v>
      </c>
      <c r="K615" s="30" t="s">
        <v>38</v>
      </c>
      <c r="L615" s="32">
        <v>105.92735</v>
      </c>
      <c r="M615" s="32">
        <v>10.359719999999999</v>
      </c>
      <c r="N615" s="32" t="s">
        <v>46</v>
      </c>
      <c r="O615" s="33">
        <v>0</v>
      </c>
      <c r="P615" s="30" t="s">
        <v>39</v>
      </c>
      <c r="Q615" s="30" t="s">
        <v>31</v>
      </c>
      <c r="R615" s="34" t="s">
        <v>47</v>
      </c>
      <c r="S615" s="35">
        <v>48000</v>
      </c>
      <c r="T615" s="36" t="s">
        <v>48</v>
      </c>
      <c r="U615" s="30" t="s">
        <v>48</v>
      </c>
      <c r="V615" s="37" t="e">
        <v>#N/A</v>
      </c>
      <c r="W615" s="31" t="s">
        <v>33</v>
      </c>
      <c r="X615" s="37" t="s">
        <v>42</v>
      </c>
      <c r="Y615" s="37">
        <f>COUNTIF(F:F,F615)</f>
        <v>2</v>
      </c>
      <c r="Z615" s="21" t="s">
        <v>1109</v>
      </c>
      <c r="AA615" s="21" t="s">
        <v>48</v>
      </c>
      <c r="AB615" s="21" t="s">
        <v>1121</v>
      </c>
    </row>
    <row r="616" spans="1:28" ht="13.9" customHeight="1" x14ac:dyDescent="0.3">
      <c r="A616" s="30" t="s">
        <v>20</v>
      </c>
      <c r="B616" s="30" t="s">
        <v>21</v>
      </c>
      <c r="C616" s="30" t="s">
        <v>22</v>
      </c>
      <c r="D616" s="30" t="s">
        <v>23</v>
      </c>
      <c r="E616" s="30" t="s">
        <v>745</v>
      </c>
      <c r="F616" s="31" t="s">
        <v>745</v>
      </c>
      <c r="G616" s="30" t="s">
        <v>26</v>
      </c>
      <c r="H616" s="30" t="s">
        <v>36</v>
      </c>
      <c r="I616" s="30">
        <v>3</v>
      </c>
      <c r="J616" s="30"/>
      <c r="K616" s="30"/>
      <c r="L616" s="32">
        <v>105.8957795</v>
      </c>
      <c r="M616" s="32">
        <v>10.3360161</v>
      </c>
      <c r="N616" s="32" t="s">
        <v>46</v>
      </c>
      <c r="O616" s="33">
        <v>0</v>
      </c>
      <c r="P616" s="30" t="s">
        <v>109</v>
      </c>
      <c r="Q616" s="30" t="s">
        <v>31</v>
      </c>
      <c r="R616" s="34" t="s">
        <v>47</v>
      </c>
      <c r="S616" s="35">
        <v>48000</v>
      </c>
      <c r="T616" s="36" t="s">
        <v>48</v>
      </c>
      <c r="U616" s="30" t="s">
        <v>48</v>
      </c>
      <c r="V616" s="37" t="e">
        <v>#N/A</v>
      </c>
      <c r="W616" s="31" t="s">
        <v>33</v>
      </c>
      <c r="X616" s="37"/>
      <c r="Y616" s="37">
        <f>COUNTIF(F:F,F616)</f>
        <v>1</v>
      </c>
      <c r="Z616" s="21" t="s">
        <v>1109</v>
      </c>
      <c r="AA616" s="21" t="s">
        <v>48</v>
      </c>
      <c r="AB616" s="21" t="s">
        <v>1121</v>
      </c>
    </row>
    <row r="617" spans="1:28" ht="13.9" customHeight="1" x14ac:dyDescent="0.3">
      <c r="A617" s="30" t="s">
        <v>20</v>
      </c>
      <c r="B617" s="30" t="s">
        <v>21</v>
      </c>
      <c r="C617" s="30" t="s">
        <v>22</v>
      </c>
      <c r="D617" s="30" t="s">
        <v>23</v>
      </c>
      <c r="E617" s="30" t="s">
        <v>758</v>
      </c>
      <c r="F617" s="31" t="s">
        <v>758</v>
      </c>
      <c r="G617" s="30" t="s">
        <v>26</v>
      </c>
      <c r="H617" s="30" t="s">
        <v>27</v>
      </c>
      <c r="I617" s="30">
        <v>3</v>
      </c>
      <c r="J617" s="30"/>
      <c r="K617" s="30"/>
      <c r="L617" s="32">
        <v>105.821</v>
      </c>
      <c r="M617" s="32">
        <v>10.350899999999999</v>
      </c>
      <c r="N617" s="32" t="s">
        <v>46</v>
      </c>
      <c r="O617" s="33">
        <v>0</v>
      </c>
      <c r="P617" s="30" t="s">
        <v>30</v>
      </c>
      <c r="Q617" s="30" t="s">
        <v>31</v>
      </c>
      <c r="R617" s="34" t="s">
        <v>47</v>
      </c>
      <c r="S617" s="35">
        <v>48000</v>
      </c>
      <c r="T617" s="36" t="s">
        <v>48</v>
      </c>
      <c r="U617" s="30" t="s">
        <v>48</v>
      </c>
      <c r="V617" s="37" t="e">
        <v>#N/A</v>
      </c>
      <c r="W617" s="31" t="s">
        <v>33</v>
      </c>
      <c r="X617" s="37"/>
      <c r="Y617" s="37">
        <f>COUNTIF(F:F,F617)</f>
        <v>1</v>
      </c>
      <c r="Z617" s="21" t="s">
        <v>1109</v>
      </c>
      <c r="AA617" s="21" t="s">
        <v>48</v>
      </c>
      <c r="AB617" s="21" t="s">
        <v>1121</v>
      </c>
    </row>
    <row r="618" spans="1:28" ht="13.9" customHeight="1" x14ac:dyDescent="0.3">
      <c r="A618" s="30" t="s">
        <v>20</v>
      </c>
      <c r="B618" s="30" t="s">
        <v>21</v>
      </c>
      <c r="C618" s="30" t="s">
        <v>22</v>
      </c>
      <c r="D618" s="30" t="s">
        <v>23</v>
      </c>
      <c r="E618" s="30" t="s">
        <v>746</v>
      </c>
      <c r="F618" s="31" t="s">
        <v>998</v>
      </c>
      <c r="G618" s="30" t="s">
        <v>26</v>
      </c>
      <c r="H618" s="30" t="s">
        <v>27</v>
      </c>
      <c r="I618" s="30">
        <v>3</v>
      </c>
      <c r="J618" s="30"/>
      <c r="K618" s="30"/>
      <c r="L618" s="32">
        <v>105.9102</v>
      </c>
      <c r="M618" s="32">
        <v>10.3452</v>
      </c>
      <c r="N618" s="32" t="s">
        <v>46</v>
      </c>
      <c r="O618" s="33">
        <v>0</v>
      </c>
      <c r="P618" s="30" t="s">
        <v>30</v>
      </c>
      <c r="Q618" s="30" t="s">
        <v>31</v>
      </c>
      <c r="R618" s="34" t="s">
        <v>47</v>
      </c>
      <c r="S618" s="35">
        <v>48000</v>
      </c>
      <c r="T618" s="36" t="s">
        <v>48</v>
      </c>
      <c r="U618" s="30" t="s">
        <v>48</v>
      </c>
      <c r="V618" s="37" t="e">
        <v>#N/A</v>
      </c>
      <c r="W618" s="31" t="s">
        <v>33</v>
      </c>
      <c r="X618" s="37"/>
      <c r="Y618" s="37">
        <f>COUNTIF(F:F,F618)</f>
        <v>1</v>
      </c>
      <c r="Z618" s="21" t="s">
        <v>1109</v>
      </c>
      <c r="AA618" s="21" t="s">
        <v>48</v>
      </c>
      <c r="AB618" s="21" t="s">
        <v>1121</v>
      </c>
    </row>
    <row r="619" spans="1:28" ht="13.9" customHeight="1" x14ac:dyDescent="0.3">
      <c r="A619" s="30" t="s">
        <v>20</v>
      </c>
      <c r="B619" s="30" t="s">
        <v>21</v>
      </c>
      <c r="C619" s="30" t="s">
        <v>22</v>
      </c>
      <c r="D619" s="30" t="s">
        <v>23</v>
      </c>
      <c r="E619" s="30" t="s">
        <v>759</v>
      </c>
      <c r="F619" s="31" t="s">
        <v>759</v>
      </c>
      <c r="G619" s="30" t="s">
        <v>26</v>
      </c>
      <c r="H619" s="30" t="s">
        <v>27</v>
      </c>
      <c r="I619" s="30">
        <v>3</v>
      </c>
      <c r="J619" s="30"/>
      <c r="K619" s="30"/>
      <c r="L619" s="32">
        <v>105.89657</v>
      </c>
      <c r="M619" s="32">
        <v>10.405754999999999</v>
      </c>
      <c r="N619" s="32" t="s">
        <v>46</v>
      </c>
      <c r="O619" s="33">
        <v>0</v>
      </c>
      <c r="P619" s="30" t="s">
        <v>30</v>
      </c>
      <c r="Q619" s="30" t="s">
        <v>31</v>
      </c>
      <c r="R619" s="34" t="s">
        <v>47</v>
      </c>
      <c r="S619" s="35">
        <v>48000</v>
      </c>
      <c r="T619" s="36" t="s">
        <v>48</v>
      </c>
      <c r="U619" s="30" t="s">
        <v>48</v>
      </c>
      <c r="V619" s="37" t="e">
        <v>#N/A</v>
      </c>
      <c r="W619" s="31" t="s">
        <v>33</v>
      </c>
      <c r="X619" s="37"/>
      <c r="Y619" s="37">
        <f>COUNTIF(F:F,F619)</f>
        <v>1</v>
      </c>
      <c r="Z619" s="21" t="s">
        <v>1109</v>
      </c>
      <c r="AA619" s="21" t="s">
        <v>48</v>
      </c>
      <c r="AB619" s="21" t="s">
        <v>1121</v>
      </c>
    </row>
    <row r="620" spans="1:28" ht="13.9" customHeight="1" x14ac:dyDescent="0.3">
      <c r="A620" s="30" t="s">
        <v>20</v>
      </c>
      <c r="B620" s="30" t="s">
        <v>21</v>
      </c>
      <c r="C620" s="30" t="s">
        <v>22</v>
      </c>
      <c r="D620" s="30" t="s">
        <v>23</v>
      </c>
      <c r="E620" s="30" t="s">
        <v>760</v>
      </c>
      <c r="F620" s="31" t="s">
        <v>760</v>
      </c>
      <c r="G620" s="30" t="s">
        <v>26</v>
      </c>
      <c r="H620" s="30" t="s">
        <v>27</v>
      </c>
      <c r="I620" s="30">
        <v>3</v>
      </c>
      <c r="J620" s="30"/>
      <c r="K620" s="30"/>
      <c r="L620" s="32">
        <v>105.89076</v>
      </c>
      <c r="M620" s="32">
        <v>10.373989999999999</v>
      </c>
      <c r="N620" s="32" t="s">
        <v>46</v>
      </c>
      <c r="O620" s="33">
        <v>0</v>
      </c>
      <c r="P620" s="30" t="s">
        <v>30</v>
      </c>
      <c r="Q620" s="30" t="s">
        <v>31</v>
      </c>
      <c r="R620" s="34" t="s">
        <v>47</v>
      </c>
      <c r="S620" s="35">
        <v>48000</v>
      </c>
      <c r="T620" s="36" t="s">
        <v>48</v>
      </c>
      <c r="U620" s="30" t="s">
        <v>48</v>
      </c>
      <c r="V620" s="37" t="e">
        <v>#N/A</v>
      </c>
      <c r="W620" s="31" t="s">
        <v>33</v>
      </c>
      <c r="X620" s="37"/>
      <c r="Y620" s="37">
        <f>COUNTIF(F:F,F620)</f>
        <v>1</v>
      </c>
      <c r="Z620" s="21" t="s">
        <v>1109</v>
      </c>
      <c r="AA620" s="21" t="s">
        <v>48</v>
      </c>
      <c r="AB620" s="21" t="s">
        <v>1121</v>
      </c>
    </row>
    <row r="621" spans="1:28" ht="13.9" customHeight="1" x14ac:dyDescent="0.3">
      <c r="A621" s="30" t="s">
        <v>20</v>
      </c>
      <c r="B621" s="30" t="s">
        <v>21</v>
      </c>
      <c r="C621" s="30" t="s">
        <v>761</v>
      </c>
      <c r="D621" s="30" t="s">
        <v>762</v>
      </c>
      <c r="E621" s="30" t="s">
        <v>763</v>
      </c>
      <c r="F621" s="31" t="s">
        <v>763</v>
      </c>
      <c r="G621" s="30" t="s">
        <v>26</v>
      </c>
      <c r="H621" s="30" t="s">
        <v>36</v>
      </c>
      <c r="I621" s="30">
        <v>4</v>
      </c>
      <c r="J621" s="30" t="s">
        <v>37</v>
      </c>
      <c r="K621" s="30" t="s">
        <v>38</v>
      </c>
      <c r="L621" s="32">
        <v>103.84375</v>
      </c>
      <c r="M621" s="32">
        <v>10.373963</v>
      </c>
      <c r="N621" s="32" t="s">
        <v>764</v>
      </c>
      <c r="O621" s="33">
        <v>0</v>
      </c>
      <c r="P621" s="30" t="s">
        <v>39</v>
      </c>
      <c r="Q621" s="30" t="s">
        <v>31</v>
      </c>
      <c r="R621" s="34" t="s">
        <v>47</v>
      </c>
      <c r="S621" s="35">
        <v>47601</v>
      </c>
      <c r="T621" s="36" t="s">
        <v>765</v>
      </c>
      <c r="U621" s="30" t="s">
        <v>765</v>
      </c>
      <c r="V621" s="37" t="e">
        <v>#N/A</v>
      </c>
      <c r="W621" s="31" t="s">
        <v>33</v>
      </c>
      <c r="X621" s="37" t="s">
        <v>42</v>
      </c>
      <c r="Y621" s="37">
        <f>COUNTIF(F:F,F621)</f>
        <v>4</v>
      </c>
      <c r="Z621" s="21" t="s">
        <v>1109</v>
      </c>
      <c r="AA621" s="21" t="s">
        <v>765</v>
      </c>
      <c r="AB621" s="21" t="s">
        <v>1121</v>
      </c>
    </row>
    <row r="622" spans="1:28" ht="13.9" customHeight="1" x14ac:dyDescent="0.3">
      <c r="A622" s="36" t="s">
        <v>20</v>
      </c>
      <c r="B622" s="36" t="s">
        <v>21</v>
      </c>
      <c r="C622" s="36" t="s">
        <v>761</v>
      </c>
      <c r="D622" s="36" t="s">
        <v>762</v>
      </c>
      <c r="E622" s="36" t="s">
        <v>766</v>
      </c>
      <c r="F622" s="31" t="s">
        <v>763</v>
      </c>
      <c r="G622" s="36" t="s">
        <v>26</v>
      </c>
      <c r="H622" s="36" t="s">
        <v>27</v>
      </c>
      <c r="I622" s="36">
        <v>3</v>
      </c>
      <c r="J622" s="36"/>
      <c r="K622" s="36"/>
      <c r="L622" s="38">
        <v>103.83846200000001</v>
      </c>
      <c r="M622" s="38">
        <v>10.372979000000001</v>
      </c>
      <c r="N622" s="38" t="s">
        <v>764</v>
      </c>
      <c r="O622" s="39">
        <v>0</v>
      </c>
      <c r="P622" s="36" t="s">
        <v>30</v>
      </c>
      <c r="Q622" s="30" t="s">
        <v>31</v>
      </c>
      <c r="R622" s="40" t="s">
        <v>47</v>
      </c>
      <c r="S622" s="35">
        <v>47601</v>
      </c>
      <c r="T622" s="36" t="s">
        <v>765</v>
      </c>
      <c r="U622" s="30" t="s">
        <v>765</v>
      </c>
      <c r="V622" s="37" t="e">
        <v>#N/A</v>
      </c>
      <c r="W622" s="31" t="s">
        <v>63</v>
      </c>
      <c r="X622" s="37" t="s">
        <v>52</v>
      </c>
      <c r="Y622" s="37">
        <f>COUNTIF(F:F,F622)</f>
        <v>4</v>
      </c>
      <c r="Z622" s="21" t="s">
        <v>1109</v>
      </c>
      <c r="AA622" s="21" t="s">
        <v>765</v>
      </c>
      <c r="AB622" s="21" t="s">
        <v>1121</v>
      </c>
    </row>
    <row r="623" spans="1:28" ht="13.9" customHeight="1" x14ac:dyDescent="0.3">
      <c r="A623" s="36" t="s">
        <v>20</v>
      </c>
      <c r="B623" s="36" t="s">
        <v>21</v>
      </c>
      <c r="C623" s="36" t="s">
        <v>761</v>
      </c>
      <c r="D623" s="36" t="s">
        <v>762</v>
      </c>
      <c r="E623" s="36" t="s">
        <v>767</v>
      </c>
      <c r="F623" s="31" t="s">
        <v>763</v>
      </c>
      <c r="G623" s="36" t="s">
        <v>26</v>
      </c>
      <c r="H623" s="36" t="s">
        <v>27</v>
      </c>
      <c r="I623" s="36">
        <v>3</v>
      </c>
      <c r="J623" s="36"/>
      <c r="K623" s="36"/>
      <c r="L623" s="38">
        <v>103.86107</v>
      </c>
      <c r="M623" s="38">
        <v>10.37201</v>
      </c>
      <c r="N623" s="38" t="s">
        <v>764</v>
      </c>
      <c r="O623" s="39">
        <v>0</v>
      </c>
      <c r="P623" s="36" t="s">
        <v>30</v>
      </c>
      <c r="Q623" s="30" t="s">
        <v>31</v>
      </c>
      <c r="R623" s="40" t="s">
        <v>47</v>
      </c>
      <c r="S623" s="35">
        <v>47601</v>
      </c>
      <c r="T623" s="36" t="s">
        <v>765</v>
      </c>
      <c r="U623" s="30" t="s">
        <v>765</v>
      </c>
      <c r="V623" s="37" t="e">
        <v>#N/A</v>
      </c>
      <c r="W623" s="31" t="s">
        <v>63</v>
      </c>
      <c r="X623" s="37" t="s">
        <v>52</v>
      </c>
      <c r="Y623" s="37">
        <f>COUNTIF(F:F,F623)</f>
        <v>4</v>
      </c>
      <c r="Z623" s="21" t="s">
        <v>1109</v>
      </c>
      <c r="AA623" s="21" t="s">
        <v>765</v>
      </c>
      <c r="AB623" s="21" t="s">
        <v>1121</v>
      </c>
    </row>
    <row r="624" spans="1:28" s="22" customFormat="1" ht="13.9" customHeight="1" x14ac:dyDescent="0.3">
      <c r="A624" s="36" t="s">
        <v>20</v>
      </c>
      <c r="B624" s="36" t="s">
        <v>21</v>
      </c>
      <c r="C624" s="36" t="s">
        <v>761</v>
      </c>
      <c r="D624" s="36" t="s">
        <v>762</v>
      </c>
      <c r="E624" s="36" t="s">
        <v>769</v>
      </c>
      <c r="F624" s="31" t="s">
        <v>763</v>
      </c>
      <c r="G624" s="36" t="s">
        <v>26</v>
      </c>
      <c r="H624" s="36" t="s">
        <v>36</v>
      </c>
      <c r="I624" s="36">
        <v>3</v>
      </c>
      <c r="J624" s="36" t="s">
        <v>37</v>
      </c>
      <c r="K624" s="36" t="s">
        <v>38</v>
      </c>
      <c r="L624" s="38">
        <v>103.85299999999999</v>
      </c>
      <c r="M624" s="38">
        <v>10.3758</v>
      </c>
      <c r="N624" s="38" t="s">
        <v>764</v>
      </c>
      <c r="O624" s="39">
        <v>0</v>
      </c>
      <c r="P624" s="36" t="s">
        <v>39</v>
      </c>
      <c r="Q624" s="30" t="s">
        <v>31</v>
      </c>
      <c r="R624" s="40" t="s">
        <v>47</v>
      </c>
      <c r="S624" s="35">
        <v>47601</v>
      </c>
      <c r="T624" s="36" t="s">
        <v>765</v>
      </c>
      <c r="U624" s="30" t="s">
        <v>765</v>
      </c>
      <c r="V624" s="37" t="e">
        <v>#N/A</v>
      </c>
      <c r="W624" s="31" t="s">
        <v>63</v>
      </c>
      <c r="X624" s="37" t="s">
        <v>52</v>
      </c>
      <c r="Y624" s="37">
        <f>COUNTIF(F:F,F624)</f>
        <v>4</v>
      </c>
      <c r="Z624" s="21" t="s">
        <v>1109</v>
      </c>
      <c r="AA624" s="21" t="s">
        <v>765</v>
      </c>
      <c r="AB624" s="21" t="s">
        <v>1121</v>
      </c>
    </row>
    <row r="625" spans="1:28" ht="13.9" customHeight="1" x14ac:dyDescent="0.3">
      <c r="A625" s="36" t="s">
        <v>20</v>
      </c>
      <c r="B625" s="36" t="s">
        <v>21</v>
      </c>
      <c r="C625" s="36" t="s">
        <v>761</v>
      </c>
      <c r="D625" s="36" t="s">
        <v>762</v>
      </c>
      <c r="E625" s="36" t="s">
        <v>775</v>
      </c>
      <c r="F625" s="31" t="s">
        <v>776</v>
      </c>
      <c r="G625" s="36" t="s">
        <v>26</v>
      </c>
      <c r="H625" s="36" t="s">
        <v>36</v>
      </c>
      <c r="I625" s="36">
        <v>4</v>
      </c>
      <c r="J625" s="36" t="s">
        <v>37</v>
      </c>
      <c r="K625" s="36" t="s">
        <v>38</v>
      </c>
      <c r="L625" s="38">
        <v>103.85</v>
      </c>
      <c r="M625" s="38">
        <v>10.3375</v>
      </c>
      <c r="N625" s="38" t="s">
        <v>764</v>
      </c>
      <c r="O625" s="39">
        <v>0</v>
      </c>
      <c r="P625" s="36" t="s">
        <v>39</v>
      </c>
      <c r="Q625" s="30" t="s">
        <v>31</v>
      </c>
      <c r="R625" s="40" t="s">
        <v>47</v>
      </c>
      <c r="S625" s="35">
        <v>47601</v>
      </c>
      <c r="T625" s="36" t="s">
        <v>765</v>
      </c>
      <c r="U625" s="30" t="s">
        <v>765</v>
      </c>
      <c r="V625" s="37" t="e">
        <v>#N/A</v>
      </c>
      <c r="W625" s="31" t="s">
        <v>777</v>
      </c>
      <c r="X625" s="37"/>
      <c r="Y625" s="37">
        <f>COUNTIF(F:F,F625)</f>
        <v>1</v>
      </c>
      <c r="Z625" s="21" t="s">
        <v>1109</v>
      </c>
      <c r="AA625" s="21" t="s">
        <v>765</v>
      </c>
      <c r="AB625" s="21" t="s">
        <v>1121</v>
      </c>
    </row>
    <row r="626" spans="1:28" ht="13.9" customHeight="1" x14ac:dyDescent="0.3">
      <c r="A626" s="36" t="s">
        <v>20</v>
      </c>
      <c r="B626" s="36" t="s">
        <v>21</v>
      </c>
      <c r="C626" s="36" t="s">
        <v>761</v>
      </c>
      <c r="D626" s="36" t="s">
        <v>762</v>
      </c>
      <c r="E626" s="36" t="s">
        <v>771</v>
      </c>
      <c r="F626" s="31" t="s">
        <v>770</v>
      </c>
      <c r="G626" s="36" t="s">
        <v>26</v>
      </c>
      <c r="H626" s="36" t="s">
        <v>36</v>
      </c>
      <c r="I626" s="36">
        <v>3</v>
      </c>
      <c r="J626" s="36" t="s">
        <v>37</v>
      </c>
      <c r="K626" s="36" t="s">
        <v>38</v>
      </c>
      <c r="L626" s="38">
        <v>103.848125</v>
      </c>
      <c r="M626" s="38">
        <v>10.344148000000001</v>
      </c>
      <c r="N626" s="38" t="s">
        <v>764</v>
      </c>
      <c r="O626" s="39">
        <v>0</v>
      </c>
      <c r="P626" s="36" t="s">
        <v>39</v>
      </c>
      <c r="Q626" s="30" t="s">
        <v>31</v>
      </c>
      <c r="R626" s="40" t="s">
        <v>47</v>
      </c>
      <c r="S626" s="35">
        <v>47601</v>
      </c>
      <c r="T626" s="36" t="s">
        <v>765</v>
      </c>
      <c r="U626" s="30" t="s">
        <v>765</v>
      </c>
      <c r="V626" s="37" t="e">
        <v>#N/A</v>
      </c>
      <c r="W626" s="31" t="s">
        <v>63</v>
      </c>
      <c r="X626" s="37" t="s">
        <v>52</v>
      </c>
      <c r="Y626" s="37">
        <f>COUNTIF(F:F,F626)</f>
        <v>3</v>
      </c>
      <c r="Z626" s="21" t="s">
        <v>1109</v>
      </c>
      <c r="AA626" s="21" t="s">
        <v>765</v>
      </c>
      <c r="AB626" s="21" t="s">
        <v>1121</v>
      </c>
    </row>
    <row r="627" spans="1:28" ht="13.9" customHeight="1" x14ac:dyDescent="0.3">
      <c r="A627" s="30" t="s">
        <v>20</v>
      </c>
      <c r="B627" s="30" t="s">
        <v>21</v>
      </c>
      <c r="C627" s="30" t="s">
        <v>761</v>
      </c>
      <c r="D627" s="30" t="s">
        <v>762</v>
      </c>
      <c r="E627" s="30" t="s">
        <v>770</v>
      </c>
      <c r="F627" s="31" t="s">
        <v>770</v>
      </c>
      <c r="G627" s="30" t="s">
        <v>26</v>
      </c>
      <c r="H627" s="30" t="s">
        <v>36</v>
      </c>
      <c r="I627" s="30">
        <v>3</v>
      </c>
      <c r="J627" s="30" t="s">
        <v>26</v>
      </c>
      <c r="K627" s="30" t="s">
        <v>405</v>
      </c>
      <c r="L627" s="32">
        <v>103.84699999999999</v>
      </c>
      <c r="M627" s="32">
        <v>10.36073</v>
      </c>
      <c r="N627" s="32" t="s">
        <v>764</v>
      </c>
      <c r="O627" s="33">
        <v>0</v>
      </c>
      <c r="P627" s="30" t="s">
        <v>271</v>
      </c>
      <c r="Q627" s="30" t="s">
        <v>31</v>
      </c>
      <c r="R627" s="34" t="s">
        <v>47</v>
      </c>
      <c r="S627" s="35">
        <v>47601</v>
      </c>
      <c r="T627" s="36" t="s">
        <v>765</v>
      </c>
      <c r="U627" s="30" t="s">
        <v>765</v>
      </c>
      <c r="V627" s="37" t="e">
        <v>#N/A</v>
      </c>
      <c r="W627" s="31" t="s">
        <v>33</v>
      </c>
      <c r="X627" s="37" t="s">
        <v>42</v>
      </c>
      <c r="Y627" s="37">
        <f>COUNTIF(F:F,F627)</f>
        <v>3</v>
      </c>
      <c r="Z627" s="21" t="s">
        <v>1109</v>
      </c>
      <c r="AA627" s="21" t="s">
        <v>765</v>
      </c>
      <c r="AB627" s="21" t="s">
        <v>1121</v>
      </c>
    </row>
    <row r="628" spans="1:28" ht="13.9" customHeight="1" x14ac:dyDescent="0.3">
      <c r="A628" s="36" t="s">
        <v>20</v>
      </c>
      <c r="B628" s="36" t="s">
        <v>21</v>
      </c>
      <c r="C628" s="36" t="s">
        <v>761</v>
      </c>
      <c r="D628" s="36" t="s">
        <v>762</v>
      </c>
      <c r="E628" s="36" t="s">
        <v>772</v>
      </c>
      <c r="F628" s="31" t="s">
        <v>770</v>
      </c>
      <c r="G628" s="36" t="s">
        <v>26</v>
      </c>
      <c r="H628" s="36" t="s">
        <v>36</v>
      </c>
      <c r="I628" s="36">
        <v>3</v>
      </c>
      <c r="J628" s="36" t="s">
        <v>37</v>
      </c>
      <c r="K628" s="36" t="s">
        <v>38</v>
      </c>
      <c r="L628" s="38">
        <v>103.8429</v>
      </c>
      <c r="M628" s="38">
        <v>10.3591</v>
      </c>
      <c r="N628" s="38" t="s">
        <v>764</v>
      </c>
      <c r="O628" s="39">
        <v>0</v>
      </c>
      <c r="P628" s="36" t="s">
        <v>39</v>
      </c>
      <c r="Q628" s="30" t="s">
        <v>31</v>
      </c>
      <c r="R628" s="40" t="s">
        <v>47</v>
      </c>
      <c r="S628" s="35">
        <v>47601</v>
      </c>
      <c r="T628" s="36" t="s">
        <v>765</v>
      </c>
      <c r="U628" s="30" t="s">
        <v>765</v>
      </c>
      <c r="V628" s="37" t="e">
        <v>#N/A</v>
      </c>
      <c r="W628" s="31" t="s">
        <v>63</v>
      </c>
      <c r="X628" s="37" t="s">
        <v>52</v>
      </c>
      <c r="Y628" s="37">
        <f>COUNTIF(F:F,F628)</f>
        <v>3</v>
      </c>
      <c r="Z628" s="21" t="s">
        <v>1109</v>
      </c>
      <c r="AA628" s="21" t="s">
        <v>765</v>
      </c>
      <c r="AB628" s="21" t="s">
        <v>1121</v>
      </c>
    </row>
    <row r="629" spans="1:28" ht="13.9" customHeight="1" x14ac:dyDescent="0.3">
      <c r="A629" s="30" t="s">
        <v>20</v>
      </c>
      <c r="B629" s="30" t="s">
        <v>21</v>
      </c>
      <c r="C629" s="30" t="s">
        <v>761</v>
      </c>
      <c r="D629" s="30" t="s">
        <v>762</v>
      </c>
      <c r="E629" s="30" t="s">
        <v>773</v>
      </c>
      <c r="F629" s="31" t="s">
        <v>773</v>
      </c>
      <c r="G629" s="30" t="s">
        <v>26</v>
      </c>
      <c r="H629" s="30" t="s">
        <v>36</v>
      </c>
      <c r="I629" s="30">
        <v>3</v>
      </c>
      <c r="J629" s="30" t="s">
        <v>37</v>
      </c>
      <c r="K629" s="30" t="s">
        <v>38</v>
      </c>
      <c r="L629" s="32">
        <v>103.843492</v>
      </c>
      <c r="M629" s="32">
        <v>10.369407000000001</v>
      </c>
      <c r="N629" s="32" t="s">
        <v>764</v>
      </c>
      <c r="O629" s="33">
        <v>0</v>
      </c>
      <c r="P629" s="30" t="s">
        <v>39</v>
      </c>
      <c r="Q629" s="30" t="s">
        <v>31</v>
      </c>
      <c r="R629" s="34" t="s">
        <v>47</v>
      </c>
      <c r="S629" s="35">
        <v>47601</v>
      </c>
      <c r="T629" s="36" t="s">
        <v>765</v>
      </c>
      <c r="U629" s="30" t="s">
        <v>765</v>
      </c>
      <c r="V629" s="37" t="e">
        <v>#N/A</v>
      </c>
      <c r="W629" s="31" t="s">
        <v>1001</v>
      </c>
      <c r="X629" s="37" t="s">
        <v>42</v>
      </c>
      <c r="Y629" s="37">
        <f>COUNTIF(F:F,F629)</f>
        <v>2</v>
      </c>
      <c r="Z629" s="21" t="s">
        <v>1109</v>
      </c>
      <c r="AA629" s="21" t="s">
        <v>765</v>
      </c>
      <c r="AB629" s="21" t="s">
        <v>1121</v>
      </c>
    </row>
    <row r="630" spans="1:28" ht="13.9" customHeight="1" x14ac:dyDescent="0.3">
      <c r="A630" s="36" t="s">
        <v>20</v>
      </c>
      <c r="B630" s="36" t="s">
        <v>21</v>
      </c>
      <c r="C630" s="36" t="s">
        <v>761</v>
      </c>
      <c r="D630" s="36" t="s">
        <v>762</v>
      </c>
      <c r="E630" s="36" t="s">
        <v>774</v>
      </c>
      <c r="F630" s="31" t="s">
        <v>773</v>
      </c>
      <c r="G630" s="36" t="s">
        <v>26</v>
      </c>
      <c r="H630" s="36" t="s">
        <v>36</v>
      </c>
      <c r="I630" s="36">
        <v>3</v>
      </c>
      <c r="J630" s="36" t="s">
        <v>37</v>
      </c>
      <c r="K630" s="36" t="s">
        <v>38</v>
      </c>
      <c r="L630" s="38">
        <v>103.84862</v>
      </c>
      <c r="M630" s="38">
        <v>10.368869999999999</v>
      </c>
      <c r="N630" s="38" t="s">
        <v>764</v>
      </c>
      <c r="O630" s="39">
        <v>0</v>
      </c>
      <c r="P630" s="36" t="s">
        <v>39</v>
      </c>
      <c r="Q630" s="30" t="s">
        <v>31</v>
      </c>
      <c r="R630" s="40" t="s">
        <v>47</v>
      </c>
      <c r="S630" s="35">
        <v>47601</v>
      </c>
      <c r="T630" s="36" t="s">
        <v>765</v>
      </c>
      <c r="U630" s="30" t="s">
        <v>765</v>
      </c>
      <c r="V630" s="37" t="e">
        <v>#N/A</v>
      </c>
      <c r="W630" s="31" t="s">
        <v>63</v>
      </c>
      <c r="X630" s="37" t="s">
        <v>52</v>
      </c>
      <c r="Y630" s="37">
        <f>COUNTIF(F:F,F630)</f>
        <v>2</v>
      </c>
      <c r="Z630" s="21" t="s">
        <v>1109</v>
      </c>
      <c r="AA630" s="21" t="s">
        <v>765</v>
      </c>
      <c r="AB630" s="21" t="s">
        <v>1121</v>
      </c>
    </row>
    <row r="631" spans="1:28" x14ac:dyDescent="0.3">
      <c r="A631" s="30" t="s">
        <v>20</v>
      </c>
      <c r="B631" s="30" t="s">
        <v>21</v>
      </c>
      <c r="C631" s="30" t="s">
        <v>761</v>
      </c>
      <c r="D631" s="30" t="s">
        <v>762</v>
      </c>
      <c r="E631" s="30" t="s">
        <v>784</v>
      </c>
      <c r="F631" s="31" t="s">
        <v>784</v>
      </c>
      <c r="G631" s="30" t="s">
        <v>26</v>
      </c>
      <c r="H631" s="30" t="s">
        <v>36</v>
      </c>
      <c r="I631" s="30">
        <v>3</v>
      </c>
      <c r="J631" s="30" t="s">
        <v>37</v>
      </c>
      <c r="K631" s="30" t="s">
        <v>38</v>
      </c>
      <c r="L631" s="32">
        <v>103.855265</v>
      </c>
      <c r="M631" s="32">
        <v>10.330188</v>
      </c>
      <c r="N631" s="32" t="s">
        <v>764</v>
      </c>
      <c r="O631" s="33">
        <v>0</v>
      </c>
      <c r="P631" s="30" t="s">
        <v>39</v>
      </c>
      <c r="Q631" s="47" t="s">
        <v>31</v>
      </c>
      <c r="R631" s="34" t="s">
        <v>47</v>
      </c>
      <c r="S631" s="35">
        <v>47601</v>
      </c>
      <c r="T631" s="36" t="s">
        <v>779</v>
      </c>
      <c r="U631" s="30" t="s">
        <v>779</v>
      </c>
      <c r="V631" s="37" t="e">
        <v>#N/A</v>
      </c>
      <c r="W631" s="31" t="s">
        <v>33</v>
      </c>
      <c r="X631" s="37"/>
      <c r="Y631" s="37">
        <f>COUNTIF(F:F,F631)</f>
        <v>1</v>
      </c>
      <c r="Z631" s="21" t="s">
        <v>1109</v>
      </c>
      <c r="AA631" s="21" t="s">
        <v>779</v>
      </c>
      <c r="AB631" s="21" t="s">
        <v>1121</v>
      </c>
    </row>
    <row r="632" spans="1:28" ht="13.9" customHeight="1" x14ac:dyDescent="0.3">
      <c r="A632" s="30" t="s">
        <v>20</v>
      </c>
      <c r="B632" s="30" t="s">
        <v>21</v>
      </c>
      <c r="C632" s="30" t="s">
        <v>761</v>
      </c>
      <c r="D632" s="30" t="s">
        <v>762</v>
      </c>
      <c r="E632" s="30" t="s">
        <v>785</v>
      </c>
      <c r="F632" s="31" t="s">
        <v>786</v>
      </c>
      <c r="G632" s="30" t="s">
        <v>26</v>
      </c>
      <c r="H632" s="30" t="s">
        <v>27</v>
      </c>
      <c r="I632" s="30">
        <v>3</v>
      </c>
      <c r="J632" s="30"/>
      <c r="K632" s="30"/>
      <c r="L632" s="32">
        <v>103.85341</v>
      </c>
      <c r="M632" s="32">
        <v>10.330857</v>
      </c>
      <c r="N632" s="32" t="s">
        <v>764</v>
      </c>
      <c r="O632" s="33">
        <v>0</v>
      </c>
      <c r="P632" s="30" t="s">
        <v>30</v>
      </c>
      <c r="Q632" s="30" t="s">
        <v>787</v>
      </c>
      <c r="R632" s="34" t="s">
        <v>47</v>
      </c>
      <c r="S632" s="35">
        <v>47601</v>
      </c>
      <c r="T632" s="36" t="s">
        <v>779</v>
      </c>
      <c r="U632" s="30" t="s">
        <v>779</v>
      </c>
      <c r="V632" s="37" t="e">
        <v>#N/A</v>
      </c>
      <c r="W632" s="31" t="s">
        <v>768</v>
      </c>
      <c r="X632" s="37"/>
      <c r="Y632" s="37">
        <f>COUNTIF(F:F,F632)</f>
        <v>1</v>
      </c>
      <c r="Z632" s="21" t="s">
        <v>1109</v>
      </c>
      <c r="AA632" s="21" t="s">
        <v>779</v>
      </c>
      <c r="AB632" s="21" t="s">
        <v>1121</v>
      </c>
    </row>
    <row r="633" spans="1:28" ht="13.9" customHeight="1" x14ac:dyDescent="0.3">
      <c r="A633" s="30" t="s">
        <v>20</v>
      </c>
      <c r="B633" s="30" t="s">
        <v>21</v>
      </c>
      <c r="C633" s="30" t="s">
        <v>761</v>
      </c>
      <c r="D633" s="30" t="s">
        <v>762</v>
      </c>
      <c r="E633" s="30" t="s">
        <v>788</v>
      </c>
      <c r="F633" s="31" t="s">
        <v>788</v>
      </c>
      <c r="G633" s="30" t="s">
        <v>26</v>
      </c>
      <c r="H633" s="30" t="s">
        <v>27</v>
      </c>
      <c r="I633" s="30">
        <v>3</v>
      </c>
      <c r="J633" s="30"/>
      <c r="K633" s="30"/>
      <c r="L633" s="32">
        <v>103.85192000000001</v>
      </c>
      <c r="M633" s="32">
        <v>10.331199</v>
      </c>
      <c r="N633" s="32" t="s">
        <v>764</v>
      </c>
      <c r="O633" s="33">
        <v>0</v>
      </c>
      <c r="P633" s="30" t="s">
        <v>30</v>
      </c>
      <c r="Q633" s="30" t="s">
        <v>31</v>
      </c>
      <c r="R633" s="34" t="s">
        <v>47</v>
      </c>
      <c r="S633" s="35">
        <v>47601</v>
      </c>
      <c r="T633" s="36" t="s">
        <v>779</v>
      </c>
      <c r="U633" s="30" t="s">
        <v>779</v>
      </c>
      <c r="V633" s="37" t="e">
        <v>#N/A</v>
      </c>
      <c r="W633" s="31" t="s">
        <v>33</v>
      </c>
      <c r="X633" s="37"/>
      <c r="Y633" s="37">
        <f>COUNTIF(F:F,F633)</f>
        <v>1</v>
      </c>
      <c r="Z633" s="21" t="s">
        <v>1109</v>
      </c>
      <c r="AA633" s="21" t="s">
        <v>779</v>
      </c>
      <c r="AB633" s="21" t="s">
        <v>1121</v>
      </c>
    </row>
    <row r="634" spans="1:28" ht="13.9" customHeight="1" x14ac:dyDescent="0.3">
      <c r="A634" s="30" t="s">
        <v>20</v>
      </c>
      <c r="B634" s="30" t="s">
        <v>21</v>
      </c>
      <c r="C634" s="30" t="s">
        <v>761</v>
      </c>
      <c r="D634" s="30" t="s">
        <v>762</v>
      </c>
      <c r="E634" s="30" t="s">
        <v>778</v>
      </c>
      <c r="F634" s="31" t="s">
        <v>778</v>
      </c>
      <c r="G634" s="30" t="s">
        <v>26</v>
      </c>
      <c r="H634" s="30" t="s">
        <v>27</v>
      </c>
      <c r="I634" s="30">
        <v>3</v>
      </c>
      <c r="J634" s="30"/>
      <c r="K634" s="30"/>
      <c r="L634" s="32">
        <v>103.857094</v>
      </c>
      <c r="M634" s="32">
        <v>10.31672</v>
      </c>
      <c r="N634" s="32" t="s">
        <v>764</v>
      </c>
      <c r="O634" s="33">
        <v>0</v>
      </c>
      <c r="P634" s="30" t="s">
        <v>30</v>
      </c>
      <c r="Q634" s="30" t="s">
        <v>31</v>
      </c>
      <c r="R634" s="34" t="s">
        <v>47</v>
      </c>
      <c r="S634" s="35">
        <v>47601</v>
      </c>
      <c r="T634" s="36" t="s">
        <v>779</v>
      </c>
      <c r="U634" s="30" t="s">
        <v>779</v>
      </c>
      <c r="V634" s="37" t="e">
        <v>#N/A</v>
      </c>
      <c r="W634" s="31" t="s">
        <v>768</v>
      </c>
      <c r="X634" s="37" t="s">
        <v>52</v>
      </c>
      <c r="Y634" s="37">
        <f>COUNTIF(F:F,F634)</f>
        <v>2</v>
      </c>
      <c r="Z634" s="21" t="s">
        <v>1109</v>
      </c>
      <c r="AA634" s="21" t="s">
        <v>779</v>
      </c>
      <c r="AB634" s="21" t="s">
        <v>1121</v>
      </c>
    </row>
    <row r="635" spans="1:28" ht="13.9" customHeight="1" x14ac:dyDescent="0.3">
      <c r="A635" s="36" t="s">
        <v>20</v>
      </c>
      <c r="B635" s="36" t="s">
        <v>21</v>
      </c>
      <c r="C635" s="36" t="s">
        <v>761</v>
      </c>
      <c r="D635" s="36" t="s">
        <v>762</v>
      </c>
      <c r="E635" s="36" t="s">
        <v>780</v>
      </c>
      <c r="F635" s="31" t="s">
        <v>778</v>
      </c>
      <c r="G635" s="36" t="s">
        <v>26</v>
      </c>
      <c r="H635" s="36" t="s">
        <v>27</v>
      </c>
      <c r="I635" s="36">
        <v>3</v>
      </c>
      <c r="J635" s="36"/>
      <c r="K635" s="36"/>
      <c r="L635" s="38">
        <v>103.85717</v>
      </c>
      <c r="M635" s="38">
        <v>10.31691</v>
      </c>
      <c r="N635" s="38" t="s">
        <v>764</v>
      </c>
      <c r="O635" s="39">
        <v>0</v>
      </c>
      <c r="P635" s="36" t="s">
        <v>30</v>
      </c>
      <c r="Q635" s="30" t="s">
        <v>31</v>
      </c>
      <c r="R635" s="40" t="s">
        <v>47</v>
      </c>
      <c r="S635" s="35">
        <v>47601</v>
      </c>
      <c r="T635" s="36" t="s">
        <v>779</v>
      </c>
      <c r="U635" s="30" t="s">
        <v>779</v>
      </c>
      <c r="V635" s="37" t="e">
        <v>#N/A</v>
      </c>
      <c r="W635" s="31" t="s">
        <v>63</v>
      </c>
      <c r="X635" s="37" t="s">
        <v>52</v>
      </c>
      <c r="Y635" s="37">
        <f>COUNTIF(F:F,F635)</f>
        <v>2</v>
      </c>
      <c r="Z635" s="21" t="s">
        <v>1109</v>
      </c>
      <c r="AA635" s="21" t="s">
        <v>779</v>
      </c>
      <c r="AB635" s="21" t="s">
        <v>1121</v>
      </c>
    </row>
    <row r="636" spans="1:28" ht="13.9" customHeight="1" x14ac:dyDescent="0.3">
      <c r="A636" s="30" t="s">
        <v>20</v>
      </c>
      <c r="B636" s="30" t="s">
        <v>21</v>
      </c>
      <c r="C636" s="30" t="s">
        <v>761</v>
      </c>
      <c r="D636" s="30" t="s">
        <v>762</v>
      </c>
      <c r="E636" s="30" t="s">
        <v>781</v>
      </c>
      <c r="F636" s="31" t="s">
        <v>781</v>
      </c>
      <c r="G636" s="30" t="s">
        <v>26</v>
      </c>
      <c r="H636" s="30" t="s">
        <v>36</v>
      </c>
      <c r="I636" s="30">
        <v>3</v>
      </c>
      <c r="J636" s="30" t="s">
        <v>26</v>
      </c>
      <c r="K636" s="30" t="s">
        <v>782</v>
      </c>
      <c r="L636" s="32">
        <v>103.85984000000001</v>
      </c>
      <c r="M636" s="32">
        <v>10.32897</v>
      </c>
      <c r="N636" s="32" t="s">
        <v>764</v>
      </c>
      <c r="O636" s="33">
        <v>0</v>
      </c>
      <c r="P636" s="30" t="s">
        <v>271</v>
      </c>
      <c r="Q636" s="30" t="s">
        <v>31</v>
      </c>
      <c r="R636" s="34" t="s">
        <v>47</v>
      </c>
      <c r="S636" s="35">
        <v>47601</v>
      </c>
      <c r="T636" s="36" t="s">
        <v>779</v>
      </c>
      <c r="U636" s="30" t="s">
        <v>779</v>
      </c>
      <c r="V636" s="37" t="e">
        <v>#N/A</v>
      </c>
      <c r="W636" s="31" t="s">
        <v>33</v>
      </c>
      <c r="X636" s="37"/>
      <c r="Y636" s="37">
        <f>COUNTIF(F:F,F636)</f>
        <v>1</v>
      </c>
      <c r="Z636" s="21" t="s">
        <v>1109</v>
      </c>
      <c r="AA636" s="21" t="s">
        <v>779</v>
      </c>
      <c r="AB636" s="21" t="s">
        <v>1121</v>
      </c>
    </row>
    <row r="637" spans="1:28" ht="13.9" customHeight="1" x14ac:dyDescent="0.3">
      <c r="A637" s="30" t="s">
        <v>20</v>
      </c>
      <c r="B637" s="30" t="s">
        <v>21</v>
      </c>
      <c r="C637" s="30" t="s">
        <v>761</v>
      </c>
      <c r="D637" s="30" t="s">
        <v>762</v>
      </c>
      <c r="E637" s="30" t="s">
        <v>783</v>
      </c>
      <c r="F637" s="31" t="s">
        <v>783</v>
      </c>
      <c r="G637" s="30" t="s">
        <v>26</v>
      </c>
      <c r="H637" s="30" t="s">
        <v>27</v>
      </c>
      <c r="I637" s="30">
        <v>3</v>
      </c>
      <c r="J637" s="30" t="s">
        <v>26</v>
      </c>
      <c r="K637" s="30" t="s">
        <v>782</v>
      </c>
      <c r="L637" s="32">
        <v>103.85588</v>
      </c>
      <c r="M637" s="32">
        <v>10.32612</v>
      </c>
      <c r="N637" s="32" t="s">
        <v>764</v>
      </c>
      <c r="O637" s="33">
        <v>0</v>
      </c>
      <c r="P637" s="30" t="s">
        <v>304</v>
      </c>
      <c r="Q637" s="30" t="s">
        <v>31</v>
      </c>
      <c r="R637" s="34" t="s">
        <v>47</v>
      </c>
      <c r="S637" s="35">
        <v>47601</v>
      </c>
      <c r="T637" s="36" t="s">
        <v>779</v>
      </c>
      <c r="U637" s="30" t="s">
        <v>779</v>
      </c>
      <c r="V637" s="37" t="e">
        <v>#N/A</v>
      </c>
      <c r="W637" s="31" t="s">
        <v>33</v>
      </c>
      <c r="X637" s="37"/>
      <c r="Y637" s="37">
        <f>COUNTIF(F:F,F637)</f>
        <v>1</v>
      </c>
      <c r="Z637" s="21" t="s">
        <v>1109</v>
      </c>
      <c r="AA637" s="21" t="s">
        <v>779</v>
      </c>
      <c r="AB637" s="21" t="s">
        <v>1121</v>
      </c>
    </row>
    <row r="638" spans="1:28" x14ac:dyDescent="0.3">
      <c r="A638" s="30" t="s">
        <v>20</v>
      </c>
      <c r="B638" s="30" t="s">
        <v>21</v>
      </c>
      <c r="C638" s="30" t="s">
        <v>761</v>
      </c>
      <c r="D638" s="30" t="s">
        <v>762</v>
      </c>
      <c r="E638" s="30" t="s">
        <v>789</v>
      </c>
      <c r="F638" s="31" t="s">
        <v>789</v>
      </c>
      <c r="G638" s="30" t="s">
        <v>26</v>
      </c>
      <c r="H638" s="30" t="s">
        <v>27</v>
      </c>
      <c r="I638" s="30">
        <v>3</v>
      </c>
      <c r="J638" s="30"/>
      <c r="K638" s="30"/>
      <c r="L638" s="32">
        <v>103.856495</v>
      </c>
      <c r="M638" s="32">
        <v>10.323233</v>
      </c>
      <c r="N638" s="32" t="s">
        <v>764</v>
      </c>
      <c r="O638" s="33">
        <v>0</v>
      </c>
      <c r="P638" s="30" t="s">
        <v>30</v>
      </c>
      <c r="Q638" s="30" t="s">
        <v>31</v>
      </c>
      <c r="R638" s="34" t="s">
        <v>47</v>
      </c>
      <c r="S638" s="35">
        <v>47601</v>
      </c>
      <c r="T638" s="36" t="s">
        <v>779</v>
      </c>
      <c r="U638" s="30" t="s">
        <v>779</v>
      </c>
      <c r="V638" s="37" t="e">
        <v>#N/A</v>
      </c>
      <c r="W638" s="31" t="s">
        <v>768</v>
      </c>
      <c r="X638" s="37"/>
      <c r="Y638" s="37">
        <f>COUNTIF(F:F,F638)</f>
        <v>1</v>
      </c>
      <c r="Z638" s="21" t="s">
        <v>1109</v>
      </c>
      <c r="AA638" s="21" t="s">
        <v>779</v>
      </c>
      <c r="AB638" s="21" t="s">
        <v>1121</v>
      </c>
    </row>
    <row r="639" spans="1:28" x14ac:dyDescent="0.3">
      <c r="A639" s="30" t="s">
        <v>20</v>
      </c>
      <c r="B639" s="30" t="s">
        <v>21</v>
      </c>
      <c r="C639" s="30" t="s">
        <v>761</v>
      </c>
      <c r="D639" s="30" t="s">
        <v>762</v>
      </c>
      <c r="E639" s="30" t="s">
        <v>790</v>
      </c>
      <c r="F639" s="31" t="s">
        <v>790</v>
      </c>
      <c r="G639" s="30" t="s">
        <v>26</v>
      </c>
      <c r="H639" s="30" t="s">
        <v>36</v>
      </c>
      <c r="I639" s="30">
        <v>3</v>
      </c>
      <c r="J639" s="30"/>
      <c r="K639" s="30"/>
      <c r="L639" s="32">
        <v>103.856362</v>
      </c>
      <c r="M639" s="32">
        <v>10.323297</v>
      </c>
      <c r="N639" s="32" t="s">
        <v>764</v>
      </c>
      <c r="O639" s="33">
        <v>0</v>
      </c>
      <c r="P639" s="30" t="s">
        <v>109</v>
      </c>
      <c r="Q639" s="30" t="s">
        <v>31</v>
      </c>
      <c r="R639" s="34" t="s">
        <v>47</v>
      </c>
      <c r="S639" s="35">
        <v>47601</v>
      </c>
      <c r="T639" s="36" t="s">
        <v>779</v>
      </c>
      <c r="U639" s="30" t="s">
        <v>779</v>
      </c>
      <c r="V639" s="37" t="e">
        <v>#N/A</v>
      </c>
      <c r="W639" s="31" t="s">
        <v>33</v>
      </c>
      <c r="X639" s="37"/>
      <c r="Y639" s="37">
        <f>COUNTIF(F:F,F639)</f>
        <v>1</v>
      </c>
      <c r="Z639" s="21" t="s">
        <v>1109</v>
      </c>
      <c r="AA639" s="21" t="s">
        <v>779</v>
      </c>
      <c r="AB639" s="21" t="s">
        <v>1121</v>
      </c>
    </row>
    <row r="640" spans="1:28" ht="13.9" customHeight="1" x14ac:dyDescent="0.3">
      <c r="A640" s="30" t="s">
        <v>20</v>
      </c>
      <c r="B640" s="30" t="s">
        <v>21</v>
      </c>
      <c r="C640" s="30" t="s">
        <v>761</v>
      </c>
      <c r="D640" s="30" t="s">
        <v>762</v>
      </c>
      <c r="E640" s="30" t="s">
        <v>791</v>
      </c>
      <c r="F640" s="31" t="s">
        <v>791</v>
      </c>
      <c r="G640" s="30" t="s">
        <v>26</v>
      </c>
      <c r="H640" s="30" t="s">
        <v>36</v>
      </c>
      <c r="I640" s="30">
        <v>3</v>
      </c>
      <c r="J640" s="30" t="s">
        <v>37</v>
      </c>
      <c r="K640" s="30" t="s">
        <v>38</v>
      </c>
      <c r="L640" s="32">
        <v>103.858942</v>
      </c>
      <c r="M640" s="32">
        <v>10.324159999999999</v>
      </c>
      <c r="N640" s="32" t="s">
        <v>764</v>
      </c>
      <c r="O640" s="33">
        <v>0</v>
      </c>
      <c r="P640" s="30" t="s">
        <v>39</v>
      </c>
      <c r="Q640" s="30" t="s">
        <v>31</v>
      </c>
      <c r="R640" s="34" t="s">
        <v>47</v>
      </c>
      <c r="S640" s="35">
        <v>47601</v>
      </c>
      <c r="T640" s="36" t="s">
        <v>779</v>
      </c>
      <c r="U640" s="30" t="s">
        <v>779</v>
      </c>
      <c r="V640" s="37" t="e">
        <v>#N/A</v>
      </c>
      <c r="W640" s="31" t="s">
        <v>33</v>
      </c>
      <c r="X640" s="37"/>
      <c r="Y640" s="37">
        <f>COUNTIF(F:F,F640)</f>
        <v>1</v>
      </c>
      <c r="Z640" s="21" t="s">
        <v>1109</v>
      </c>
      <c r="AA640" s="21" t="s">
        <v>779</v>
      </c>
      <c r="AB640" s="21" t="s">
        <v>1121</v>
      </c>
    </row>
    <row r="641" spans="1:28" ht="13.9" customHeight="1" x14ac:dyDescent="0.3">
      <c r="A641" s="30" t="s">
        <v>20</v>
      </c>
      <c r="B641" s="30" t="s">
        <v>21</v>
      </c>
      <c r="C641" s="30" t="s">
        <v>761</v>
      </c>
      <c r="D641" s="30" t="s">
        <v>762</v>
      </c>
      <c r="E641" s="30" t="s">
        <v>792</v>
      </c>
      <c r="F641" s="31" t="s">
        <v>792</v>
      </c>
      <c r="G641" s="30" t="s">
        <v>26</v>
      </c>
      <c r="H641" s="30" t="s">
        <v>36</v>
      </c>
      <c r="I641" s="30">
        <v>3</v>
      </c>
      <c r="J641" s="30" t="s">
        <v>37</v>
      </c>
      <c r="K641" s="30" t="s">
        <v>38</v>
      </c>
      <c r="L641" s="32">
        <v>103.8642</v>
      </c>
      <c r="M641" s="32">
        <v>10.326675</v>
      </c>
      <c r="N641" s="32" t="s">
        <v>764</v>
      </c>
      <c r="O641" s="33">
        <v>0</v>
      </c>
      <c r="P641" s="30" t="s">
        <v>39</v>
      </c>
      <c r="Q641" s="30" t="s">
        <v>31</v>
      </c>
      <c r="R641" s="34" t="s">
        <v>47</v>
      </c>
      <c r="S641" s="35">
        <v>47601</v>
      </c>
      <c r="T641" s="36" t="s">
        <v>779</v>
      </c>
      <c r="U641" s="30" t="s">
        <v>779</v>
      </c>
      <c r="V641" s="37" t="e">
        <v>#N/A</v>
      </c>
      <c r="W641" s="31" t="s">
        <v>33</v>
      </c>
      <c r="X641" s="37"/>
      <c r="Y641" s="37">
        <f>COUNTIF(F:F,F641)</f>
        <v>1</v>
      </c>
      <c r="Z641" s="21" t="s">
        <v>1109</v>
      </c>
      <c r="AA641" s="21" t="s">
        <v>779</v>
      </c>
      <c r="AB641" s="21" t="s">
        <v>1121</v>
      </c>
    </row>
    <row r="642" spans="1:28" ht="13.9" customHeight="1" x14ac:dyDescent="0.3">
      <c r="A642" s="30" t="s">
        <v>20</v>
      </c>
      <c r="B642" s="30" t="s">
        <v>21</v>
      </c>
      <c r="C642" s="30" t="s">
        <v>761</v>
      </c>
      <c r="D642" s="30" t="s">
        <v>762</v>
      </c>
      <c r="E642" s="30" t="s">
        <v>793</v>
      </c>
      <c r="F642" s="31" t="s">
        <v>793</v>
      </c>
      <c r="G642" s="30" t="s">
        <v>26</v>
      </c>
      <c r="H642" s="30" t="s">
        <v>36</v>
      </c>
      <c r="I642" s="30">
        <v>3</v>
      </c>
      <c r="J642" s="30"/>
      <c r="K642" s="30"/>
      <c r="L642" s="32">
        <v>103.8623</v>
      </c>
      <c r="M642" s="32">
        <v>10.325469999999999</v>
      </c>
      <c r="N642" s="32" t="s">
        <v>764</v>
      </c>
      <c r="O642" s="33">
        <v>0</v>
      </c>
      <c r="P642" s="30" t="s">
        <v>169</v>
      </c>
      <c r="Q642" s="30" t="s">
        <v>31</v>
      </c>
      <c r="R642" s="34" t="s">
        <v>47</v>
      </c>
      <c r="S642" s="35">
        <v>47601</v>
      </c>
      <c r="T642" s="36" t="s">
        <v>779</v>
      </c>
      <c r="U642" s="30" t="s">
        <v>779</v>
      </c>
      <c r="V642" s="37" t="e">
        <v>#N/A</v>
      </c>
      <c r="W642" s="31" t="s">
        <v>33</v>
      </c>
      <c r="X642" s="37"/>
      <c r="Y642" s="37">
        <f>COUNTIF(F:F,F642)</f>
        <v>1</v>
      </c>
      <c r="Z642" s="21" t="s">
        <v>1109</v>
      </c>
      <c r="AA642" s="21" t="s">
        <v>779</v>
      </c>
      <c r="AB642" s="21" t="s">
        <v>1121</v>
      </c>
    </row>
    <row r="643" spans="1:28" ht="13.9" customHeight="1" x14ac:dyDescent="0.3">
      <c r="A643" s="30" t="s">
        <v>20</v>
      </c>
      <c r="B643" s="30" t="s">
        <v>21</v>
      </c>
      <c r="C643" s="30" t="s">
        <v>761</v>
      </c>
      <c r="D643" s="30" t="s">
        <v>762</v>
      </c>
      <c r="E643" s="30" t="s">
        <v>794</v>
      </c>
      <c r="F643" s="31" t="s">
        <v>794</v>
      </c>
      <c r="G643" s="30" t="s">
        <v>26</v>
      </c>
      <c r="H643" s="30" t="s">
        <v>36</v>
      </c>
      <c r="I643" s="30">
        <v>4</v>
      </c>
      <c r="J643" s="30" t="s">
        <v>37</v>
      </c>
      <c r="K643" s="30" t="s">
        <v>38</v>
      </c>
      <c r="L643" s="32">
        <v>103.914485</v>
      </c>
      <c r="M643" s="32">
        <v>10.293856</v>
      </c>
      <c r="N643" s="32" t="s">
        <v>764</v>
      </c>
      <c r="O643" s="33">
        <v>0</v>
      </c>
      <c r="P643" s="30" t="s">
        <v>39</v>
      </c>
      <c r="Q643" s="30" t="s">
        <v>31</v>
      </c>
      <c r="R643" s="34" t="s">
        <v>47</v>
      </c>
      <c r="S643" s="35">
        <v>47601</v>
      </c>
      <c r="T643" s="36" t="s">
        <v>795</v>
      </c>
      <c r="U643" s="30" t="s">
        <v>795</v>
      </c>
      <c r="V643" s="37" t="e">
        <v>#N/A</v>
      </c>
      <c r="W643" s="31" t="s">
        <v>33</v>
      </c>
      <c r="X643" s="37" t="s">
        <v>42</v>
      </c>
      <c r="Y643" s="37">
        <f>COUNTIF(F:F,F643)</f>
        <v>2</v>
      </c>
      <c r="Z643" s="21" t="s">
        <v>1109</v>
      </c>
      <c r="AA643" s="21" t="s">
        <v>795</v>
      </c>
      <c r="AB643" s="21" t="s">
        <v>1121</v>
      </c>
    </row>
    <row r="644" spans="1:28" ht="13.9" customHeight="1" x14ac:dyDescent="0.3">
      <c r="A644" s="36" t="s">
        <v>20</v>
      </c>
      <c r="B644" s="36" t="s">
        <v>21</v>
      </c>
      <c r="C644" s="36" t="s">
        <v>761</v>
      </c>
      <c r="D644" s="36" t="s">
        <v>762</v>
      </c>
      <c r="E644" s="36" t="s">
        <v>796</v>
      </c>
      <c r="F644" s="31" t="s">
        <v>794</v>
      </c>
      <c r="G644" s="36" t="s">
        <v>26</v>
      </c>
      <c r="H644" s="36" t="s">
        <v>27</v>
      </c>
      <c r="I644" s="36">
        <v>3</v>
      </c>
      <c r="J644" s="36"/>
      <c r="K644" s="36"/>
      <c r="L644" s="38">
        <v>103.90279</v>
      </c>
      <c r="M644" s="38">
        <v>10.292389999999999</v>
      </c>
      <c r="N644" s="38" t="s">
        <v>764</v>
      </c>
      <c r="O644" s="39">
        <v>0</v>
      </c>
      <c r="P644" s="36" t="s">
        <v>30</v>
      </c>
      <c r="Q644" s="30" t="s">
        <v>31</v>
      </c>
      <c r="R644" s="40" t="s">
        <v>47</v>
      </c>
      <c r="S644" s="35">
        <v>47601</v>
      </c>
      <c r="T644" s="36" t="s">
        <v>795</v>
      </c>
      <c r="U644" s="30" t="s">
        <v>795</v>
      </c>
      <c r="V644" s="37" t="e">
        <v>#N/A</v>
      </c>
      <c r="W644" s="31" t="s">
        <v>63</v>
      </c>
      <c r="X644" s="37" t="s">
        <v>52</v>
      </c>
      <c r="Y644" s="37">
        <f>COUNTIF(F:F,F644)</f>
        <v>2</v>
      </c>
      <c r="Z644" s="21" t="s">
        <v>1109</v>
      </c>
      <c r="AA644" s="21" t="s">
        <v>795</v>
      </c>
      <c r="AB644" s="21" t="s">
        <v>1121</v>
      </c>
    </row>
    <row r="645" spans="1:28" ht="13.9" customHeight="1" x14ac:dyDescent="0.3">
      <c r="A645" s="30" t="s">
        <v>20</v>
      </c>
      <c r="B645" s="30" t="s">
        <v>21</v>
      </c>
      <c r="C645" s="30" t="s">
        <v>761</v>
      </c>
      <c r="D645" s="30" t="s">
        <v>762</v>
      </c>
      <c r="E645" s="30" t="s">
        <v>805</v>
      </c>
      <c r="F645" s="31" t="s">
        <v>805</v>
      </c>
      <c r="G645" s="30" t="s">
        <v>26</v>
      </c>
      <c r="H645" s="30" t="s">
        <v>36</v>
      </c>
      <c r="I645" s="30">
        <v>3</v>
      </c>
      <c r="J645" s="30" t="s">
        <v>37</v>
      </c>
      <c r="K645" s="30" t="s">
        <v>38</v>
      </c>
      <c r="L645" s="32">
        <v>103.93674</v>
      </c>
      <c r="M645" s="32">
        <v>10.31268</v>
      </c>
      <c r="N645" s="32" t="s">
        <v>764</v>
      </c>
      <c r="O645" s="33">
        <v>0</v>
      </c>
      <c r="P645" s="30" t="s">
        <v>39</v>
      </c>
      <c r="Q645" s="30" t="s">
        <v>31</v>
      </c>
      <c r="R645" s="34" t="s">
        <v>47</v>
      </c>
      <c r="S645" s="35">
        <v>47601</v>
      </c>
      <c r="T645" s="36" t="s">
        <v>795</v>
      </c>
      <c r="U645" s="30" t="s">
        <v>795</v>
      </c>
      <c r="V645" s="37" t="e">
        <v>#N/A</v>
      </c>
      <c r="W645" s="31" t="s">
        <v>33</v>
      </c>
      <c r="X645" s="37"/>
      <c r="Y645" s="37">
        <f>COUNTIF(F:F,F645)</f>
        <v>1</v>
      </c>
      <c r="Z645" s="21" t="s">
        <v>1109</v>
      </c>
      <c r="AA645" s="21" t="s">
        <v>795</v>
      </c>
      <c r="AB645" s="21" t="s">
        <v>1121</v>
      </c>
    </row>
    <row r="646" spans="1:28" ht="13.9" customHeight="1" x14ac:dyDescent="0.3">
      <c r="A646" s="30" t="s">
        <v>20</v>
      </c>
      <c r="B646" s="30" t="s">
        <v>21</v>
      </c>
      <c r="C646" s="30" t="s">
        <v>761</v>
      </c>
      <c r="D646" s="30" t="s">
        <v>762</v>
      </c>
      <c r="E646" s="30" t="s">
        <v>802</v>
      </c>
      <c r="F646" s="31" t="s">
        <v>802</v>
      </c>
      <c r="G646" s="30" t="s">
        <v>26</v>
      </c>
      <c r="H646" s="30" t="s">
        <v>27</v>
      </c>
      <c r="I646" s="30">
        <v>3</v>
      </c>
      <c r="J646" s="30"/>
      <c r="K646" s="30"/>
      <c r="L646" s="32">
        <v>103.868646</v>
      </c>
      <c r="M646" s="32">
        <v>10.335936</v>
      </c>
      <c r="N646" s="32" t="s">
        <v>764</v>
      </c>
      <c r="O646" s="33">
        <v>0</v>
      </c>
      <c r="P646" s="30" t="s">
        <v>30</v>
      </c>
      <c r="Q646" s="30" t="s">
        <v>31</v>
      </c>
      <c r="R646" s="34" t="s">
        <v>47</v>
      </c>
      <c r="S646" s="35">
        <v>47601</v>
      </c>
      <c r="T646" s="36" t="s">
        <v>795</v>
      </c>
      <c r="U646" s="30" t="s">
        <v>795</v>
      </c>
      <c r="V646" s="37" t="e">
        <v>#N/A</v>
      </c>
      <c r="W646" s="31" t="s">
        <v>33</v>
      </c>
      <c r="X646" s="37"/>
      <c r="Y646" s="37">
        <f>COUNTIF(F:F,F646)</f>
        <v>1</v>
      </c>
      <c r="Z646" s="21" t="s">
        <v>1109</v>
      </c>
      <c r="AA646" s="21" t="s">
        <v>795</v>
      </c>
      <c r="AB646" s="21" t="s">
        <v>1121</v>
      </c>
    </row>
    <row r="647" spans="1:28" ht="13.9" customHeight="1" x14ac:dyDescent="0.3">
      <c r="A647" s="41" t="s">
        <v>20</v>
      </c>
      <c r="B647" s="41" t="s">
        <v>21</v>
      </c>
      <c r="C647" s="41" t="s">
        <v>761</v>
      </c>
      <c r="D647" s="41" t="s">
        <v>762</v>
      </c>
      <c r="E647" s="41" t="s">
        <v>797</v>
      </c>
      <c r="F647" s="31" t="s">
        <v>798</v>
      </c>
      <c r="G647" s="41" t="s">
        <v>26</v>
      </c>
      <c r="H647" s="36" t="s">
        <v>36</v>
      </c>
      <c r="I647" s="36">
        <v>3</v>
      </c>
      <c r="J647" s="36"/>
      <c r="K647" s="36"/>
      <c r="L647" s="38">
        <v>103.86086</v>
      </c>
      <c r="M647" s="38">
        <v>10.306710000000001</v>
      </c>
      <c r="N647" s="38" t="s">
        <v>764</v>
      </c>
      <c r="O647" s="39">
        <v>0</v>
      </c>
      <c r="P647" s="36" t="s">
        <v>109</v>
      </c>
      <c r="Q647" s="41" t="s">
        <v>31</v>
      </c>
      <c r="R647" s="42" t="s">
        <v>47</v>
      </c>
      <c r="S647" s="35">
        <v>47601</v>
      </c>
      <c r="T647" s="36" t="s">
        <v>799</v>
      </c>
      <c r="U647" s="30" t="s">
        <v>795</v>
      </c>
      <c r="V647" s="37" t="e">
        <v>#N/A</v>
      </c>
      <c r="W647" s="31" t="s">
        <v>63</v>
      </c>
      <c r="X647" s="37" t="s">
        <v>52</v>
      </c>
      <c r="Y647" s="37">
        <f>COUNTIF(F:F,F647)</f>
        <v>4</v>
      </c>
      <c r="Z647" s="21" t="s">
        <v>1109</v>
      </c>
      <c r="AA647" s="21" t="s">
        <v>795</v>
      </c>
      <c r="AB647" s="21" t="s">
        <v>1121</v>
      </c>
    </row>
    <row r="648" spans="1:28" ht="13.9" customHeight="1" x14ac:dyDescent="0.3">
      <c r="A648" s="36" t="s">
        <v>20</v>
      </c>
      <c r="B648" s="36" t="s">
        <v>21</v>
      </c>
      <c r="C648" s="36" t="s">
        <v>761</v>
      </c>
      <c r="D648" s="36" t="s">
        <v>762</v>
      </c>
      <c r="E648" s="36" t="s">
        <v>800</v>
      </c>
      <c r="F648" s="31" t="s">
        <v>798</v>
      </c>
      <c r="G648" s="36" t="s">
        <v>26</v>
      </c>
      <c r="H648" s="36" t="s">
        <v>36</v>
      </c>
      <c r="I648" s="36">
        <v>3</v>
      </c>
      <c r="J648" s="36" t="s">
        <v>37</v>
      </c>
      <c r="K648" s="36" t="s">
        <v>38</v>
      </c>
      <c r="L648" s="38">
        <v>103.890852</v>
      </c>
      <c r="M648" s="38">
        <v>10.337451</v>
      </c>
      <c r="N648" s="38" t="s">
        <v>764</v>
      </c>
      <c r="O648" s="39">
        <v>0</v>
      </c>
      <c r="P648" s="36" t="s">
        <v>39</v>
      </c>
      <c r="Q648" s="30" t="s">
        <v>31</v>
      </c>
      <c r="R648" s="40" t="s">
        <v>47</v>
      </c>
      <c r="S648" s="35">
        <v>47601</v>
      </c>
      <c r="T648" s="36" t="s">
        <v>795</v>
      </c>
      <c r="U648" s="30" t="s">
        <v>795</v>
      </c>
      <c r="V648" s="37" t="e">
        <v>#N/A</v>
      </c>
      <c r="W648" s="31" t="s">
        <v>63</v>
      </c>
      <c r="X648" s="37" t="s">
        <v>52</v>
      </c>
      <c r="Y648" s="37">
        <f>COUNTIF(F:F,F648)</f>
        <v>4</v>
      </c>
      <c r="Z648" s="21" t="s">
        <v>1109</v>
      </c>
      <c r="AA648" s="21" t="s">
        <v>795</v>
      </c>
      <c r="AB648" s="21" t="s">
        <v>1121</v>
      </c>
    </row>
    <row r="649" spans="1:28" ht="13.9" customHeight="1" x14ac:dyDescent="0.3">
      <c r="A649" s="30" t="s">
        <v>20</v>
      </c>
      <c r="B649" s="30" t="s">
        <v>21</v>
      </c>
      <c r="C649" s="30" t="s">
        <v>761</v>
      </c>
      <c r="D649" s="30" t="s">
        <v>762</v>
      </c>
      <c r="E649" s="30" t="s">
        <v>798</v>
      </c>
      <c r="F649" s="31" t="s">
        <v>798</v>
      </c>
      <c r="G649" s="30" t="s">
        <v>26</v>
      </c>
      <c r="H649" s="30" t="s">
        <v>36</v>
      </c>
      <c r="I649" s="30">
        <v>4</v>
      </c>
      <c r="J649" s="30" t="s">
        <v>37</v>
      </c>
      <c r="K649" s="30" t="s">
        <v>38</v>
      </c>
      <c r="L649" s="32">
        <v>103.88346</v>
      </c>
      <c r="M649" s="32">
        <v>10.318630000000001</v>
      </c>
      <c r="N649" s="32" t="s">
        <v>764</v>
      </c>
      <c r="O649" s="33">
        <v>0</v>
      </c>
      <c r="P649" s="30" t="s">
        <v>39</v>
      </c>
      <c r="Q649" s="30" t="s">
        <v>31</v>
      </c>
      <c r="R649" s="34" t="s">
        <v>47</v>
      </c>
      <c r="S649" s="35">
        <v>47601</v>
      </c>
      <c r="T649" s="36" t="s">
        <v>795</v>
      </c>
      <c r="U649" s="30" t="s">
        <v>795</v>
      </c>
      <c r="V649" s="37" t="e">
        <v>#N/A</v>
      </c>
      <c r="W649" s="31" t="s">
        <v>33</v>
      </c>
      <c r="X649" s="37" t="s">
        <v>42</v>
      </c>
      <c r="Y649" s="37">
        <f>COUNTIF(F:F,F649)</f>
        <v>4</v>
      </c>
      <c r="Z649" s="21" t="s">
        <v>1109</v>
      </c>
      <c r="AA649" s="21" t="s">
        <v>795</v>
      </c>
      <c r="AB649" s="21" t="s">
        <v>1121</v>
      </c>
    </row>
    <row r="650" spans="1:28" ht="13.9" customHeight="1" x14ac:dyDescent="0.3">
      <c r="A650" s="36" t="s">
        <v>20</v>
      </c>
      <c r="B650" s="36" t="s">
        <v>21</v>
      </c>
      <c r="C650" s="36" t="s">
        <v>761</v>
      </c>
      <c r="D650" s="36" t="s">
        <v>762</v>
      </c>
      <c r="E650" s="36" t="s">
        <v>801</v>
      </c>
      <c r="F650" s="31" t="s">
        <v>798</v>
      </c>
      <c r="G650" s="36" t="s">
        <v>26</v>
      </c>
      <c r="H650" s="36" t="s">
        <v>36</v>
      </c>
      <c r="I650" s="36">
        <v>3</v>
      </c>
      <c r="J650" s="36"/>
      <c r="K650" s="36"/>
      <c r="L650" s="38">
        <v>103.90181</v>
      </c>
      <c r="M650" s="38">
        <v>10.32156</v>
      </c>
      <c r="N650" s="38" t="s">
        <v>764</v>
      </c>
      <c r="O650" s="39">
        <v>0</v>
      </c>
      <c r="P650" s="36" t="s">
        <v>109</v>
      </c>
      <c r="Q650" s="30" t="s">
        <v>31</v>
      </c>
      <c r="R650" s="40" t="s">
        <v>47</v>
      </c>
      <c r="S650" s="35">
        <v>47601</v>
      </c>
      <c r="T650" s="36" t="s">
        <v>795</v>
      </c>
      <c r="U650" s="30" t="s">
        <v>795</v>
      </c>
      <c r="V650" s="37" t="e">
        <v>#N/A</v>
      </c>
      <c r="W650" s="31" t="s">
        <v>63</v>
      </c>
      <c r="X650" s="37" t="s">
        <v>52</v>
      </c>
      <c r="Y650" s="37">
        <f>COUNTIF(F:F,F650)</f>
        <v>4</v>
      </c>
      <c r="Z650" s="21" t="s">
        <v>1109</v>
      </c>
      <c r="AA650" s="21" t="s">
        <v>795</v>
      </c>
      <c r="AB650" s="21" t="s">
        <v>1121</v>
      </c>
    </row>
    <row r="651" spans="1:28" ht="13.9" customHeight="1" x14ac:dyDescent="0.3">
      <c r="A651" s="30" t="s">
        <v>20</v>
      </c>
      <c r="B651" s="30" t="s">
        <v>21</v>
      </c>
      <c r="C651" s="30" t="s">
        <v>761</v>
      </c>
      <c r="D651" s="30" t="s">
        <v>762</v>
      </c>
      <c r="E651" s="30" t="s">
        <v>806</v>
      </c>
      <c r="F651" s="31" t="s">
        <v>806</v>
      </c>
      <c r="G651" s="30" t="s">
        <v>26</v>
      </c>
      <c r="H651" s="30" t="s">
        <v>36</v>
      </c>
      <c r="I651" s="30">
        <v>4</v>
      </c>
      <c r="J651" s="30" t="s">
        <v>37</v>
      </c>
      <c r="K651" s="30" t="s">
        <v>38</v>
      </c>
      <c r="L651" s="32">
        <v>103.92245</v>
      </c>
      <c r="M651" s="32">
        <v>10.303748000000001</v>
      </c>
      <c r="N651" s="32" t="s">
        <v>764</v>
      </c>
      <c r="O651" s="33">
        <v>0</v>
      </c>
      <c r="P651" s="30" t="s">
        <v>39</v>
      </c>
      <c r="Q651" s="30" t="s">
        <v>31</v>
      </c>
      <c r="R651" s="34" t="s">
        <v>47</v>
      </c>
      <c r="S651" s="35">
        <v>47601</v>
      </c>
      <c r="T651" s="36" t="s">
        <v>795</v>
      </c>
      <c r="U651" s="30" t="s">
        <v>795</v>
      </c>
      <c r="V651" s="37" t="e">
        <v>#N/A</v>
      </c>
      <c r="W651" s="31" t="s">
        <v>33</v>
      </c>
      <c r="X651" s="37"/>
      <c r="Y651" s="37">
        <f>COUNTIF(F:F,F651)</f>
        <v>1</v>
      </c>
      <c r="Z651" s="21" t="s">
        <v>1109</v>
      </c>
      <c r="AA651" s="21" t="s">
        <v>795</v>
      </c>
      <c r="AB651" s="21" t="s">
        <v>1121</v>
      </c>
    </row>
    <row r="652" spans="1:28" ht="13.9" customHeight="1" x14ac:dyDescent="0.3">
      <c r="A652" s="30" t="s">
        <v>20</v>
      </c>
      <c r="B652" s="30" t="s">
        <v>21</v>
      </c>
      <c r="C652" s="30" t="s">
        <v>761</v>
      </c>
      <c r="D652" s="30" t="s">
        <v>762</v>
      </c>
      <c r="E652" s="30" t="s">
        <v>803</v>
      </c>
      <c r="F652" s="31" t="s">
        <v>803</v>
      </c>
      <c r="G652" s="30" t="s">
        <v>26</v>
      </c>
      <c r="H652" s="30" t="s">
        <v>36</v>
      </c>
      <c r="I652" s="30">
        <v>3</v>
      </c>
      <c r="J652" s="30" t="s">
        <v>37</v>
      </c>
      <c r="K652" s="30" t="s">
        <v>38</v>
      </c>
      <c r="L652" s="32">
        <v>103.90572</v>
      </c>
      <c r="M652" s="32">
        <v>10.307840000000001</v>
      </c>
      <c r="N652" s="32" t="s">
        <v>764</v>
      </c>
      <c r="O652" s="33">
        <v>0</v>
      </c>
      <c r="P652" s="30" t="s">
        <v>39</v>
      </c>
      <c r="Q652" s="30" t="s">
        <v>31</v>
      </c>
      <c r="R652" s="34" t="s">
        <v>47</v>
      </c>
      <c r="S652" s="35">
        <v>47601</v>
      </c>
      <c r="T652" s="36" t="s">
        <v>795</v>
      </c>
      <c r="U652" s="30" t="s">
        <v>795</v>
      </c>
      <c r="V652" s="37" t="e">
        <v>#N/A</v>
      </c>
      <c r="W652" s="31" t="s">
        <v>33</v>
      </c>
      <c r="X652" s="37"/>
      <c r="Y652" s="37">
        <f>COUNTIF(F:F,F652)</f>
        <v>1</v>
      </c>
      <c r="Z652" s="21" t="s">
        <v>1109</v>
      </c>
      <c r="AA652" s="21" t="s">
        <v>795</v>
      </c>
      <c r="AB652" s="21" t="s">
        <v>1121</v>
      </c>
    </row>
    <row r="653" spans="1:28" ht="13.9" customHeight="1" x14ac:dyDescent="0.3">
      <c r="A653" s="30" t="s">
        <v>20</v>
      </c>
      <c r="B653" s="30" t="s">
        <v>21</v>
      </c>
      <c r="C653" s="30" t="s">
        <v>761</v>
      </c>
      <c r="D653" s="30" t="s">
        <v>762</v>
      </c>
      <c r="E653" s="30" t="s">
        <v>804</v>
      </c>
      <c r="F653" s="31" t="s">
        <v>804</v>
      </c>
      <c r="G653" s="30" t="s">
        <v>26</v>
      </c>
      <c r="H653" s="30" t="s">
        <v>27</v>
      </c>
      <c r="I653" s="30">
        <v>3</v>
      </c>
      <c r="J653" s="30"/>
      <c r="K653" s="30"/>
      <c r="L653" s="32">
        <v>103.87848</v>
      </c>
      <c r="M653" s="32">
        <v>10.3089</v>
      </c>
      <c r="N653" s="32" t="s">
        <v>764</v>
      </c>
      <c r="O653" s="33">
        <v>0</v>
      </c>
      <c r="P653" s="30" t="s">
        <v>30</v>
      </c>
      <c r="Q653" s="30" t="s">
        <v>31</v>
      </c>
      <c r="R653" s="34" t="s">
        <v>47</v>
      </c>
      <c r="S653" s="35">
        <v>47601</v>
      </c>
      <c r="T653" s="36" t="s">
        <v>795</v>
      </c>
      <c r="U653" s="30" t="s">
        <v>795</v>
      </c>
      <c r="V653" s="37" t="e">
        <v>#N/A</v>
      </c>
      <c r="W653" s="31" t="s">
        <v>33</v>
      </c>
      <c r="X653" s="37"/>
      <c r="Y653" s="37">
        <f>COUNTIF(F:F,F653)</f>
        <v>1</v>
      </c>
      <c r="Z653" s="21" t="s">
        <v>1109</v>
      </c>
      <c r="AA653" s="21" t="s">
        <v>795</v>
      </c>
      <c r="AB653" s="21" t="s">
        <v>1121</v>
      </c>
    </row>
    <row r="654" spans="1:28" s="22" customFormat="1" ht="13.9" customHeight="1" x14ac:dyDescent="0.3">
      <c r="A654" s="30" t="s">
        <v>20</v>
      </c>
      <c r="B654" s="30" t="s">
        <v>21</v>
      </c>
      <c r="C654" s="30" t="s">
        <v>761</v>
      </c>
      <c r="D654" s="30" t="s">
        <v>762</v>
      </c>
      <c r="E654" s="30" t="s">
        <v>814</v>
      </c>
      <c r="F654" s="31" t="s">
        <v>814</v>
      </c>
      <c r="G654" s="30" t="s">
        <v>26</v>
      </c>
      <c r="H654" s="30" t="s">
        <v>36</v>
      </c>
      <c r="I654" s="30">
        <v>3</v>
      </c>
      <c r="J654" s="30"/>
      <c r="K654" s="30"/>
      <c r="L654" s="32">
        <v>104.0307</v>
      </c>
      <c r="M654" s="32">
        <v>10.412100000000001</v>
      </c>
      <c r="N654" s="32" t="s">
        <v>764</v>
      </c>
      <c r="O654" s="33">
        <v>0</v>
      </c>
      <c r="P654" s="30" t="s">
        <v>169</v>
      </c>
      <c r="Q654" s="30" t="s">
        <v>31</v>
      </c>
      <c r="R654" s="34" t="s">
        <v>47</v>
      </c>
      <c r="S654" s="35">
        <v>47601</v>
      </c>
      <c r="T654" s="36" t="s">
        <v>808</v>
      </c>
      <c r="U654" s="30" t="s">
        <v>808</v>
      </c>
      <c r="V654" s="37" t="e">
        <v>#N/A</v>
      </c>
      <c r="W654" s="31" t="s">
        <v>33</v>
      </c>
      <c r="X654" s="37"/>
      <c r="Y654" s="37">
        <f>COUNTIF(F:F,F654)</f>
        <v>1</v>
      </c>
      <c r="Z654" s="21" t="s">
        <v>1109</v>
      </c>
      <c r="AA654" s="21" t="s">
        <v>808</v>
      </c>
      <c r="AB654" s="21" t="s">
        <v>1121</v>
      </c>
    </row>
    <row r="655" spans="1:28" ht="13.9" customHeight="1" x14ac:dyDescent="0.3">
      <c r="A655" s="30" t="s">
        <v>20</v>
      </c>
      <c r="B655" s="30" t="s">
        <v>21</v>
      </c>
      <c r="C655" s="30" t="s">
        <v>761</v>
      </c>
      <c r="D655" s="30" t="s">
        <v>762</v>
      </c>
      <c r="E655" s="30" t="s">
        <v>807</v>
      </c>
      <c r="F655" s="31" t="s">
        <v>807</v>
      </c>
      <c r="G655" s="30" t="s">
        <v>26</v>
      </c>
      <c r="H655" s="30" t="s">
        <v>36</v>
      </c>
      <c r="I655" s="30">
        <v>4</v>
      </c>
      <c r="J655" s="30" t="s">
        <v>37</v>
      </c>
      <c r="K655" s="30" t="s">
        <v>38</v>
      </c>
      <c r="L655" s="32">
        <v>103.96583</v>
      </c>
      <c r="M655" s="32">
        <v>10.328849999999999</v>
      </c>
      <c r="N655" s="32" t="s">
        <v>764</v>
      </c>
      <c r="O655" s="33">
        <v>0</v>
      </c>
      <c r="P655" s="30" t="s">
        <v>39</v>
      </c>
      <c r="Q655" s="30" t="s">
        <v>31</v>
      </c>
      <c r="R655" s="34" t="s">
        <v>47</v>
      </c>
      <c r="S655" s="35">
        <v>47601</v>
      </c>
      <c r="T655" s="36" t="s">
        <v>808</v>
      </c>
      <c r="U655" s="30" t="s">
        <v>808</v>
      </c>
      <c r="V655" s="37" t="e">
        <v>#N/A</v>
      </c>
      <c r="W655" s="31" t="s">
        <v>33</v>
      </c>
      <c r="X655" s="37" t="s">
        <v>42</v>
      </c>
      <c r="Y655" s="37">
        <f>COUNTIF(F:F,F655)</f>
        <v>2</v>
      </c>
      <c r="Z655" s="21" t="s">
        <v>1109</v>
      </c>
      <c r="AA655" s="21" t="s">
        <v>808</v>
      </c>
      <c r="AB655" s="21" t="s">
        <v>1121</v>
      </c>
    </row>
    <row r="656" spans="1:28" ht="13.9" customHeight="1" x14ac:dyDescent="0.3">
      <c r="A656" s="36" t="s">
        <v>20</v>
      </c>
      <c r="B656" s="36" t="s">
        <v>21</v>
      </c>
      <c r="C656" s="36" t="s">
        <v>761</v>
      </c>
      <c r="D656" s="36" t="s">
        <v>762</v>
      </c>
      <c r="E656" s="36" t="s">
        <v>809</v>
      </c>
      <c r="F656" s="31" t="s">
        <v>807</v>
      </c>
      <c r="G656" s="36" t="s">
        <v>26</v>
      </c>
      <c r="H656" s="36" t="s">
        <v>27</v>
      </c>
      <c r="I656" s="36">
        <v>3</v>
      </c>
      <c r="J656" s="36"/>
      <c r="K656" s="36"/>
      <c r="L656" s="38">
        <v>103.99120000000001</v>
      </c>
      <c r="M656" s="38">
        <v>10.36393</v>
      </c>
      <c r="N656" s="38" t="s">
        <v>764</v>
      </c>
      <c r="O656" s="39">
        <v>0</v>
      </c>
      <c r="P656" s="36" t="s">
        <v>30</v>
      </c>
      <c r="Q656" s="30" t="s">
        <v>31</v>
      </c>
      <c r="R656" s="40" t="s">
        <v>47</v>
      </c>
      <c r="S656" s="35">
        <v>47601</v>
      </c>
      <c r="T656" s="36" t="s">
        <v>808</v>
      </c>
      <c r="U656" s="30" t="s">
        <v>808</v>
      </c>
      <c r="V656" s="37" t="e">
        <v>#N/A</v>
      </c>
      <c r="W656" s="31" t="s">
        <v>63</v>
      </c>
      <c r="X656" s="37" t="s">
        <v>52</v>
      </c>
      <c r="Y656" s="37">
        <f>COUNTIF(F:F,F656)</f>
        <v>2</v>
      </c>
      <c r="Z656" s="21" t="s">
        <v>1109</v>
      </c>
      <c r="AA656" s="21" t="s">
        <v>808</v>
      </c>
      <c r="AB656" s="21" t="s">
        <v>1121</v>
      </c>
    </row>
    <row r="657" spans="1:28" ht="13.9" customHeight="1" x14ac:dyDescent="0.3">
      <c r="A657" s="30" t="s">
        <v>20</v>
      </c>
      <c r="B657" s="30" t="s">
        <v>21</v>
      </c>
      <c r="C657" s="30" t="s">
        <v>761</v>
      </c>
      <c r="D657" s="30" t="s">
        <v>762</v>
      </c>
      <c r="E657" s="30" t="s">
        <v>812</v>
      </c>
      <c r="F657" s="31" t="s">
        <v>812</v>
      </c>
      <c r="G657" s="30" t="s">
        <v>26</v>
      </c>
      <c r="H657" s="30" t="s">
        <v>36</v>
      </c>
      <c r="I657" s="30">
        <v>3</v>
      </c>
      <c r="J657" s="30" t="s">
        <v>37</v>
      </c>
      <c r="K657" s="30" t="s">
        <v>38</v>
      </c>
      <c r="L657" s="32">
        <v>103.97078</v>
      </c>
      <c r="M657" s="32">
        <v>10.416869999999999</v>
      </c>
      <c r="N657" s="32" t="s">
        <v>764</v>
      </c>
      <c r="O657" s="33">
        <v>0</v>
      </c>
      <c r="P657" s="30" t="s">
        <v>39</v>
      </c>
      <c r="Q657" s="30" t="s">
        <v>31</v>
      </c>
      <c r="R657" s="34" t="s">
        <v>47</v>
      </c>
      <c r="S657" s="35">
        <v>47601</v>
      </c>
      <c r="T657" s="36" t="s">
        <v>808</v>
      </c>
      <c r="U657" s="30" t="s">
        <v>808</v>
      </c>
      <c r="V657" s="37" t="e">
        <v>#N/A</v>
      </c>
      <c r="W657" s="31" t="s">
        <v>33</v>
      </c>
      <c r="X657" s="37"/>
      <c r="Y657" s="37">
        <f>COUNTIF(F:F,F657)</f>
        <v>1</v>
      </c>
      <c r="Z657" s="21" t="s">
        <v>1109</v>
      </c>
      <c r="AA657" s="21" t="s">
        <v>808</v>
      </c>
      <c r="AB657" s="21" t="s">
        <v>1121</v>
      </c>
    </row>
    <row r="658" spans="1:28" ht="13.9" customHeight="1" x14ac:dyDescent="0.3">
      <c r="A658" s="30" t="s">
        <v>20</v>
      </c>
      <c r="B658" s="30" t="s">
        <v>21</v>
      </c>
      <c r="C658" s="30" t="s">
        <v>761</v>
      </c>
      <c r="D658" s="30" t="s">
        <v>762</v>
      </c>
      <c r="E658" s="30" t="s">
        <v>810</v>
      </c>
      <c r="F658" s="31" t="s">
        <v>810</v>
      </c>
      <c r="G658" s="30" t="s">
        <v>26</v>
      </c>
      <c r="H658" s="30" t="s">
        <v>36</v>
      </c>
      <c r="I658" s="30">
        <v>3</v>
      </c>
      <c r="J658" s="30" t="s">
        <v>37</v>
      </c>
      <c r="K658" s="30" t="s">
        <v>38</v>
      </c>
      <c r="L658" s="32">
        <v>103.935</v>
      </c>
      <c r="M658" s="32">
        <v>10.3582</v>
      </c>
      <c r="N658" s="32" t="s">
        <v>764</v>
      </c>
      <c r="O658" s="33">
        <v>0</v>
      </c>
      <c r="P658" s="30" t="s">
        <v>39</v>
      </c>
      <c r="Q658" s="30" t="s">
        <v>31</v>
      </c>
      <c r="R658" s="34" t="s">
        <v>47</v>
      </c>
      <c r="S658" s="35">
        <v>47601</v>
      </c>
      <c r="T658" s="36" t="s">
        <v>808</v>
      </c>
      <c r="U658" s="30" t="s">
        <v>808</v>
      </c>
      <c r="V658" s="37" t="e">
        <v>#N/A</v>
      </c>
      <c r="W658" s="31" t="s">
        <v>33</v>
      </c>
      <c r="X658" s="37"/>
      <c r="Y658" s="37">
        <f>COUNTIF(F:F,F658)</f>
        <v>1</v>
      </c>
      <c r="Z658" s="21" t="s">
        <v>1109</v>
      </c>
      <c r="AA658" s="21" t="s">
        <v>808</v>
      </c>
      <c r="AB658" s="21" t="s">
        <v>1121</v>
      </c>
    </row>
    <row r="659" spans="1:28" ht="13.9" customHeight="1" x14ac:dyDescent="0.3">
      <c r="A659" s="30" t="s">
        <v>20</v>
      </c>
      <c r="B659" s="30" t="s">
        <v>21</v>
      </c>
      <c r="C659" s="30" t="s">
        <v>761</v>
      </c>
      <c r="D659" s="30" t="s">
        <v>762</v>
      </c>
      <c r="E659" s="30" t="s">
        <v>813</v>
      </c>
      <c r="F659" s="31" t="s">
        <v>813</v>
      </c>
      <c r="G659" s="30" t="s">
        <v>26</v>
      </c>
      <c r="H659" s="30" t="s">
        <v>36</v>
      </c>
      <c r="I659" s="30">
        <v>3</v>
      </c>
      <c r="J659" s="30" t="s">
        <v>37</v>
      </c>
      <c r="K659" s="30" t="s">
        <v>38</v>
      </c>
      <c r="L659" s="32">
        <v>104.0757</v>
      </c>
      <c r="M659" s="32">
        <v>10.371600000000001</v>
      </c>
      <c r="N659" s="32" t="s">
        <v>764</v>
      </c>
      <c r="O659" s="33">
        <v>0</v>
      </c>
      <c r="P659" s="30" t="s">
        <v>39</v>
      </c>
      <c r="Q659" s="30" t="s">
        <v>31</v>
      </c>
      <c r="R659" s="34" t="s">
        <v>47</v>
      </c>
      <c r="S659" s="35">
        <v>47601</v>
      </c>
      <c r="T659" s="36" t="s">
        <v>808</v>
      </c>
      <c r="U659" s="30" t="s">
        <v>808</v>
      </c>
      <c r="V659" s="37" t="e">
        <v>#N/A</v>
      </c>
      <c r="W659" s="31" t="s">
        <v>33</v>
      </c>
      <c r="X659" s="37"/>
      <c r="Y659" s="37">
        <f>COUNTIF(F:F,F659)</f>
        <v>1</v>
      </c>
      <c r="Z659" s="21" t="s">
        <v>1109</v>
      </c>
      <c r="AA659" s="21" t="s">
        <v>808</v>
      </c>
      <c r="AB659" s="21" t="s">
        <v>1121</v>
      </c>
    </row>
    <row r="660" spans="1:28" ht="13.9" customHeight="1" x14ac:dyDescent="0.3">
      <c r="A660" s="30" t="s">
        <v>20</v>
      </c>
      <c r="B660" s="30" t="s">
        <v>21</v>
      </c>
      <c r="C660" s="30" t="s">
        <v>761</v>
      </c>
      <c r="D660" s="30" t="s">
        <v>762</v>
      </c>
      <c r="E660" s="30" t="s">
        <v>811</v>
      </c>
      <c r="F660" s="31" t="s">
        <v>811</v>
      </c>
      <c r="G660" s="30" t="s">
        <v>26</v>
      </c>
      <c r="H660" s="30" t="s">
        <v>36</v>
      </c>
      <c r="I660" s="30">
        <v>3</v>
      </c>
      <c r="J660" s="30" t="s">
        <v>37</v>
      </c>
      <c r="K660" s="30" t="s">
        <v>38</v>
      </c>
      <c r="L660" s="32">
        <v>103.97172999999999</v>
      </c>
      <c r="M660" s="32">
        <v>10.31132</v>
      </c>
      <c r="N660" s="32" t="s">
        <v>764</v>
      </c>
      <c r="O660" s="33">
        <v>0</v>
      </c>
      <c r="P660" s="30" t="s">
        <v>39</v>
      </c>
      <c r="Q660" s="30" t="s">
        <v>31</v>
      </c>
      <c r="R660" s="34" t="s">
        <v>47</v>
      </c>
      <c r="S660" s="35">
        <v>47601</v>
      </c>
      <c r="T660" s="36" t="s">
        <v>808</v>
      </c>
      <c r="U660" s="30" t="s">
        <v>808</v>
      </c>
      <c r="V660" s="37" t="e">
        <v>#N/A</v>
      </c>
      <c r="W660" s="31" t="s">
        <v>33</v>
      </c>
      <c r="X660" s="37"/>
      <c r="Y660" s="37">
        <f>COUNTIF(F:F,F660)</f>
        <v>1</v>
      </c>
      <c r="Z660" s="21" t="s">
        <v>1109</v>
      </c>
      <c r="AA660" s="21" t="s">
        <v>808</v>
      </c>
      <c r="AB660" s="21" t="s">
        <v>1121</v>
      </c>
    </row>
    <row r="661" spans="1:28" ht="13.9" customHeight="1" x14ac:dyDescent="0.3">
      <c r="A661" s="30" t="s">
        <v>20</v>
      </c>
      <c r="B661" s="30" t="s">
        <v>21</v>
      </c>
      <c r="C661" s="30" t="s">
        <v>761</v>
      </c>
      <c r="D661" s="30" t="s">
        <v>762</v>
      </c>
      <c r="E661" s="30" t="s">
        <v>815</v>
      </c>
      <c r="F661" s="31" t="s">
        <v>815</v>
      </c>
      <c r="G661" s="30" t="s">
        <v>26</v>
      </c>
      <c r="H661" s="30" t="s">
        <v>36</v>
      </c>
      <c r="I661" s="30">
        <v>3</v>
      </c>
      <c r="J661" s="30"/>
      <c r="K661" s="30"/>
      <c r="L661" s="32">
        <v>104.05237099999999</v>
      </c>
      <c r="M661" s="32">
        <v>10.401153000000001</v>
      </c>
      <c r="N661" s="32" t="s">
        <v>764</v>
      </c>
      <c r="O661" s="33">
        <v>0</v>
      </c>
      <c r="P661" s="30" t="s">
        <v>169</v>
      </c>
      <c r="Q661" s="30" t="s">
        <v>31</v>
      </c>
      <c r="R661" s="34" t="s">
        <v>47</v>
      </c>
      <c r="S661" s="35">
        <v>47601</v>
      </c>
      <c r="T661" s="36" t="s">
        <v>808</v>
      </c>
      <c r="U661" s="30" t="s">
        <v>808</v>
      </c>
      <c r="V661" s="37" t="e">
        <v>#N/A</v>
      </c>
      <c r="W661" s="31" t="s">
        <v>33</v>
      </c>
      <c r="X661" s="37"/>
      <c r="Y661" s="37">
        <f>COUNTIF(F:F,F661)</f>
        <v>1</v>
      </c>
      <c r="Z661" s="21" t="s">
        <v>1109</v>
      </c>
      <c r="AA661" s="21" t="s">
        <v>808</v>
      </c>
      <c r="AB661" s="21" t="s">
        <v>1121</v>
      </c>
    </row>
    <row r="662" spans="1:28" ht="13.9" customHeight="1" x14ac:dyDescent="0.3">
      <c r="A662" s="36" t="s">
        <v>20</v>
      </c>
      <c r="B662" s="36" t="s">
        <v>21</v>
      </c>
      <c r="C662" s="36" t="s">
        <v>761</v>
      </c>
      <c r="D662" s="36" t="s">
        <v>762</v>
      </c>
      <c r="E662" s="36" t="s">
        <v>816</v>
      </c>
      <c r="F662" s="31" t="s">
        <v>816</v>
      </c>
      <c r="G662" s="36" t="s">
        <v>26</v>
      </c>
      <c r="H662" s="36" t="s">
        <v>27</v>
      </c>
      <c r="I662" s="36">
        <v>3</v>
      </c>
      <c r="J662" s="36"/>
      <c r="K662" s="36"/>
      <c r="L662" s="38">
        <v>104.014548</v>
      </c>
      <c r="M662" s="38">
        <v>10.430467</v>
      </c>
      <c r="N662" s="38" t="s">
        <v>764</v>
      </c>
      <c r="O662" s="39">
        <v>0</v>
      </c>
      <c r="P662" s="36" t="s">
        <v>60</v>
      </c>
      <c r="Q662" s="30" t="s">
        <v>31</v>
      </c>
      <c r="R662" s="40" t="s">
        <v>47</v>
      </c>
      <c r="S662" s="35">
        <v>47601</v>
      </c>
      <c r="T662" s="36" t="s">
        <v>808</v>
      </c>
      <c r="U662" s="30" t="s">
        <v>808</v>
      </c>
      <c r="V662" s="37" t="e">
        <v>#N/A</v>
      </c>
      <c r="W662" s="31" t="s">
        <v>33</v>
      </c>
      <c r="X662" s="37"/>
      <c r="Y662" s="37">
        <f>COUNTIF(F:F,F662)</f>
        <v>1</v>
      </c>
      <c r="Z662" s="21" t="s">
        <v>1109</v>
      </c>
      <c r="AA662" s="21" t="s">
        <v>808</v>
      </c>
      <c r="AB662" s="21" t="s">
        <v>1121</v>
      </c>
    </row>
    <row r="663" spans="1:28" ht="13.9" customHeight="1" x14ac:dyDescent="0.3">
      <c r="A663" s="30" t="s">
        <v>20</v>
      </c>
      <c r="B663" s="30" t="s">
        <v>21</v>
      </c>
      <c r="C663" s="30" t="s">
        <v>761</v>
      </c>
      <c r="D663" s="30" t="s">
        <v>762</v>
      </c>
      <c r="E663" s="30" t="s">
        <v>823</v>
      </c>
      <c r="F663" s="31" t="s">
        <v>823</v>
      </c>
      <c r="G663" s="30" t="s">
        <v>26</v>
      </c>
      <c r="H663" s="30" t="s">
        <v>36</v>
      </c>
      <c r="I663" s="30">
        <v>3</v>
      </c>
      <c r="J663" s="30" t="s">
        <v>37</v>
      </c>
      <c r="K663" s="30" t="s">
        <v>38</v>
      </c>
      <c r="L663" s="32">
        <v>103.97874</v>
      </c>
      <c r="M663" s="32">
        <v>10.294079999999999</v>
      </c>
      <c r="N663" s="32" t="s">
        <v>764</v>
      </c>
      <c r="O663" s="33">
        <v>0</v>
      </c>
      <c r="P663" s="30" t="s">
        <v>39</v>
      </c>
      <c r="Q663" s="30" t="s">
        <v>31</v>
      </c>
      <c r="R663" s="34" t="s">
        <v>47</v>
      </c>
      <c r="S663" s="35">
        <v>47601</v>
      </c>
      <c r="T663" s="36" t="s">
        <v>818</v>
      </c>
      <c r="U663" s="30" t="s">
        <v>818</v>
      </c>
      <c r="V663" s="37" t="e">
        <v>#N/A</v>
      </c>
      <c r="W663" s="31" t="s">
        <v>33</v>
      </c>
      <c r="X663" s="37"/>
      <c r="Y663" s="37">
        <f>COUNTIF(F:F,F663)</f>
        <v>1</v>
      </c>
      <c r="Z663" s="21" t="s">
        <v>1107</v>
      </c>
      <c r="AA663" s="21" t="s">
        <v>818</v>
      </c>
      <c r="AB663" s="21" t="s">
        <v>1121</v>
      </c>
    </row>
    <row r="664" spans="1:28" ht="13.9" customHeight="1" x14ac:dyDescent="0.3">
      <c r="A664" s="30" t="s">
        <v>20</v>
      </c>
      <c r="B664" s="30" t="s">
        <v>21</v>
      </c>
      <c r="C664" s="30" t="s">
        <v>761</v>
      </c>
      <c r="D664" s="30" t="s">
        <v>762</v>
      </c>
      <c r="E664" s="30" t="s">
        <v>817</v>
      </c>
      <c r="F664" s="31" t="s">
        <v>817</v>
      </c>
      <c r="G664" s="30" t="s">
        <v>26</v>
      </c>
      <c r="H664" s="30" t="s">
        <v>36</v>
      </c>
      <c r="I664" s="30">
        <v>3</v>
      </c>
      <c r="J664" s="30" t="s">
        <v>37</v>
      </c>
      <c r="K664" s="30" t="s">
        <v>38</v>
      </c>
      <c r="L664" s="32">
        <v>103.93758</v>
      </c>
      <c r="M664" s="32">
        <v>10.27716</v>
      </c>
      <c r="N664" s="32" t="s">
        <v>764</v>
      </c>
      <c r="O664" s="33">
        <v>0</v>
      </c>
      <c r="P664" s="30" t="s">
        <v>39</v>
      </c>
      <c r="Q664" s="30" t="s">
        <v>31</v>
      </c>
      <c r="R664" s="34" t="s">
        <v>47</v>
      </c>
      <c r="S664" s="35">
        <v>47601</v>
      </c>
      <c r="T664" s="36" t="s">
        <v>818</v>
      </c>
      <c r="U664" s="30" t="s">
        <v>818</v>
      </c>
      <c r="V664" s="37" t="e">
        <v>#N/A</v>
      </c>
      <c r="W664" s="31" t="s">
        <v>33</v>
      </c>
      <c r="X664" s="37" t="s">
        <v>42</v>
      </c>
      <c r="Y664" s="37">
        <f>COUNTIF(F:F,F664)</f>
        <v>5</v>
      </c>
      <c r="Z664" s="21" t="s">
        <v>1107</v>
      </c>
      <c r="AA664" s="21" t="s">
        <v>818</v>
      </c>
      <c r="AB664" s="21" t="s">
        <v>1121</v>
      </c>
    </row>
    <row r="665" spans="1:28" ht="13.9" customHeight="1" x14ac:dyDescent="0.3">
      <c r="A665" s="36" t="s">
        <v>20</v>
      </c>
      <c r="B665" s="36" t="s">
        <v>21</v>
      </c>
      <c r="C665" s="36" t="s">
        <v>761</v>
      </c>
      <c r="D665" s="36" t="s">
        <v>762</v>
      </c>
      <c r="E665" s="36" t="s">
        <v>821</v>
      </c>
      <c r="F665" s="31" t="s">
        <v>817</v>
      </c>
      <c r="G665" s="36" t="s">
        <v>26</v>
      </c>
      <c r="H665" s="36" t="s">
        <v>36</v>
      </c>
      <c r="I665" s="36">
        <v>3</v>
      </c>
      <c r="J665" s="36"/>
      <c r="K665" s="36"/>
      <c r="L665" s="38">
        <v>103.9532</v>
      </c>
      <c r="M665" s="38">
        <v>10.289249999999999</v>
      </c>
      <c r="N665" s="38" t="s">
        <v>764</v>
      </c>
      <c r="O665" s="39">
        <v>0</v>
      </c>
      <c r="P665" s="36" t="s">
        <v>169</v>
      </c>
      <c r="Q665" s="30" t="s">
        <v>31</v>
      </c>
      <c r="R665" s="40" t="s">
        <v>47</v>
      </c>
      <c r="S665" s="35">
        <v>47601</v>
      </c>
      <c r="T665" s="36" t="s">
        <v>818</v>
      </c>
      <c r="U665" s="30" t="s">
        <v>818</v>
      </c>
      <c r="V665" s="37" t="e">
        <v>#N/A</v>
      </c>
      <c r="W665" s="31" t="s">
        <v>63</v>
      </c>
      <c r="X665" s="37" t="s">
        <v>52</v>
      </c>
      <c r="Y665" s="37">
        <f>COUNTIF(F:F,F665)</f>
        <v>5</v>
      </c>
      <c r="Z665" s="21" t="s">
        <v>1107</v>
      </c>
      <c r="AA665" s="21" t="s">
        <v>818</v>
      </c>
      <c r="AB665" s="21" t="s">
        <v>1121</v>
      </c>
    </row>
    <row r="666" spans="1:28" ht="13.9" customHeight="1" x14ac:dyDescent="0.3">
      <c r="A666" s="36" t="s">
        <v>20</v>
      </c>
      <c r="B666" s="36" t="s">
        <v>21</v>
      </c>
      <c r="C666" s="36" t="s">
        <v>761</v>
      </c>
      <c r="D666" s="36" t="s">
        <v>762</v>
      </c>
      <c r="E666" s="36" t="s">
        <v>819</v>
      </c>
      <c r="F666" s="31" t="s">
        <v>817</v>
      </c>
      <c r="G666" s="36" t="s">
        <v>26</v>
      </c>
      <c r="H666" s="36" t="s">
        <v>36</v>
      </c>
      <c r="I666" s="36">
        <v>3</v>
      </c>
      <c r="J666" s="36" t="s">
        <v>37</v>
      </c>
      <c r="K666" s="36" t="s">
        <v>38</v>
      </c>
      <c r="L666" s="38">
        <v>103.92467000000001</v>
      </c>
      <c r="M666" s="38">
        <v>10.28477</v>
      </c>
      <c r="N666" s="38" t="s">
        <v>764</v>
      </c>
      <c r="O666" s="39">
        <v>0</v>
      </c>
      <c r="P666" s="36" t="s">
        <v>39</v>
      </c>
      <c r="Q666" s="30" t="s">
        <v>31</v>
      </c>
      <c r="R666" s="40" t="s">
        <v>47</v>
      </c>
      <c r="S666" s="35">
        <v>47601</v>
      </c>
      <c r="T666" s="36" t="s">
        <v>818</v>
      </c>
      <c r="U666" s="30" t="s">
        <v>818</v>
      </c>
      <c r="V666" s="37" t="e">
        <v>#N/A</v>
      </c>
      <c r="W666" s="31" t="s">
        <v>63</v>
      </c>
      <c r="X666" s="37" t="s">
        <v>52</v>
      </c>
      <c r="Y666" s="37">
        <f>COUNTIF(F:F,F666)</f>
        <v>5</v>
      </c>
      <c r="Z666" s="21" t="s">
        <v>1107</v>
      </c>
      <c r="AA666" s="21" t="s">
        <v>818</v>
      </c>
      <c r="AB666" s="21" t="s">
        <v>1121</v>
      </c>
    </row>
    <row r="667" spans="1:28" ht="13.9" customHeight="1" x14ac:dyDescent="0.3">
      <c r="A667" s="36" t="s">
        <v>20</v>
      </c>
      <c r="B667" s="36" t="s">
        <v>21</v>
      </c>
      <c r="C667" s="36" t="s">
        <v>761</v>
      </c>
      <c r="D667" s="36" t="s">
        <v>762</v>
      </c>
      <c r="E667" s="36" t="s">
        <v>822</v>
      </c>
      <c r="F667" s="31" t="s">
        <v>817</v>
      </c>
      <c r="G667" s="36" t="s">
        <v>26</v>
      </c>
      <c r="H667" s="36" t="s">
        <v>36</v>
      </c>
      <c r="I667" s="36">
        <v>3</v>
      </c>
      <c r="J667" s="36"/>
      <c r="K667" s="36"/>
      <c r="L667" s="38">
        <v>103.9284</v>
      </c>
      <c r="M667" s="38">
        <v>10.28797</v>
      </c>
      <c r="N667" s="38" t="s">
        <v>764</v>
      </c>
      <c r="O667" s="39">
        <v>0</v>
      </c>
      <c r="P667" s="36" t="s">
        <v>169</v>
      </c>
      <c r="Q667" s="30" t="s">
        <v>31</v>
      </c>
      <c r="R667" s="40" t="s">
        <v>47</v>
      </c>
      <c r="S667" s="35">
        <v>47601</v>
      </c>
      <c r="T667" s="36" t="s">
        <v>818</v>
      </c>
      <c r="U667" s="30" t="s">
        <v>818</v>
      </c>
      <c r="V667" s="37" t="e">
        <v>#N/A</v>
      </c>
      <c r="W667" s="31" t="s">
        <v>63</v>
      </c>
      <c r="X667" s="37" t="s">
        <v>52</v>
      </c>
      <c r="Y667" s="37">
        <f>COUNTIF(F:F,F667)</f>
        <v>5</v>
      </c>
      <c r="Z667" s="21" t="s">
        <v>1107</v>
      </c>
      <c r="AA667" s="21" t="s">
        <v>818</v>
      </c>
      <c r="AB667" s="21" t="s">
        <v>1121</v>
      </c>
    </row>
    <row r="668" spans="1:28" ht="13.9" customHeight="1" x14ac:dyDescent="0.3">
      <c r="A668" s="36" t="s">
        <v>20</v>
      </c>
      <c r="B668" s="36" t="s">
        <v>21</v>
      </c>
      <c r="C668" s="36" t="s">
        <v>761</v>
      </c>
      <c r="D668" s="36" t="s">
        <v>762</v>
      </c>
      <c r="E668" s="36" t="s">
        <v>820</v>
      </c>
      <c r="F668" s="31" t="s">
        <v>817</v>
      </c>
      <c r="G668" s="36" t="s">
        <v>26</v>
      </c>
      <c r="H668" s="36" t="s">
        <v>27</v>
      </c>
      <c r="I668" s="36">
        <v>3</v>
      </c>
      <c r="J668" s="36"/>
      <c r="K668" s="36"/>
      <c r="L668" s="38">
        <v>103.92288000000001</v>
      </c>
      <c r="M668" s="38">
        <v>10.28177</v>
      </c>
      <c r="N668" s="38" t="s">
        <v>764</v>
      </c>
      <c r="O668" s="39">
        <v>0</v>
      </c>
      <c r="P668" s="36" t="s">
        <v>30</v>
      </c>
      <c r="Q668" s="30" t="s">
        <v>31</v>
      </c>
      <c r="R668" s="40" t="s">
        <v>47</v>
      </c>
      <c r="S668" s="35">
        <v>47601</v>
      </c>
      <c r="T668" s="36" t="s">
        <v>818</v>
      </c>
      <c r="U668" s="30" t="s">
        <v>818</v>
      </c>
      <c r="V668" s="37" t="e">
        <v>#N/A</v>
      </c>
      <c r="W668" s="31" t="s">
        <v>63</v>
      </c>
      <c r="X668" s="37" t="s">
        <v>52</v>
      </c>
      <c r="Y668" s="37">
        <f>COUNTIF(F:F,F668)</f>
        <v>5</v>
      </c>
      <c r="Z668" s="21" t="s">
        <v>1107</v>
      </c>
      <c r="AA668" s="21" t="s">
        <v>818</v>
      </c>
      <c r="AB668" s="21" t="s">
        <v>1121</v>
      </c>
    </row>
    <row r="669" spans="1:28" ht="13.9" customHeight="1" x14ac:dyDescent="0.3">
      <c r="A669" s="30" t="s">
        <v>20</v>
      </c>
      <c r="B669" s="30" t="s">
        <v>21</v>
      </c>
      <c r="C669" s="30" t="s">
        <v>761</v>
      </c>
      <c r="D669" s="30" t="s">
        <v>762</v>
      </c>
      <c r="E669" s="30" t="s">
        <v>824</v>
      </c>
      <c r="F669" s="31" t="s">
        <v>824</v>
      </c>
      <c r="G669" s="30" t="s">
        <v>26</v>
      </c>
      <c r="H669" s="30" t="s">
        <v>36</v>
      </c>
      <c r="I669" s="30">
        <v>3</v>
      </c>
      <c r="J669" s="30"/>
      <c r="K669" s="30"/>
      <c r="L669" s="32">
        <v>103.938</v>
      </c>
      <c r="M669" s="32">
        <v>10.2599</v>
      </c>
      <c r="N669" s="32" t="s">
        <v>764</v>
      </c>
      <c r="O669" s="33">
        <v>0</v>
      </c>
      <c r="P669" s="30" t="s">
        <v>109</v>
      </c>
      <c r="Q669" s="30" t="s">
        <v>31</v>
      </c>
      <c r="R669" s="34" t="s">
        <v>47</v>
      </c>
      <c r="S669" s="35">
        <v>47601</v>
      </c>
      <c r="T669" s="36" t="s">
        <v>818</v>
      </c>
      <c r="U669" s="30" t="s">
        <v>818</v>
      </c>
      <c r="V669" s="37" t="e">
        <v>#N/A</v>
      </c>
      <c r="W669" s="31" t="s">
        <v>33</v>
      </c>
      <c r="X669" s="37"/>
      <c r="Y669" s="37">
        <f>COUNTIF(F:F,F669)</f>
        <v>1</v>
      </c>
      <c r="Z669" s="21" t="s">
        <v>1107</v>
      </c>
      <c r="AA669" s="21" t="s">
        <v>818</v>
      </c>
      <c r="AB669" s="21" t="s">
        <v>1121</v>
      </c>
    </row>
    <row r="670" spans="1:28" ht="13.9" customHeight="1" x14ac:dyDescent="0.3">
      <c r="A670" s="30" t="s">
        <v>20</v>
      </c>
      <c r="B670" s="30" t="s">
        <v>21</v>
      </c>
      <c r="C670" s="30" t="s">
        <v>761</v>
      </c>
      <c r="D670" s="30" t="s">
        <v>762</v>
      </c>
      <c r="E670" s="30" t="s">
        <v>825</v>
      </c>
      <c r="F670" s="31" t="s">
        <v>825</v>
      </c>
      <c r="G670" s="30" t="s">
        <v>26</v>
      </c>
      <c r="H670" s="30" t="s">
        <v>36</v>
      </c>
      <c r="I670" s="30">
        <v>3</v>
      </c>
      <c r="J670" s="30"/>
      <c r="K670" s="30"/>
      <c r="L670" s="32">
        <v>103.94356999999999</v>
      </c>
      <c r="M670" s="32">
        <v>10.253911</v>
      </c>
      <c r="N670" s="32" t="s">
        <v>764</v>
      </c>
      <c r="O670" s="33">
        <v>0</v>
      </c>
      <c r="P670" s="30" t="s">
        <v>109</v>
      </c>
      <c r="Q670" s="30" t="s">
        <v>31</v>
      </c>
      <c r="R670" s="34" t="s">
        <v>47</v>
      </c>
      <c r="S670" s="35">
        <v>47601</v>
      </c>
      <c r="T670" s="36" t="s">
        <v>818</v>
      </c>
      <c r="U670" s="30" t="s">
        <v>818</v>
      </c>
      <c r="V670" s="37" t="e">
        <v>#N/A</v>
      </c>
      <c r="W670" s="31" t="s">
        <v>33</v>
      </c>
      <c r="X670" s="37"/>
      <c r="Y670" s="37">
        <f>COUNTIF(F:F,F670)</f>
        <v>1</v>
      </c>
      <c r="Z670" s="21" t="s">
        <v>1107</v>
      </c>
      <c r="AA670" s="21" t="s">
        <v>818</v>
      </c>
      <c r="AB670" s="21" t="s">
        <v>1121</v>
      </c>
    </row>
    <row r="671" spans="1:28" ht="13.9" customHeight="1" x14ac:dyDescent="0.3">
      <c r="A671" s="30" t="s">
        <v>20</v>
      </c>
      <c r="B671" s="30" t="s">
        <v>21</v>
      </c>
      <c r="C671" s="30" t="s">
        <v>761</v>
      </c>
      <c r="D671" s="30" t="s">
        <v>762</v>
      </c>
      <c r="E671" s="30" t="s">
        <v>826</v>
      </c>
      <c r="F671" s="41" t="s">
        <v>826</v>
      </c>
      <c r="G671" s="30" t="s">
        <v>26</v>
      </c>
      <c r="H671" s="30" t="s">
        <v>36</v>
      </c>
      <c r="I671" s="30">
        <v>3</v>
      </c>
      <c r="J671" s="30" t="s">
        <v>37</v>
      </c>
      <c r="K671" s="30" t="s">
        <v>38</v>
      </c>
      <c r="L671" s="32">
        <v>103.9448</v>
      </c>
      <c r="M671" s="32">
        <v>10.265029999999999</v>
      </c>
      <c r="N671" s="32" t="s">
        <v>764</v>
      </c>
      <c r="O671" s="33">
        <v>0</v>
      </c>
      <c r="P671" s="30" t="s">
        <v>39</v>
      </c>
      <c r="Q671" s="30" t="s">
        <v>31</v>
      </c>
      <c r="R671" s="34" t="s">
        <v>47</v>
      </c>
      <c r="S671" s="35">
        <v>47601</v>
      </c>
      <c r="T671" s="36" t="s">
        <v>818</v>
      </c>
      <c r="U671" s="30" t="s">
        <v>818</v>
      </c>
      <c r="V671" s="37" t="e">
        <v>#N/A</v>
      </c>
      <c r="W671" s="31" t="s">
        <v>33</v>
      </c>
      <c r="X671" s="37"/>
      <c r="Y671" s="37">
        <f>COUNTIF(F:F,F671)</f>
        <v>1</v>
      </c>
      <c r="Z671" s="21" t="s">
        <v>1107</v>
      </c>
      <c r="AA671" s="21" t="s">
        <v>818</v>
      </c>
      <c r="AB671" s="21" t="s">
        <v>1121</v>
      </c>
    </row>
    <row r="672" spans="1:28" ht="13.9" customHeight="1" x14ac:dyDescent="0.3">
      <c r="A672" s="30" t="s">
        <v>20</v>
      </c>
      <c r="B672" s="30" t="s">
        <v>21</v>
      </c>
      <c r="C672" s="30" t="s">
        <v>761</v>
      </c>
      <c r="D672" s="30" t="s">
        <v>762</v>
      </c>
      <c r="E672" s="30" t="s">
        <v>827</v>
      </c>
      <c r="F672" s="31" t="s">
        <v>827</v>
      </c>
      <c r="G672" s="30" t="s">
        <v>26</v>
      </c>
      <c r="H672" s="30" t="s">
        <v>36</v>
      </c>
      <c r="I672" s="30">
        <v>3</v>
      </c>
      <c r="J672" s="30" t="s">
        <v>37</v>
      </c>
      <c r="K672" s="30" t="s">
        <v>38</v>
      </c>
      <c r="L672" s="32">
        <v>103.93301200000001</v>
      </c>
      <c r="M672" s="32">
        <v>10.265097000000001</v>
      </c>
      <c r="N672" s="32" t="s">
        <v>764</v>
      </c>
      <c r="O672" s="33">
        <v>0</v>
      </c>
      <c r="P672" s="30" t="s">
        <v>39</v>
      </c>
      <c r="Q672" s="30" t="s">
        <v>31</v>
      </c>
      <c r="R672" s="34" t="s">
        <v>47</v>
      </c>
      <c r="S672" s="35">
        <v>47601</v>
      </c>
      <c r="T672" s="36" t="s">
        <v>818</v>
      </c>
      <c r="U672" s="30" t="s">
        <v>818</v>
      </c>
      <c r="V672" s="37" t="e">
        <v>#N/A</v>
      </c>
      <c r="W672" s="31" t="s">
        <v>33</v>
      </c>
      <c r="X672" s="37"/>
      <c r="Y672" s="37">
        <f>COUNTIF(F:F,F672)</f>
        <v>1</v>
      </c>
      <c r="Z672" s="21" t="s">
        <v>1107</v>
      </c>
      <c r="AA672" s="21" t="s">
        <v>818</v>
      </c>
      <c r="AB672" s="21" t="s">
        <v>1121</v>
      </c>
    </row>
    <row r="673" spans="1:28" ht="13.9" customHeight="1" x14ac:dyDescent="0.3">
      <c r="A673" s="30" t="s">
        <v>20</v>
      </c>
      <c r="B673" s="30" t="s">
        <v>21</v>
      </c>
      <c r="C673" s="30" t="s">
        <v>761</v>
      </c>
      <c r="D673" s="30" t="s">
        <v>762</v>
      </c>
      <c r="E673" s="30" t="s">
        <v>828</v>
      </c>
      <c r="F673" s="31" t="s">
        <v>828</v>
      </c>
      <c r="G673" s="30" t="s">
        <v>26</v>
      </c>
      <c r="H673" s="30" t="s">
        <v>36</v>
      </c>
      <c r="I673" s="30">
        <v>4</v>
      </c>
      <c r="J673" s="30" t="s">
        <v>26</v>
      </c>
      <c r="K673" s="30" t="s">
        <v>405</v>
      </c>
      <c r="L673" s="32">
        <v>103.99039999999999</v>
      </c>
      <c r="M673" s="32">
        <v>10.2461</v>
      </c>
      <c r="N673" s="32" t="s">
        <v>764</v>
      </c>
      <c r="O673" s="33">
        <v>0</v>
      </c>
      <c r="P673" s="30" t="s">
        <v>271</v>
      </c>
      <c r="Q673" s="30" t="s">
        <v>31</v>
      </c>
      <c r="R673" s="34" t="s">
        <v>47</v>
      </c>
      <c r="S673" s="35">
        <v>47601</v>
      </c>
      <c r="T673" s="36" t="s">
        <v>829</v>
      </c>
      <c r="U673" s="30" t="s">
        <v>829</v>
      </c>
      <c r="V673" s="37" t="e">
        <v>#N/A</v>
      </c>
      <c r="W673" s="31" t="s">
        <v>33</v>
      </c>
      <c r="X673" s="37" t="s">
        <v>42</v>
      </c>
      <c r="Y673" s="37">
        <f>COUNTIF(F:F,F673)</f>
        <v>3</v>
      </c>
      <c r="Z673" s="21" t="s">
        <v>1107</v>
      </c>
      <c r="AA673" s="21" t="s">
        <v>829</v>
      </c>
      <c r="AB673" s="21" t="s">
        <v>1121</v>
      </c>
    </row>
    <row r="674" spans="1:28" ht="13.9" customHeight="1" x14ac:dyDescent="0.3">
      <c r="A674" s="36" t="s">
        <v>20</v>
      </c>
      <c r="B674" s="36" t="s">
        <v>21</v>
      </c>
      <c r="C674" s="36" t="s">
        <v>761</v>
      </c>
      <c r="D674" s="36" t="s">
        <v>762</v>
      </c>
      <c r="E674" s="36" t="s">
        <v>855</v>
      </c>
      <c r="F674" s="31" t="s">
        <v>828</v>
      </c>
      <c r="G674" s="36" t="s">
        <v>26</v>
      </c>
      <c r="H674" s="36" t="s">
        <v>36</v>
      </c>
      <c r="I674" s="36">
        <v>3</v>
      </c>
      <c r="J674" s="36" t="s">
        <v>37</v>
      </c>
      <c r="K674" s="36" t="s">
        <v>38</v>
      </c>
      <c r="L674" s="38">
        <v>103.998</v>
      </c>
      <c r="M674" s="38">
        <v>10.246869999999999</v>
      </c>
      <c r="N674" s="38" t="s">
        <v>764</v>
      </c>
      <c r="O674" s="39">
        <v>0</v>
      </c>
      <c r="P674" s="36" t="s">
        <v>39</v>
      </c>
      <c r="Q674" s="30" t="s">
        <v>31</v>
      </c>
      <c r="R674" s="40" t="s">
        <v>47</v>
      </c>
      <c r="S674" s="35">
        <v>47601</v>
      </c>
      <c r="T674" s="36" t="s">
        <v>856</v>
      </c>
      <c r="U674" s="30" t="s">
        <v>829</v>
      </c>
      <c r="V674" s="37" t="e">
        <v>#N/A</v>
      </c>
      <c r="W674" s="31" t="s">
        <v>63</v>
      </c>
      <c r="X674" s="37" t="s">
        <v>52</v>
      </c>
      <c r="Y674" s="37">
        <f>COUNTIF(F:F,F674)</f>
        <v>3</v>
      </c>
      <c r="Z674" s="21" t="s">
        <v>1107</v>
      </c>
      <c r="AA674" s="21" t="s">
        <v>829</v>
      </c>
      <c r="AB674" s="21" t="s">
        <v>1121</v>
      </c>
    </row>
    <row r="675" spans="1:28" ht="13.9" customHeight="1" x14ac:dyDescent="0.3">
      <c r="A675" s="36" t="s">
        <v>20</v>
      </c>
      <c r="B675" s="36" t="s">
        <v>21</v>
      </c>
      <c r="C675" s="36" t="s">
        <v>761</v>
      </c>
      <c r="D675" s="36" t="s">
        <v>762</v>
      </c>
      <c r="E675" s="36" t="s">
        <v>830</v>
      </c>
      <c r="F675" s="31" t="s">
        <v>828</v>
      </c>
      <c r="G675" s="36" t="s">
        <v>26</v>
      </c>
      <c r="H675" s="36" t="s">
        <v>36</v>
      </c>
      <c r="I675" s="36">
        <v>3</v>
      </c>
      <c r="J675" s="36"/>
      <c r="K675" s="36"/>
      <c r="L675" s="38">
        <v>104.00071699999999</v>
      </c>
      <c r="M675" s="38">
        <v>10.267728</v>
      </c>
      <c r="N675" s="38" t="s">
        <v>764</v>
      </c>
      <c r="O675" s="39">
        <v>0</v>
      </c>
      <c r="P675" s="36" t="s">
        <v>169</v>
      </c>
      <c r="Q675" s="30" t="s">
        <v>31</v>
      </c>
      <c r="R675" s="40" t="s">
        <v>47</v>
      </c>
      <c r="S675" s="35">
        <v>47601</v>
      </c>
      <c r="T675" s="36" t="s">
        <v>829</v>
      </c>
      <c r="U675" s="30" t="s">
        <v>829</v>
      </c>
      <c r="V675" s="37" t="e">
        <v>#N/A</v>
      </c>
      <c r="W675" s="31" t="s">
        <v>63</v>
      </c>
      <c r="X675" s="37" t="s">
        <v>52</v>
      </c>
      <c r="Y675" s="37">
        <f>COUNTIF(F:F,F675)</f>
        <v>3</v>
      </c>
      <c r="Z675" s="21" t="s">
        <v>1107</v>
      </c>
      <c r="AA675" s="21" t="s">
        <v>829</v>
      </c>
      <c r="AB675" s="21" t="s">
        <v>1121</v>
      </c>
    </row>
    <row r="676" spans="1:28" ht="13.9" customHeight="1" x14ac:dyDescent="0.3">
      <c r="A676" s="30" t="s">
        <v>20</v>
      </c>
      <c r="B676" s="30" t="s">
        <v>21</v>
      </c>
      <c r="C676" s="30" t="s">
        <v>761</v>
      </c>
      <c r="D676" s="30" t="s">
        <v>762</v>
      </c>
      <c r="E676" s="30" t="s">
        <v>831</v>
      </c>
      <c r="F676" s="31" t="s">
        <v>831</v>
      </c>
      <c r="G676" s="30" t="s">
        <v>26</v>
      </c>
      <c r="H676" s="30" t="s">
        <v>36</v>
      </c>
      <c r="I676" s="30">
        <v>3</v>
      </c>
      <c r="J676" s="30" t="s">
        <v>37</v>
      </c>
      <c r="K676" s="30" t="s">
        <v>38</v>
      </c>
      <c r="L676" s="32">
        <v>103.95406</v>
      </c>
      <c r="M676" s="32">
        <v>10.23607</v>
      </c>
      <c r="N676" s="32" t="s">
        <v>764</v>
      </c>
      <c r="O676" s="33">
        <v>0</v>
      </c>
      <c r="P676" s="30" t="s">
        <v>39</v>
      </c>
      <c r="Q676" s="30" t="s">
        <v>31</v>
      </c>
      <c r="R676" s="34" t="s">
        <v>47</v>
      </c>
      <c r="S676" s="35">
        <v>47601</v>
      </c>
      <c r="T676" s="36" t="s">
        <v>829</v>
      </c>
      <c r="U676" s="30" t="s">
        <v>829</v>
      </c>
      <c r="V676" s="37" t="e">
        <v>#N/A</v>
      </c>
      <c r="W676" s="31" t="s">
        <v>33</v>
      </c>
      <c r="X676" s="37" t="s">
        <v>42</v>
      </c>
      <c r="Y676" s="37">
        <f>COUNTIF(F:F,F676)</f>
        <v>2</v>
      </c>
      <c r="Z676" s="21" t="s">
        <v>1107</v>
      </c>
      <c r="AA676" s="21" t="s">
        <v>829</v>
      </c>
      <c r="AB676" s="21" t="s">
        <v>1121</v>
      </c>
    </row>
    <row r="677" spans="1:28" ht="13.9" customHeight="1" x14ac:dyDescent="0.3">
      <c r="A677" s="36" t="s">
        <v>20</v>
      </c>
      <c r="B677" s="36" t="s">
        <v>21</v>
      </c>
      <c r="C677" s="36" t="s">
        <v>761</v>
      </c>
      <c r="D677" s="36" t="s">
        <v>762</v>
      </c>
      <c r="E677" s="36" t="s">
        <v>832</v>
      </c>
      <c r="F677" s="31" t="s">
        <v>831</v>
      </c>
      <c r="G677" s="36" t="s">
        <v>26</v>
      </c>
      <c r="H677" s="36" t="s">
        <v>36</v>
      </c>
      <c r="I677" s="36">
        <v>3</v>
      </c>
      <c r="J677" s="36"/>
      <c r="K677" s="36"/>
      <c r="L677" s="38">
        <v>103.95023999999999</v>
      </c>
      <c r="M677" s="38">
        <v>10.2409</v>
      </c>
      <c r="N677" s="38" t="s">
        <v>764</v>
      </c>
      <c r="O677" s="39">
        <v>0</v>
      </c>
      <c r="P677" s="36" t="s">
        <v>169</v>
      </c>
      <c r="Q677" s="30" t="s">
        <v>31</v>
      </c>
      <c r="R677" s="40" t="s">
        <v>47</v>
      </c>
      <c r="S677" s="35">
        <v>47601</v>
      </c>
      <c r="T677" s="36" t="s">
        <v>829</v>
      </c>
      <c r="U677" s="30" t="s">
        <v>829</v>
      </c>
      <c r="V677" s="37" t="e">
        <v>#N/A</v>
      </c>
      <c r="W677" s="31" t="s">
        <v>63</v>
      </c>
      <c r="X677" s="37" t="s">
        <v>52</v>
      </c>
      <c r="Y677" s="37">
        <f>COUNTIF(F:F,F677)</f>
        <v>2</v>
      </c>
      <c r="Z677" s="21" t="s">
        <v>1107</v>
      </c>
      <c r="AA677" s="21" t="s">
        <v>829</v>
      </c>
      <c r="AB677" s="21" t="s">
        <v>1121</v>
      </c>
    </row>
    <row r="678" spans="1:28" ht="13.9" customHeight="1" x14ac:dyDescent="0.3">
      <c r="A678" s="30" t="s">
        <v>20</v>
      </c>
      <c r="B678" s="30" t="s">
        <v>21</v>
      </c>
      <c r="C678" s="30" t="s">
        <v>761</v>
      </c>
      <c r="D678" s="30" t="s">
        <v>762</v>
      </c>
      <c r="E678" s="30" t="s">
        <v>835</v>
      </c>
      <c r="F678" s="31" t="s">
        <v>835</v>
      </c>
      <c r="G678" s="30" t="s">
        <v>26</v>
      </c>
      <c r="H678" s="30" t="s">
        <v>36</v>
      </c>
      <c r="I678" s="30">
        <v>3</v>
      </c>
      <c r="J678" s="30" t="s">
        <v>37</v>
      </c>
      <c r="K678" s="30" t="s">
        <v>38</v>
      </c>
      <c r="L678" s="32">
        <v>103.971</v>
      </c>
      <c r="M678" s="32">
        <v>10.270200000000001</v>
      </c>
      <c r="N678" s="32" t="s">
        <v>764</v>
      </c>
      <c r="O678" s="33">
        <v>0</v>
      </c>
      <c r="P678" s="30" t="s">
        <v>39</v>
      </c>
      <c r="Q678" s="30" t="s">
        <v>31</v>
      </c>
      <c r="R678" s="34" t="s">
        <v>47</v>
      </c>
      <c r="S678" s="35">
        <v>47601</v>
      </c>
      <c r="T678" s="36" t="s">
        <v>829</v>
      </c>
      <c r="U678" s="30" t="s">
        <v>829</v>
      </c>
      <c r="V678" s="37" t="e">
        <v>#N/A</v>
      </c>
      <c r="W678" s="31" t="s">
        <v>33</v>
      </c>
      <c r="X678" s="37"/>
      <c r="Y678" s="37">
        <f>COUNTIF(F:F,F678)</f>
        <v>1</v>
      </c>
      <c r="Z678" s="21" t="s">
        <v>1107</v>
      </c>
      <c r="AA678" s="21" t="s">
        <v>829</v>
      </c>
      <c r="AB678" s="21" t="s">
        <v>1121</v>
      </c>
    </row>
    <row r="679" spans="1:28" ht="13.9" customHeight="1" x14ac:dyDescent="0.3">
      <c r="A679" s="30" t="s">
        <v>20</v>
      </c>
      <c r="B679" s="30" t="s">
        <v>21</v>
      </c>
      <c r="C679" s="30" t="s">
        <v>761</v>
      </c>
      <c r="D679" s="30" t="s">
        <v>762</v>
      </c>
      <c r="E679" s="30" t="s">
        <v>833</v>
      </c>
      <c r="F679" s="31" t="s">
        <v>833</v>
      </c>
      <c r="G679" s="30" t="s">
        <v>26</v>
      </c>
      <c r="H679" s="30" t="s">
        <v>36</v>
      </c>
      <c r="I679" s="30">
        <v>3</v>
      </c>
      <c r="J679" s="30" t="s">
        <v>37</v>
      </c>
      <c r="K679" s="30" t="s">
        <v>38</v>
      </c>
      <c r="L679" s="32">
        <v>103.95469</v>
      </c>
      <c r="M679" s="32">
        <v>10.25562</v>
      </c>
      <c r="N679" s="32" t="s">
        <v>764</v>
      </c>
      <c r="O679" s="33">
        <v>0</v>
      </c>
      <c r="P679" s="30" t="s">
        <v>39</v>
      </c>
      <c r="Q679" s="30" t="s">
        <v>31</v>
      </c>
      <c r="R679" s="34" t="s">
        <v>47</v>
      </c>
      <c r="S679" s="35">
        <v>47601</v>
      </c>
      <c r="T679" s="36" t="s">
        <v>829</v>
      </c>
      <c r="U679" s="30" t="s">
        <v>829</v>
      </c>
      <c r="V679" s="37" t="e">
        <v>#N/A</v>
      </c>
      <c r="W679" s="31" t="s">
        <v>33</v>
      </c>
      <c r="X679" s="37" t="s">
        <v>42</v>
      </c>
      <c r="Y679" s="37">
        <f>COUNTIF(F:F,F679)</f>
        <v>2</v>
      </c>
      <c r="Z679" s="21" t="s">
        <v>1107</v>
      </c>
      <c r="AA679" s="21" t="s">
        <v>829</v>
      </c>
      <c r="AB679" s="21" t="s">
        <v>1121</v>
      </c>
    </row>
    <row r="680" spans="1:28" ht="13.9" customHeight="1" x14ac:dyDescent="0.3">
      <c r="A680" s="36" t="s">
        <v>20</v>
      </c>
      <c r="B680" s="36" t="s">
        <v>21</v>
      </c>
      <c r="C680" s="36" t="s">
        <v>761</v>
      </c>
      <c r="D680" s="36" t="s">
        <v>762</v>
      </c>
      <c r="E680" s="36" t="s">
        <v>834</v>
      </c>
      <c r="F680" s="31" t="s">
        <v>833</v>
      </c>
      <c r="G680" s="36" t="s">
        <v>26</v>
      </c>
      <c r="H680" s="36" t="s">
        <v>27</v>
      </c>
      <c r="I680" s="36">
        <v>3</v>
      </c>
      <c r="J680" s="36"/>
      <c r="K680" s="36"/>
      <c r="L680" s="38">
        <v>103.951138</v>
      </c>
      <c r="M680" s="38">
        <v>10.244529999999999</v>
      </c>
      <c r="N680" s="38" t="s">
        <v>764</v>
      </c>
      <c r="O680" s="39">
        <v>0</v>
      </c>
      <c r="P680" s="36" t="s">
        <v>30</v>
      </c>
      <c r="Q680" s="30" t="s">
        <v>31</v>
      </c>
      <c r="R680" s="40" t="s">
        <v>47</v>
      </c>
      <c r="S680" s="35">
        <v>47601</v>
      </c>
      <c r="T680" s="36" t="s">
        <v>829</v>
      </c>
      <c r="U680" s="30" t="s">
        <v>829</v>
      </c>
      <c r="V680" s="37" t="e">
        <v>#N/A</v>
      </c>
      <c r="W680" s="31" t="s">
        <v>63</v>
      </c>
      <c r="X680" s="37" t="s">
        <v>52</v>
      </c>
      <c r="Y680" s="37">
        <f>COUNTIF(F:F,F680)</f>
        <v>2</v>
      </c>
      <c r="Z680" s="21" t="s">
        <v>1107</v>
      </c>
      <c r="AA680" s="21" t="s">
        <v>829</v>
      </c>
      <c r="AB680" s="21" t="s">
        <v>1121</v>
      </c>
    </row>
    <row r="681" spans="1:28" ht="13.9" customHeight="1" x14ac:dyDescent="0.3">
      <c r="A681" s="72" t="s">
        <v>20</v>
      </c>
      <c r="B681" s="72" t="s">
        <v>21</v>
      </c>
      <c r="C681" s="72" t="s">
        <v>761</v>
      </c>
      <c r="D681" s="72" t="s">
        <v>762</v>
      </c>
      <c r="E681" s="72" t="s">
        <v>863</v>
      </c>
      <c r="F681" s="73" t="s">
        <v>863</v>
      </c>
      <c r="G681" s="30" t="s">
        <v>26</v>
      </c>
      <c r="H681" s="30" t="s">
        <v>36</v>
      </c>
      <c r="I681" s="30">
        <v>4</v>
      </c>
      <c r="J681" s="30" t="s">
        <v>37</v>
      </c>
      <c r="K681" s="30" t="s">
        <v>38</v>
      </c>
      <c r="L681" s="74">
        <v>104.00170900000001</v>
      </c>
      <c r="M681" s="74">
        <v>10.255160999999999</v>
      </c>
      <c r="N681" s="32" t="s">
        <v>764</v>
      </c>
      <c r="O681" s="33">
        <v>0</v>
      </c>
      <c r="P681" s="30" t="s">
        <v>39</v>
      </c>
      <c r="Q681" s="72" t="s">
        <v>31</v>
      </c>
      <c r="R681" s="34" t="s">
        <v>47</v>
      </c>
      <c r="S681" s="75">
        <v>47601</v>
      </c>
      <c r="T681" s="76" t="s">
        <v>1079</v>
      </c>
      <c r="U681" s="30" t="s">
        <v>829</v>
      </c>
      <c r="V681" s="77" t="e">
        <v>#N/A</v>
      </c>
      <c r="W681" s="73" t="s">
        <v>33</v>
      </c>
      <c r="X681" s="77"/>
      <c r="Y681" s="77">
        <f>COUNTIF(F:F,F681)</f>
        <v>1</v>
      </c>
      <c r="Z681" s="21" t="s">
        <v>1107</v>
      </c>
      <c r="AA681" s="21" t="s">
        <v>829</v>
      </c>
      <c r="AB681" s="21" t="s">
        <v>1121</v>
      </c>
    </row>
    <row r="682" spans="1:28" ht="13.9" customHeight="1" x14ac:dyDescent="0.3">
      <c r="A682" s="30" t="s">
        <v>20</v>
      </c>
      <c r="B682" s="30" t="s">
        <v>21</v>
      </c>
      <c r="C682" s="30" t="s">
        <v>761</v>
      </c>
      <c r="D682" s="30" t="s">
        <v>762</v>
      </c>
      <c r="E682" s="30" t="s">
        <v>837</v>
      </c>
      <c r="F682" s="31" t="s">
        <v>837</v>
      </c>
      <c r="G682" s="30" t="s">
        <v>26</v>
      </c>
      <c r="H682" s="30" t="s">
        <v>36</v>
      </c>
      <c r="I682" s="30">
        <v>3</v>
      </c>
      <c r="J682" s="30" t="s">
        <v>37</v>
      </c>
      <c r="K682" s="30" t="s">
        <v>38</v>
      </c>
      <c r="L682" s="32">
        <v>103.97953</v>
      </c>
      <c r="M682" s="32">
        <v>10.25689</v>
      </c>
      <c r="N682" s="32" t="s">
        <v>764</v>
      </c>
      <c r="O682" s="33">
        <v>0</v>
      </c>
      <c r="P682" s="30" t="s">
        <v>39</v>
      </c>
      <c r="Q682" s="30" t="s">
        <v>31</v>
      </c>
      <c r="R682" s="34" t="s">
        <v>47</v>
      </c>
      <c r="S682" s="35">
        <v>47601</v>
      </c>
      <c r="T682" s="36" t="s">
        <v>829</v>
      </c>
      <c r="U682" s="30" t="s">
        <v>829</v>
      </c>
      <c r="V682" s="37" t="e">
        <v>#N/A</v>
      </c>
      <c r="W682" s="31" t="s">
        <v>33</v>
      </c>
      <c r="X682" s="37"/>
      <c r="Y682" s="37">
        <f>COUNTIF(F:F,F682)</f>
        <v>1</v>
      </c>
      <c r="Z682" s="21" t="s">
        <v>1107</v>
      </c>
      <c r="AA682" s="21" t="s">
        <v>829</v>
      </c>
      <c r="AB682" s="21" t="s">
        <v>1121</v>
      </c>
    </row>
    <row r="683" spans="1:28" ht="13.9" customHeight="1" x14ac:dyDescent="0.3">
      <c r="A683" s="30" t="s">
        <v>20</v>
      </c>
      <c r="B683" s="30" t="s">
        <v>21</v>
      </c>
      <c r="C683" s="30" t="s">
        <v>761</v>
      </c>
      <c r="D683" s="30" t="s">
        <v>762</v>
      </c>
      <c r="E683" s="30" t="s">
        <v>836</v>
      </c>
      <c r="F683" s="31" t="s">
        <v>836</v>
      </c>
      <c r="G683" s="30" t="s">
        <v>26</v>
      </c>
      <c r="H683" s="30" t="s">
        <v>36</v>
      </c>
      <c r="I683" s="30">
        <v>3</v>
      </c>
      <c r="J683" s="30" t="s">
        <v>37</v>
      </c>
      <c r="K683" s="30" t="s">
        <v>38</v>
      </c>
      <c r="L683" s="32">
        <v>103.96171</v>
      </c>
      <c r="M683" s="32">
        <v>10.26566</v>
      </c>
      <c r="N683" s="32" t="s">
        <v>764</v>
      </c>
      <c r="O683" s="33">
        <v>0</v>
      </c>
      <c r="P683" s="30" t="s">
        <v>39</v>
      </c>
      <c r="Q683" s="30" t="s">
        <v>31</v>
      </c>
      <c r="R683" s="34" t="s">
        <v>47</v>
      </c>
      <c r="S683" s="35">
        <v>47601</v>
      </c>
      <c r="T683" s="36" t="s">
        <v>829</v>
      </c>
      <c r="U683" s="30" t="s">
        <v>829</v>
      </c>
      <c r="V683" s="37" t="e">
        <v>#N/A</v>
      </c>
      <c r="W683" s="31" t="s">
        <v>33</v>
      </c>
      <c r="X683" s="37"/>
      <c r="Y683" s="37">
        <f>COUNTIF(F:F,F683)</f>
        <v>1</v>
      </c>
      <c r="Z683" s="21" t="s">
        <v>1107</v>
      </c>
      <c r="AA683" s="21" t="s">
        <v>829</v>
      </c>
      <c r="AB683" s="21" t="s">
        <v>1121</v>
      </c>
    </row>
    <row r="684" spans="1:28" ht="13.9" customHeight="1" x14ac:dyDescent="0.3">
      <c r="A684" s="30" t="s">
        <v>20</v>
      </c>
      <c r="B684" s="30" t="s">
        <v>21</v>
      </c>
      <c r="C684" s="30" t="s">
        <v>761</v>
      </c>
      <c r="D684" s="30" t="s">
        <v>762</v>
      </c>
      <c r="E684" s="30" t="s">
        <v>838</v>
      </c>
      <c r="F684" s="31" t="s">
        <v>838</v>
      </c>
      <c r="G684" s="30" t="s">
        <v>26</v>
      </c>
      <c r="H684" s="30" t="s">
        <v>36</v>
      </c>
      <c r="I684" s="30">
        <v>4</v>
      </c>
      <c r="J684" s="30" t="s">
        <v>26</v>
      </c>
      <c r="K684" s="30" t="s">
        <v>405</v>
      </c>
      <c r="L684" s="32">
        <v>103.9598</v>
      </c>
      <c r="M684" s="32">
        <v>10.215299999999999</v>
      </c>
      <c r="N684" s="32" t="s">
        <v>764</v>
      </c>
      <c r="O684" s="33">
        <v>0</v>
      </c>
      <c r="P684" s="30" t="s">
        <v>271</v>
      </c>
      <c r="Q684" s="30" t="s">
        <v>31</v>
      </c>
      <c r="R684" s="34" t="s">
        <v>47</v>
      </c>
      <c r="S684" s="35">
        <v>47601</v>
      </c>
      <c r="T684" s="36" t="s">
        <v>839</v>
      </c>
      <c r="U684" s="30" t="s">
        <v>839</v>
      </c>
      <c r="V684" s="37" t="e">
        <v>#N/A</v>
      </c>
      <c r="W684" s="31" t="s">
        <v>33</v>
      </c>
      <c r="X684" s="37" t="s">
        <v>42</v>
      </c>
      <c r="Y684" s="37">
        <f>COUNTIF(F:F,F684)</f>
        <v>2</v>
      </c>
      <c r="Z684" s="21" t="s">
        <v>1107</v>
      </c>
      <c r="AA684" s="21" t="s">
        <v>839</v>
      </c>
      <c r="AB684" s="21" t="s">
        <v>1121</v>
      </c>
    </row>
    <row r="685" spans="1:28" ht="13.9" customHeight="1" x14ac:dyDescent="0.3">
      <c r="A685" s="36" t="s">
        <v>20</v>
      </c>
      <c r="B685" s="36" t="s">
        <v>21</v>
      </c>
      <c r="C685" s="36" t="s">
        <v>761</v>
      </c>
      <c r="D685" s="36" t="s">
        <v>762</v>
      </c>
      <c r="E685" s="36" t="s">
        <v>840</v>
      </c>
      <c r="F685" s="31" t="s">
        <v>838</v>
      </c>
      <c r="G685" s="36" t="s">
        <v>26</v>
      </c>
      <c r="H685" s="36" t="s">
        <v>36</v>
      </c>
      <c r="I685" s="36">
        <v>3</v>
      </c>
      <c r="J685" s="36"/>
      <c r="K685" s="36"/>
      <c r="L685" s="38">
        <v>103.958226</v>
      </c>
      <c r="M685" s="38">
        <v>10.217047000000001</v>
      </c>
      <c r="N685" s="38" t="s">
        <v>764</v>
      </c>
      <c r="O685" s="39">
        <v>0</v>
      </c>
      <c r="P685" s="36" t="s">
        <v>109</v>
      </c>
      <c r="Q685" s="30" t="s">
        <v>31</v>
      </c>
      <c r="R685" s="40" t="s">
        <v>47</v>
      </c>
      <c r="S685" s="35">
        <v>47601</v>
      </c>
      <c r="T685" s="36" t="s">
        <v>839</v>
      </c>
      <c r="U685" s="30" t="s">
        <v>839</v>
      </c>
      <c r="V685" s="37" t="e">
        <v>#N/A</v>
      </c>
      <c r="W685" s="31" t="s">
        <v>63</v>
      </c>
      <c r="X685" s="37" t="s">
        <v>52</v>
      </c>
      <c r="Y685" s="37">
        <f>COUNTIF(F:F,F685)</f>
        <v>2</v>
      </c>
      <c r="Z685" s="21" t="s">
        <v>1107</v>
      </c>
      <c r="AA685" s="21" t="s">
        <v>839</v>
      </c>
      <c r="AB685" s="21" t="s">
        <v>1121</v>
      </c>
    </row>
    <row r="686" spans="1:28" s="22" customFormat="1" ht="13.9" customHeight="1" x14ac:dyDescent="0.3">
      <c r="A686" s="30" t="s">
        <v>20</v>
      </c>
      <c r="B686" s="30" t="s">
        <v>21</v>
      </c>
      <c r="C686" s="30" t="s">
        <v>761</v>
      </c>
      <c r="D686" s="30" t="s">
        <v>762</v>
      </c>
      <c r="E686" s="30" t="s">
        <v>851</v>
      </c>
      <c r="F686" s="31" t="s">
        <v>851</v>
      </c>
      <c r="G686" s="30" t="s">
        <v>26</v>
      </c>
      <c r="H686" s="30" t="s">
        <v>36</v>
      </c>
      <c r="I686" s="30">
        <v>3</v>
      </c>
      <c r="J686" s="30" t="s">
        <v>37</v>
      </c>
      <c r="K686" s="30" t="s">
        <v>38</v>
      </c>
      <c r="L686" s="32">
        <v>103.96498</v>
      </c>
      <c r="M686" s="32">
        <v>10.22059</v>
      </c>
      <c r="N686" s="32" t="s">
        <v>764</v>
      </c>
      <c r="O686" s="33">
        <v>0</v>
      </c>
      <c r="P686" s="30" t="s">
        <v>39</v>
      </c>
      <c r="Q686" s="30" t="s">
        <v>31</v>
      </c>
      <c r="R686" s="34" t="s">
        <v>47</v>
      </c>
      <c r="S686" s="35">
        <v>47601</v>
      </c>
      <c r="T686" s="36" t="s">
        <v>839</v>
      </c>
      <c r="U686" s="30" t="s">
        <v>839</v>
      </c>
      <c r="V686" s="37" t="e">
        <v>#N/A</v>
      </c>
      <c r="W686" s="31" t="s">
        <v>33</v>
      </c>
      <c r="X686" s="37"/>
      <c r="Y686" s="37">
        <f>COUNTIF(F:F,F686)</f>
        <v>1</v>
      </c>
      <c r="Z686" s="21" t="s">
        <v>1107</v>
      </c>
      <c r="AA686" s="21" t="s">
        <v>839</v>
      </c>
      <c r="AB686" s="21" t="s">
        <v>1121</v>
      </c>
    </row>
    <row r="687" spans="1:28" ht="13.9" customHeight="1" x14ac:dyDescent="0.3">
      <c r="A687" s="30" t="s">
        <v>20</v>
      </c>
      <c r="B687" s="30" t="s">
        <v>21</v>
      </c>
      <c r="C687" s="30" t="s">
        <v>761</v>
      </c>
      <c r="D687" s="30" t="s">
        <v>762</v>
      </c>
      <c r="E687" s="30" t="s">
        <v>841</v>
      </c>
      <c r="F687" s="31" t="s">
        <v>841</v>
      </c>
      <c r="G687" s="30" t="s">
        <v>26</v>
      </c>
      <c r="H687" s="30" t="s">
        <v>36</v>
      </c>
      <c r="I687" s="30">
        <v>4</v>
      </c>
      <c r="J687" s="30" t="s">
        <v>26</v>
      </c>
      <c r="K687" s="30" t="s">
        <v>782</v>
      </c>
      <c r="L687" s="32">
        <v>103.95659999999999</v>
      </c>
      <c r="M687" s="32">
        <v>10.221</v>
      </c>
      <c r="N687" s="32" t="s">
        <v>764</v>
      </c>
      <c r="O687" s="33">
        <v>0</v>
      </c>
      <c r="P687" s="30" t="s">
        <v>271</v>
      </c>
      <c r="Q687" s="30" t="s">
        <v>31</v>
      </c>
      <c r="R687" s="34" t="s">
        <v>47</v>
      </c>
      <c r="S687" s="35">
        <v>47601</v>
      </c>
      <c r="T687" s="36" t="s">
        <v>839</v>
      </c>
      <c r="U687" s="30" t="s">
        <v>839</v>
      </c>
      <c r="V687" s="37" t="e">
        <v>#N/A</v>
      </c>
      <c r="W687" s="31" t="s">
        <v>33</v>
      </c>
      <c r="X687" s="37" t="s">
        <v>42</v>
      </c>
      <c r="Y687" s="37">
        <f>COUNTIF(F:F,F687)</f>
        <v>4</v>
      </c>
      <c r="Z687" s="21" t="s">
        <v>1107</v>
      </c>
      <c r="AA687" s="21" t="s">
        <v>839</v>
      </c>
      <c r="AB687" s="21" t="s">
        <v>1121</v>
      </c>
    </row>
    <row r="688" spans="1:28" ht="13.9" customHeight="1" x14ac:dyDescent="0.3">
      <c r="A688" s="36" t="s">
        <v>20</v>
      </c>
      <c r="B688" s="36" t="s">
        <v>21</v>
      </c>
      <c r="C688" s="36" t="s">
        <v>761</v>
      </c>
      <c r="D688" s="36" t="s">
        <v>762</v>
      </c>
      <c r="E688" s="36" t="s">
        <v>842</v>
      </c>
      <c r="F688" s="31" t="s">
        <v>841</v>
      </c>
      <c r="G688" s="36" t="s">
        <v>26</v>
      </c>
      <c r="H688" s="36" t="s">
        <v>36</v>
      </c>
      <c r="I688" s="36">
        <v>3</v>
      </c>
      <c r="J688" s="36" t="s">
        <v>37</v>
      </c>
      <c r="K688" s="36" t="s">
        <v>38</v>
      </c>
      <c r="L688" s="38">
        <v>103.96924799999999</v>
      </c>
      <c r="M688" s="38">
        <v>10.224919999999999</v>
      </c>
      <c r="N688" s="38" t="s">
        <v>764</v>
      </c>
      <c r="O688" s="39">
        <v>0</v>
      </c>
      <c r="P688" s="36" t="s">
        <v>39</v>
      </c>
      <c r="Q688" s="30" t="s">
        <v>31</v>
      </c>
      <c r="R688" s="40" t="s">
        <v>47</v>
      </c>
      <c r="S688" s="35">
        <v>47601</v>
      </c>
      <c r="T688" s="36" t="s">
        <v>839</v>
      </c>
      <c r="U688" s="30" t="s">
        <v>839</v>
      </c>
      <c r="V688" s="37" t="e">
        <v>#N/A</v>
      </c>
      <c r="W688" s="31" t="s">
        <v>63</v>
      </c>
      <c r="X688" s="37" t="s">
        <v>52</v>
      </c>
      <c r="Y688" s="37">
        <f>COUNTIF(F:F,F688)</f>
        <v>4</v>
      </c>
      <c r="Z688" s="21" t="s">
        <v>1107</v>
      </c>
      <c r="AA688" s="21" t="s">
        <v>839</v>
      </c>
      <c r="AB688" s="21" t="s">
        <v>1121</v>
      </c>
    </row>
    <row r="689" spans="1:28" ht="13.9" customHeight="1" x14ac:dyDescent="0.3">
      <c r="A689" s="36" t="s">
        <v>20</v>
      </c>
      <c r="B689" s="36" t="s">
        <v>21</v>
      </c>
      <c r="C689" s="36" t="s">
        <v>761</v>
      </c>
      <c r="D689" s="36" t="s">
        <v>762</v>
      </c>
      <c r="E689" s="36" t="s">
        <v>843</v>
      </c>
      <c r="F689" s="31" t="s">
        <v>841</v>
      </c>
      <c r="G689" s="36" t="s">
        <v>26</v>
      </c>
      <c r="H689" s="36" t="s">
        <v>36</v>
      </c>
      <c r="I689" s="36">
        <v>3</v>
      </c>
      <c r="J689" s="36" t="s">
        <v>37</v>
      </c>
      <c r="K689" s="36" t="s">
        <v>38</v>
      </c>
      <c r="L689" s="38">
        <v>103.96062000000001</v>
      </c>
      <c r="M689" s="38">
        <v>10.220392</v>
      </c>
      <c r="N689" s="38" t="s">
        <v>764</v>
      </c>
      <c r="O689" s="39">
        <v>0</v>
      </c>
      <c r="P689" s="36" t="s">
        <v>39</v>
      </c>
      <c r="Q689" s="30" t="s">
        <v>31</v>
      </c>
      <c r="R689" s="40" t="s">
        <v>47</v>
      </c>
      <c r="S689" s="35">
        <v>47601</v>
      </c>
      <c r="T689" s="36" t="s">
        <v>839</v>
      </c>
      <c r="U689" s="30" t="s">
        <v>839</v>
      </c>
      <c r="V689" s="37" t="e">
        <v>#N/A</v>
      </c>
      <c r="W689" s="31" t="s">
        <v>63</v>
      </c>
      <c r="X689" s="37" t="s">
        <v>52</v>
      </c>
      <c r="Y689" s="37">
        <f>COUNTIF(F:F,F689)</f>
        <v>4</v>
      </c>
      <c r="Z689" s="21" t="s">
        <v>1107</v>
      </c>
      <c r="AA689" s="21" t="s">
        <v>839</v>
      </c>
      <c r="AB689" s="21" t="s">
        <v>1121</v>
      </c>
    </row>
    <row r="690" spans="1:28" ht="13.9" customHeight="1" x14ac:dyDescent="0.3">
      <c r="A690" s="36" t="s">
        <v>20</v>
      </c>
      <c r="B690" s="36" t="s">
        <v>21</v>
      </c>
      <c r="C690" s="36" t="s">
        <v>761</v>
      </c>
      <c r="D690" s="36" t="s">
        <v>762</v>
      </c>
      <c r="E690" s="36" t="s">
        <v>844</v>
      </c>
      <c r="F690" s="31" t="s">
        <v>841</v>
      </c>
      <c r="G690" s="36" t="s">
        <v>26</v>
      </c>
      <c r="H690" s="36" t="s">
        <v>36</v>
      </c>
      <c r="I690" s="36">
        <v>3</v>
      </c>
      <c r="J690" s="36" t="s">
        <v>37</v>
      </c>
      <c r="K690" s="36" t="s">
        <v>38</v>
      </c>
      <c r="L690" s="38">
        <v>103.96106</v>
      </c>
      <c r="M690" s="38">
        <v>10.222899999999999</v>
      </c>
      <c r="N690" s="38" t="s">
        <v>764</v>
      </c>
      <c r="O690" s="39">
        <v>0</v>
      </c>
      <c r="P690" s="36" t="s">
        <v>39</v>
      </c>
      <c r="Q690" s="30" t="s">
        <v>31</v>
      </c>
      <c r="R690" s="40" t="s">
        <v>47</v>
      </c>
      <c r="S690" s="35">
        <v>47601</v>
      </c>
      <c r="T690" s="36" t="s">
        <v>839</v>
      </c>
      <c r="U690" s="30" t="s">
        <v>839</v>
      </c>
      <c r="V690" s="37" t="e">
        <v>#N/A</v>
      </c>
      <c r="W690" s="31" t="s">
        <v>63</v>
      </c>
      <c r="X690" s="37" t="s">
        <v>52</v>
      </c>
      <c r="Y690" s="37">
        <f>COUNTIF(F:F,F690)</f>
        <v>4</v>
      </c>
      <c r="Z690" s="21" t="s">
        <v>1107</v>
      </c>
      <c r="AA690" s="21" t="s">
        <v>839</v>
      </c>
      <c r="AB690" s="21" t="s">
        <v>1121</v>
      </c>
    </row>
    <row r="691" spans="1:28" ht="13.9" customHeight="1" x14ac:dyDescent="0.3">
      <c r="A691" s="30" t="s">
        <v>20</v>
      </c>
      <c r="B691" s="30" t="s">
        <v>21</v>
      </c>
      <c r="C691" s="30" t="s">
        <v>761</v>
      </c>
      <c r="D691" s="30" t="s">
        <v>762</v>
      </c>
      <c r="E691" s="30" t="s">
        <v>845</v>
      </c>
      <c r="F691" s="31" t="s">
        <v>846</v>
      </c>
      <c r="G691" s="30" t="s">
        <v>26</v>
      </c>
      <c r="H691" s="30" t="s">
        <v>36</v>
      </c>
      <c r="I691" s="30">
        <v>4</v>
      </c>
      <c r="J691" s="30" t="s">
        <v>37</v>
      </c>
      <c r="K691" s="30" t="s">
        <v>38</v>
      </c>
      <c r="L691" s="32">
        <v>103.96522</v>
      </c>
      <c r="M691" s="32">
        <v>10.22944</v>
      </c>
      <c r="N691" s="32" t="s">
        <v>764</v>
      </c>
      <c r="O691" s="33">
        <v>0</v>
      </c>
      <c r="P691" s="30" t="s">
        <v>39</v>
      </c>
      <c r="Q691" s="30" t="s">
        <v>31</v>
      </c>
      <c r="R691" s="34" t="s">
        <v>47</v>
      </c>
      <c r="S691" s="35">
        <v>47601</v>
      </c>
      <c r="T691" s="36" t="s">
        <v>839</v>
      </c>
      <c r="U691" s="30" t="s">
        <v>839</v>
      </c>
      <c r="V691" s="37" t="e">
        <v>#N/A</v>
      </c>
      <c r="W691" s="31" t="s">
        <v>33</v>
      </c>
      <c r="X691" s="37" t="s">
        <v>42</v>
      </c>
      <c r="Y691" s="37">
        <f>COUNTIF(F:F,F691)</f>
        <v>4</v>
      </c>
      <c r="Z691" s="21" t="s">
        <v>1107</v>
      </c>
      <c r="AA691" s="21" t="s">
        <v>839</v>
      </c>
      <c r="AB691" s="21" t="s">
        <v>1121</v>
      </c>
    </row>
    <row r="692" spans="1:28" ht="13.9" customHeight="1" x14ac:dyDescent="0.3">
      <c r="A692" s="41" t="s">
        <v>20</v>
      </c>
      <c r="B692" s="41" t="s">
        <v>21</v>
      </c>
      <c r="C692" s="41" t="s">
        <v>761</v>
      </c>
      <c r="D692" s="41" t="s">
        <v>762</v>
      </c>
      <c r="E692" s="41" t="s">
        <v>847</v>
      </c>
      <c r="F692" s="31" t="s">
        <v>846</v>
      </c>
      <c r="G692" s="41" t="s">
        <v>26</v>
      </c>
      <c r="H692" s="36" t="s">
        <v>36</v>
      </c>
      <c r="I692" s="36">
        <v>3</v>
      </c>
      <c r="J692" s="36" t="s">
        <v>37</v>
      </c>
      <c r="K692" s="36" t="s">
        <v>38</v>
      </c>
      <c r="L692" s="38">
        <v>103.96254</v>
      </c>
      <c r="M692" s="38">
        <v>10.238723999999999</v>
      </c>
      <c r="N692" s="38" t="s">
        <v>764</v>
      </c>
      <c r="O692" s="39">
        <v>0</v>
      </c>
      <c r="P692" s="36" t="s">
        <v>39</v>
      </c>
      <c r="Q692" s="41" t="s">
        <v>31</v>
      </c>
      <c r="R692" s="42" t="s">
        <v>47</v>
      </c>
      <c r="S692" s="35">
        <v>47601</v>
      </c>
      <c r="T692" s="36" t="s">
        <v>848</v>
      </c>
      <c r="U692" s="30" t="s">
        <v>839</v>
      </c>
      <c r="V692" s="37" t="e">
        <v>#N/A</v>
      </c>
      <c r="W692" s="31" t="s">
        <v>63</v>
      </c>
      <c r="X692" s="37" t="s">
        <v>52</v>
      </c>
      <c r="Y692" s="37">
        <f>COUNTIF(F:F,F692)</f>
        <v>4</v>
      </c>
      <c r="Z692" s="21" t="s">
        <v>1107</v>
      </c>
      <c r="AA692" s="21" t="s">
        <v>839</v>
      </c>
      <c r="AB692" s="21" t="s">
        <v>1121</v>
      </c>
    </row>
    <row r="693" spans="1:28" ht="13.9" customHeight="1" x14ac:dyDescent="0.3">
      <c r="A693" s="36" t="s">
        <v>20</v>
      </c>
      <c r="B693" s="36" t="s">
        <v>21</v>
      </c>
      <c r="C693" s="36" t="s">
        <v>761</v>
      </c>
      <c r="D693" s="36" t="s">
        <v>762</v>
      </c>
      <c r="E693" s="36" t="s">
        <v>849</v>
      </c>
      <c r="F693" s="31" t="s">
        <v>846</v>
      </c>
      <c r="G693" s="36" t="s">
        <v>26</v>
      </c>
      <c r="H693" s="36" t="s">
        <v>36</v>
      </c>
      <c r="I693" s="36">
        <v>3</v>
      </c>
      <c r="J693" s="36" t="s">
        <v>37</v>
      </c>
      <c r="K693" s="36" t="s">
        <v>38</v>
      </c>
      <c r="L693" s="38">
        <v>103.95629</v>
      </c>
      <c r="M693" s="38">
        <v>10.227679999999999</v>
      </c>
      <c r="N693" s="38" t="s">
        <v>764</v>
      </c>
      <c r="O693" s="39">
        <v>0</v>
      </c>
      <c r="P693" s="36" t="s">
        <v>39</v>
      </c>
      <c r="Q693" s="30" t="s">
        <v>31</v>
      </c>
      <c r="R693" s="40" t="s">
        <v>47</v>
      </c>
      <c r="S693" s="35">
        <v>47601</v>
      </c>
      <c r="T693" s="36" t="s">
        <v>839</v>
      </c>
      <c r="U693" s="30" t="s">
        <v>839</v>
      </c>
      <c r="V693" s="37" t="e">
        <v>#N/A</v>
      </c>
      <c r="W693" s="31" t="s">
        <v>63</v>
      </c>
      <c r="X693" s="37" t="s">
        <v>52</v>
      </c>
      <c r="Y693" s="37">
        <f>COUNTIF(F:F,F693)</f>
        <v>4</v>
      </c>
      <c r="Z693" s="21" t="s">
        <v>1107</v>
      </c>
      <c r="AA693" s="21" t="s">
        <v>839</v>
      </c>
      <c r="AB693" s="21" t="s">
        <v>1121</v>
      </c>
    </row>
    <row r="694" spans="1:28" ht="13.9" customHeight="1" x14ac:dyDescent="0.3">
      <c r="A694" s="41" t="s">
        <v>20</v>
      </c>
      <c r="B694" s="41" t="s">
        <v>21</v>
      </c>
      <c r="C694" s="41" t="s">
        <v>761</v>
      </c>
      <c r="D694" s="41" t="s">
        <v>762</v>
      </c>
      <c r="E694" s="41" t="s">
        <v>850</v>
      </c>
      <c r="F694" s="31" t="s">
        <v>846</v>
      </c>
      <c r="G694" s="41" t="s">
        <v>26</v>
      </c>
      <c r="H694" s="36" t="s">
        <v>36</v>
      </c>
      <c r="I694" s="36">
        <v>3</v>
      </c>
      <c r="J694" s="36" t="s">
        <v>37</v>
      </c>
      <c r="K694" s="36" t="s">
        <v>38</v>
      </c>
      <c r="L694" s="38">
        <v>103.969393</v>
      </c>
      <c r="M694" s="38">
        <v>10.233188999999999</v>
      </c>
      <c r="N694" s="38" t="s">
        <v>764</v>
      </c>
      <c r="O694" s="39">
        <v>0</v>
      </c>
      <c r="P694" s="36" t="s">
        <v>39</v>
      </c>
      <c r="Q694" s="41" t="s">
        <v>31</v>
      </c>
      <c r="R694" s="42" t="s">
        <v>47</v>
      </c>
      <c r="S694" s="35">
        <v>47601</v>
      </c>
      <c r="T694" s="36" t="s">
        <v>848</v>
      </c>
      <c r="U694" s="30" t="s">
        <v>839</v>
      </c>
      <c r="V694" s="37" t="e">
        <v>#N/A</v>
      </c>
      <c r="W694" s="31" t="s">
        <v>63</v>
      </c>
      <c r="X694" s="37" t="s">
        <v>52</v>
      </c>
      <c r="Y694" s="37">
        <f>COUNTIF(F:F,F694)</f>
        <v>4</v>
      </c>
      <c r="Z694" s="21" t="s">
        <v>1107</v>
      </c>
      <c r="AA694" s="21" t="s">
        <v>839</v>
      </c>
      <c r="AB694" s="21" t="s">
        <v>1121</v>
      </c>
    </row>
    <row r="695" spans="1:28" ht="13.9" customHeight="1" x14ac:dyDescent="0.3">
      <c r="A695" s="30" t="s">
        <v>20</v>
      </c>
      <c r="B695" s="30" t="s">
        <v>21</v>
      </c>
      <c r="C695" s="30" t="s">
        <v>761</v>
      </c>
      <c r="D695" s="30" t="s">
        <v>762</v>
      </c>
      <c r="E695" s="30" t="s">
        <v>852</v>
      </c>
      <c r="F695" s="31" t="s">
        <v>852</v>
      </c>
      <c r="G695" s="30" t="s">
        <v>26</v>
      </c>
      <c r="H695" s="30" t="s">
        <v>36</v>
      </c>
      <c r="I695" s="30">
        <v>4</v>
      </c>
      <c r="J695" s="30" t="s">
        <v>37</v>
      </c>
      <c r="K695" s="30" t="s">
        <v>38</v>
      </c>
      <c r="L695" s="32">
        <v>103.96258</v>
      </c>
      <c r="M695" s="32">
        <v>10.218299999999999</v>
      </c>
      <c r="N695" s="32" t="s">
        <v>764</v>
      </c>
      <c r="O695" s="33">
        <v>0</v>
      </c>
      <c r="P695" s="30" t="s">
        <v>39</v>
      </c>
      <c r="Q695" s="30" t="s">
        <v>31</v>
      </c>
      <c r="R695" s="34" t="s">
        <v>47</v>
      </c>
      <c r="S695" s="35">
        <v>47601</v>
      </c>
      <c r="T695" s="36" t="s">
        <v>839</v>
      </c>
      <c r="U695" s="30" t="s">
        <v>839</v>
      </c>
      <c r="V695" s="37" t="e">
        <v>#N/A</v>
      </c>
      <c r="W695" s="31" t="s">
        <v>33</v>
      </c>
      <c r="X695" s="37"/>
      <c r="Y695" s="37">
        <f>COUNTIF(F:F,F695)</f>
        <v>1</v>
      </c>
      <c r="Z695" s="21" t="s">
        <v>1107</v>
      </c>
      <c r="AA695" s="21" t="s">
        <v>839</v>
      </c>
      <c r="AB695" s="21" t="s">
        <v>1121</v>
      </c>
    </row>
    <row r="696" spans="1:28" ht="13.9" customHeight="1" x14ac:dyDescent="0.3">
      <c r="A696" s="30" t="s">
        <v>20</v>
      </c>
      <c r="B696" s="30" t="s">
        <v>21</v>
      </c>
      <c r="C696" s="30" t="s">
        <v>761</v>
      </c>
      <c r="D696" s="30" t="s">
        <v>762</v>
      </c>
      <c r="E696" s="30" t="s">
        <v>853</v>
      </c>
      <c r="F696" s="31" t="s">
        <v>854</v>
      </c>
      <c r="G696" s="30" t="s">
        <v>26</v>
      </c>
      <c r="H696" s="30" t="s">
        <v>27</v>
      </c>
      <c r="I696" s="30">
        <v>3</v>
      </c>
      <c r="J696" s="30" t="s">
        <v>26</v>
      </c>
      <c r="K696" s="30" t="s">
        <v>782</v>
      </c>
      <c r="L696" s="32">
        <v>103.96665299999999</v>
      </c>
      <c r="M696" s="32">
        <v>10.222595999999999</v>
      </c>
      <c r="N696" s="32" t="s">
        <v>764</v>
      </c>
      <c r="O696" s="33">
        <v>0</v>
      </c>
      <c r="P696" s="45" t="s">
        <v>39</v>
      </c>
      <c r="Q696" s="30" t="s">
        <v>31</v>
      </c>
      <c r="R696" s="34" t="s">
        <v>47</v>
      </c>
      <c r="S696" s="35">
        <v>47601</v>
      </c>
      <c r="T696" s="36" t="s">
        <v>839</v>
      </c>
      <c r="U696" s="30" t="s">
        <v>839</v>
      </c>
      <c r="V696" s="37" t="e">
        <v>#N/A</v>
      </c>
      <c r="W696" s="31" t="s">
        <v>33</v>
      </c>
      <c r="X696" s="37"/>
      <c r="Y696" s="37">
        <f>COUNTIF(F:F,F696)</f>
        <v>1</v>
      </c>
      <c r="Z696" s="21" t="s">
        <v>1107</v>
      </c>
      <c r="AA696" s="21" t="s">
        <v>839</v>
      </c>
      <c r="AB696" s="21" t="s">
        <v>1121</v>
      </c>
    </row>
    <row r="697" spans="1:28" ht="13.9" customHeight="1" x14ac:dyDescent="0.3">
      <c r="A697" s="30" t="s">
        <v>20</v>
      </c>
      <c r="B697" s="30" t="s">
        <v>21</v>
      </c>
      <c r="C697" s="30" t="s">
        <v>761</v>
      </c>
      <c r="D697" s="30" t="s">
        <v>762</v>
      </c>
      <c r="E697" s="30" t="s">
        <v>861</v>
      </c>
      <c r="F697" s="31" t="s">
        <v>861</v>
      </c>
      <c r="G697" s="30" t="s">
        <v>26</v>
      </c>
      <c r="H697" s="30" t="s">
        <v>36</v>
      </c>
      <c r="I697" s="30">
        <v>4</v>
      </c>
      <c r="J697" s="30" t="s">
        <v>26</v>
      </c>
      <c r="K697" s="30" t="s">
        <v>782</v>
      </c>
      <c r="L697" s="32">
        <v>103.9759</v>
      </c>
      <c r="M697" s="32">
        <v>10.2232</v>
      </c>
      <c r="N697" s="32" t="s">
        <v>764</v>
      </c>
      <c r="O697" s="33">
        <v>0</v>
      </c>
      <c r="P697" s="30" t="s">
        <v>271</v>
      </c>
      <c r="Q697" s="30" t="s">
        <v>31</v>
      </c>
      <c r="R697" s="34" t="s">
        <v>47</v>
      </c>
      <c r="S697" s="35">
        <v>47601</v>
      </c>
      <c r="T697" s="36" t="s">
        <v>856</v>
      </c>
      <c r="U697" s="30" t="s">
        <v>856</v>
      </c>
      <c r="V697" s="37" t="e">
        <v>#N/A</v>
      </c>
      <c r="W697" s="31" t="s">
        <v>33</v>
      </c>
      <c r="X697" s="37"/>
      <c r="Y697" s="37">
        <f>COUNTIF(F:F,F697)</f>
        <v>1</v>
      </c>
      <c r="Z697" s="21" t="s">
        <v>1107</v>
      </c>
      <c r="AA697" s="21" t="s">
        <v>856</v>
      </c>
      <c r="AB697" s="21" t="s">
        <v>1121</v>
      </c>
    </row>
    <row r="698" spans="1:28" ht="13.9" customHeight="1" x14ac:dyDescent="0.3">
      <c r="A698" s="30" t="s">
        <v>20</v>
      </c>
      <c r="B698" s="30" t="s">
        <v>21</v>
      </c>
      <c r="C698" s="30" t="s">
        <v>761</v>
      </c>
      <c r="D698" s="30" t="s">
        <v>762</v>
      </c>
      <c r="E698" s="30" t="s">
        <v>862</v>
      </c>
      <c r="F698" s="31" t="s">
        <v>862</v>
      </c>
      <c r="G698" s="30" t="s">
        <v>26</v>
      </c>
      <c r="H698" s="30" t="s">
        <v>36</v>
      </c>
      <c r="I698" s="30">
        <v>3</v>
      </c>
      <c r="J698" s="30" t="s">
        <v>37</v>
      </c>
      <c r="K698" s="30" t="s">
        <v>38</v>
      </c>
      <c r="L698" s="32">
        <v>104.0258</v>
      </c>
      <c r="M698" s="32">
        <v>10.244300000000001</v>
      </c>
      <c r="N698" s="32" t="s">
        <v>764</v>
      </c>
      <c r="O698" s="33">
        <v>0</v>
      </c>
      <c r="P698" s="30" t="s">
        <v>39</v>
      </c>
      <c r="Q698" s="30" t="s">
        <v>31</v>
      </c>
      <c r="R698" s="34" t="s">
        <v>47</v>
      </c>
      <c r="S698" s="35">
        <v>47601</v>
      </c>
      <c r="T698" s="36" t="s">
        <v>856</v>
      </c>
      <c r="U698" s="30" t="s">
        <v>856</v>
      </c>
      <c r="V698" s="37" t="e">
        <v>#N/A</v>
      </c>
      <c r="W698" s="31" t="s">
        <v>33</v>
      </c>
      <c r="X698" s="37"/>
      <c r="Y698" s="37">
        <f>COUNTIF(F:F,F698)</f>
        <v>1</v>
      </c>
      <c r="Z698" s="21" t="s">
        <v>1107</v>
      </c>
      <c r="AA698" s="21" t="s">
        <v>856</v>
      </c>
      <c r="AB698" s="21" t="s">
        <v>1121</v>
      </c>
    </row>
    <row r="699" spans="1:28" ht="13.9" customHeight="1" x14ac:dyDescent="0.3">
      <c r="A699" s="30" t="s">
        <v>20</v>
      </c>
      <c r="B699" s="30" t="s">
        <v>21</v>
      </c>
      <c r="C699" s="30" t="s">
        <v>761</v>
      </c>
      <c r="D699" s="30" t="s">
        <v>762</v>
      </c>
      <c r="E699" s="30" t="s">
        <v>857</v>
      </c>
      <c r="F699" s="31" t="s">
        <v>857</v>
      </c>
      <c r="G699" s="30" t="s">
        <v>26</v>
      </c>
      <c r="H699" s="30" t="s">
        <v>36</v>
      </c>
      <c r="I699" s="30">
        <v>4</v>
      </c>
      <c r="J699" s="30" t="s">
        <v>37</v>
      </c>
      <c r="K699" s="30" t="s">
        <v>38</v>
      </c>
      <c r="L699" s="32">
        <v>103.99084999999999</v>
      </c>
      <c r="M699" s="32">
        <v>10.23368</v>
      </c>
      <c r="N699" s="32" t="s">
        <v>764</v>
      </c>
      <c r="O699" s="33">
        <v>0</v>
      </c>
      <c r="P699" s="30" t="s">
        <v>39</v>
      </c>
      <c r="Q699" s="30" t="s">
        <v>31</v>
      </c>
      <c r="R699" s="34" t="s">
        <v>47</v>
      </c>
      <c r="S699" s="35">
        <v>47601</v>
      </c>
      <c r="T699" s="36" t="s">
        <v>856</v>
      </c>
      <c r="U699" s="30" t="s">
        <v>856</v>
      </c>
      <c r="V699" s="37" t="e">
        <v>#N/A</v>
      </c>
      <c r="W699" s="31" t="s">
        <v>33</v>
      </c>
      <c r="X699" s="37" t="s">
        <v>42</v>
      </c>
      <c r="Y699" s="37">
        <f>COUNTIF(F:F,F699)</f>
        <v>3</v>
      </c>
      <c r="Z699" s="21" t="s">
        <v>1107</v>
      </c>
      <c r="AA699" s="21" t="s">
        <v>856</v>
      </c>
      <c r="AB699" s="21" t="s">
        <v>1121</v>
      </c>
    </row>
    <row r="700" spans="1:28" ht="13.9" customHeight="1" x14ac:dyDescent="0.3">
      <c r="A700" s="36" t="s">
        <v>20</v>
      </c>
      <c r="B700" s="36" t="s">
        <v>21</v>
      </c>
      <c r="C700" s="36" t="s">
        <v>761</v>
      </c>
      <c r="D700" s="36" t="s">
        <v>762</v>
      </c>
      <c r="E700" s="36" t="s">
        <v>858</v>
      </c>
      <c r="F700" s="31" t="s">
        <v>857</v>
      </c>
      <c r="G700" s="36" t="s">
        <v>26</v>
      </c>
      <c r="H700" s="36" t="s">
        <v>36</v>
      </c>
      <c r="I700" s="36">
        <v>3</v>
      </c>
      <c r="J700" s="36" t="s">
        <v>37</v>
      </c>
      <c r="K700" s="36" t="s">
        <v>38</v>
      </c>
      <c r="L700" s="38">
        <v>103.98260000000001</v>
      </c>
      <c r="M700" s="38">
        <v>10.231109999999999</v>
      </c>
      <c r="N700" s="38" t="s">
        <v>764</v>
      </c>
      <c r="O700" s="39">
        <v>0</v>
      </c>
      <c r="P700" s="36" t="s">
        <v>39</v>
      </c>
      <c r="Q700" s="30" t="s">
        <v>31</v>
      </c>
      <c r="R700" s="40" t="s">
        <v>47</v>
      </c>
      <c r="S700" s="35">
        <v>47601</v>
      </c>
      <c r="T700" s="36" t="s">
        <v>856</v>
      </c>
      <c r="U700" s="30" t="s">
        <v>856</v>
      </c>
      <c r="V700" s="37" t="e">
        <v>#N/A</v>
      </c>
      <c r="W700" s="31" t="s">
        <v>63</v>
      </c>
      <c r="X700" s="37" t="s">
        <v>52</v>
      </c>
      <c r="Y700" s="37">
        <f>COUNTIF(F:F,F700)</f>
        <v>3</v>
      </c>
      <c r="Z700" s="21" t="s">
        <v>1107</v>
      </c>
      <c r="AA700" s="21" t="s">
        <v>856</v>
      </c>
      <c r="AB700" s="21" t="s">
        <v>1121</v>
      </c>
    </row>
    <row r="701" spans="1:28" ht="13.9" customHeight="1" x14ac:dyDescent="0.3">
      <c r="A701" s="36" t="s">
        <v>20</v>
      </c>
      <c r="B701" s="36" t="s">
        <v>21</v>
      </c>
      <c r="C701" s="36" t="s">
        <v>761</v>
      </c>
      <c r="D701" s="36" t="s">
        <v>762</v>
      </c>
      <c r="E701" s="36" t="s">
        <v>859</v>
      </c>
      <c r="F701" s="31" t="s">
        <v>857</v>
      </c>
      <c r="G701" s="36" t="s">
        <v>26</v>
      </c>
      <c r="H701" s="36" t="s">
        <v>36</v>
      </c>
      <c r="I701" s="36">
        <v>3</v>
      </c>
      <c r="J701" s="36" t="s">
        <v>37</v>
      </c>
      <c r="K701" s="36" t="s">
        <v>282</v>
      </c>
      <c r="L701" s="38">
        <v>104.00125</v>
      </c>
      <c r="M701" s="38">
        <v>10.23494</v>
      </c>
      <c r="N701" s="38" t="s">
        <v>764</v>
      </c>
      <c r="O701" s="39">
        <v>0</v>
      </c>
      <c r="P701" s="36" t="s">
        <v>860</v>
      </c>
      <c r="Q701" s="30" t="s">
        <v>31</v>
      </c>
      <c r="R701" s="40" t="s">
        <v>47</v>
      </c>
      <c r="S701" s="35">
        <v>47601</v>
      </c>
      <c r="T701" s="36" t="s">
        <v>856</v>
      </c>
      <c r="U701" s="30" t="s">
        <v>856</v>
      </c>
      <c r="V701" s="37" t="e">
        <v>#N/A</v>
      </c>
      <c r="W701" s="31" t="s">
        <v>63</v>
      </c>
      <c r="X701" s="37" t="s">
        <v>52</v>
      </c>
      <c r="Y701" s="37">
        <f>COUNTIF(F:F,F701)</f>
        <v>3</v>
      </c>
      <c r="Z701" s="21" t="s">
        <v>1107</v>
      </c>
      <c r="AA701" s="21" t="s">
        <v>856</v>
      </c>
      <c r="AB701" s="21" t="s">
        <v>1121</v>
      </c>
    </row>
    <row r="702" spans="1:28" ht="13.9" customHeight="1" x14ac:dyDescent="0.3">
      <c r="A702" s="30" t="s">
        <v>20</v>
      </c>
      <c r="B702" s="30" t="s">
        <v>21</v>
      </c>
      <c r="C702" s="30" t="s">
        <v>761</v>
      </c>
      <c r="D702" s="30" t="s">
        <v>762</v>
      </c>
      <c r="E702" s="30" t="s">
        <v>864</v>
      </c>
      <c r="F702" s="31" t="s">
        <v>864</v>
      </c>
      <c r="G702" s="30" t="s">
        <v>26</v>
      </c>
      <c r="H702" s="30" t="s">
        <v>36</v>
      </c>
      <c r="I702" s="30">
        <v>4</v>
      </c>
      <c r="J702" s="30" t="s">
        <v>37</v>
      </c>
      <c r="K702" s="30" t="s">
        <v>38</v>
      </c>
      <c r="L702" s="32">
        <v>104.01295</v>
      </c>
      <c r="M702" s="32">
        <v>10.237349</v>
      </c>
      <c r="N702" s="32" t="s">
        <v>764</v>
      </c>
      <c r="O702" s="33">
        <v>0</v>
      </c>
      <c r="P702" s="30" t="s">
        <v>39</v>
      </c>
      <c r="Q702" s="30" t="s">
        <v>31</v>
      </c>
      <c r="R702" s="34" t="s">
        <v>47</v>
      </c>
      <c r="S702" s="35">
        <v>47601</v>
      </c>
      <c r="T702" s="36" t="s">
        <v>856</v>
      </c>
      <c r="U702" s="30" t="s">
        <v>856</v>
      </c>
      <c r="V702" s="37" t="e">
        <v>#N/A</v>
      </c>
      <c r="W702" s="31" t="s">
        <v>33</v>
      </c>
      <c r="X702" s="37"/>
      <c r="Y702" s="37">
        <f>COUNTIF(F:F,F702)</f>
        <v>1</v>
      </c>
      <c r="Z702" s="21" t="s">
        <v>1107</v>
      </c>
      <c r="AA702" s="21" t="s">
        <v>856</v>
      </c>
      <c r="AB702" s="21" t="s">
        <v>1121</v>
      </c>
    </row>
    <row r="703" spans="1:28" s="22" customFormat="1" ht="13.9" customHeight="1" x14ac:dyDescent="0.3">
      <c r="A703" s="30" t="s">
        <v>20</v>
      </c>
      <c r="B703" s="30" t="s">
        <v>21</v>
      </c>
      <c r="C703" s="30" t="s">
        <v>761</v>
      </c>
      <c r="D703" s="30" t="s">
        <v>762</v>
      </c>
      <c r="E703" s="30" t="s">
        <v>865</v>
      </c>
      <c r="F703" s="31" t="s">
        <v>865</v>
      </c>
      <c r="G703" s="30" t="s">
        <v>26</v>
      </c>
      <c r="H703" s="30" t="s">
        <v>36</v>
      </c>
      <c r="I703" s="30">
        <v>3</v>
      </c>
      <c r="J703" s="30" t="s">
        <v>37</v>
      </c>
      <c r="K703" s="30" t="s">
        <v>38</v>
      </c>
      <c r="L703" s="32">
        <v>104.01267</v>
      </c>
      <c r="M703" s="32">
        <v>10.24977</v>
      </c>
      <c r="N703" s="32" t="s">
        <v>764</v>
      </c>
      <c r="O703" s="33">
        <v>0</v>
      </c>
      <c r="P703" s="30" t="s">
        <v>39</v>
      </c>
      <c r="Q703" s="30" t="s">
        <v>31</v>
      </c>
      <c r="R703" s="34" t="s">
        <v>47</v>
      </c>
      <c r="S703" s="35">
        <v>47601</v>
      </c>
      <c r="T703" s="36" t="s">
        <v>856</v>
      </c>
      <c r="U703" s="30" t="s">
        <v>856</v>
      </c>
      <c r="V703" s="37" t="e">
        <v>#N/A</v>
      </c>
      <c r="W703" s="31" t="s">
        <v>33</v>
      </c>
      <c r="X703" s="37"/>
      <c r="Y703" s="37">
        <f>COUNTIF(F:F,F703)</f>
        <v>1</v>
      </c>
      <c r="Z703" s="21" t="s">
        <v>1107</v>
      </c>
      <c r="AA703" s="21" t="s">
        <v>856</v>
      </c>
      <c r="AB703" s="21" t="s">
        <v>1121</v>
      </c>
    </row>
    <row r="704" spans="1:28" ht="13.9" customHeight="1" x14ac:dyDescent="0.3">
      <c r="A704" s="30" t="s">
        <v>20</v>
      </c>
      <c r="B704" s="30" t="s">
        <v>21</v>
      </c>
      <c r="C704" s="30" t="s">
        <v>761</v>
      </c>
      <c r="D704" s="30" t="s">
        <v>762</v>
      </c>
      <c r="E704" s="30" t="s">
        <v>866</v>
      </c>
      <c r="F704" s="31" t="s">
        <v>866</v>
      </c>
      <c r="G704" s="30" t="s">
        <v>26</v>
      </c>
      <c r="H704" s="30" t="s">
        <v>36</v>
      </c>
      <c r="I704" s="30">
        <v>3</v>
      </c>
      <c r="J704" s="30" t="s">
        <v>37</v>
      </c>
      <c r="K704" s="30" t="s">
        <v>38</v>
      </c>
      <c r="L704" s="32">
        <v>103.96289400000001</v>
      </c>
      <c r="M704" s="32">
        <v>10.206023</v>
      </c>
      <c r="N704" s="32" t="s">
        <v>764</v>
      </c>
      <c r="O704" s="33">
        <v>0</v>
      </c>
      <c r="P704" s="30" t="s">
        <v>39</v>
      </c>
      <c r="Q704" s="30" t="s">
        <v>31</v>
      </c>
      <c r="R704" s="34" t="s">
        <v>47</v>
      </c>
      <c r="S704" s="35">
        <v>47601</v>
      </c>
      <c r="T704" s="36" t="s">
        <v>867</v>
      </c>
      <c r="U704" s="30" t="s">
        <v>867</v>
      </c>
      <c r="V704" s="37" t="e">
        <v>#N/A</v>
      </c>
      <c r="W704" s="31" t="s">
        <v>33</v>
      </c>
      <c r="X704" s="37" t="s">
        <v>42</v>
      </c>
      <c r="Y704" s="37">
        <f>COUNTIF(F:F,F704)</f>
        <v>3</v>
      </c>
      <c r="Z704" s="21" t="s">
        <v>1107</v>
      </c>
      <c r="AA704" s="21" t="s">
        <v>867</v>
      </c>
      <c r="AB704" s="21" t="s">
        <v>1121</v>
      </c>
    </row>
    <row r="705" spans="1:28" ht="13.9" customHeight="1" x14ac:dyDescent="0.3">
      <c r="A705" s="36" t="s">
        <v>20</v>
      </c>
      <c r="B705" s="36" t="s">
        <v>21</v>
      </c>
      <c r="C705" s="36" t="s">
        <v>761</v>
      </c>
      <c r="D705" s="36" t="s">
        <v>762</v>
      </c>
      <c r="E705" s="36" t="s">
        <v>869</v>
      </c>
      <c r="F705" s="31" t="s">
        <v>866</v>
      </c>
      <c r="G705" s="36" t="s">
        <v>26</v>
      </c>
      <c r="H705" s="36" t="s">
        <v>36</v>
      </c>
      <c r="I705" s="36">
        <v>3</v>
      </c>
      <c r="J705" s="36"/>
      <c r="K705" s="36"/>
      <c r="L705" s="38">
        <v>103.962126</v>
      </c>
      <c r="M705" s="38">
        <v>10.204143</v>
      </c>
      <c r="N705" s="38" t="s">
        <v>764</v>
      </c>
      <c r="O705" s="39">
        <v>0</v>
      </c>
      <c r="P705" s="36" t="s">
        <v>169</v>
      </c>
      <c r="Q705" s="30" t="s">
        <v>31</v>
      </c>
      <c r="R705" s="40" t="s">
        <v>47</v>
      </c>
      <c r="S705" s="35">
        <v>47601</v>
      </c>
      <c r="T705" s="36" t="s">
        <v>867</v>
      </c>
      <c r="U705" s="30" t="s">
        <v>867</v>
      </c>
      <c r="V705" s="37" t="e">
        <v>#N/A</v>
      </c>
      <c r="W705" s="31" t="s">
        <v>63</v>
      </c>
      <c r="X705" s="37" t="s">
        <v>52</v>
      </c>
      <c r="Y705" s="37">
        <f>COUNTIF(F:F,F705)</f>
        <v>3</v>
      </c>
      <c r="Z705" s="21" t="s">
        <v>1107</v>
      </c>
      <c r="AA705" s="21" t="s">
        <v>867</v>
      </c>
      <c r="AB705" s="21" t="s">
        <v>1121</v>
      </c>
    </row>
    <row r="706" spans="1:28" ht="13.9" customHeight="1" x14ac:dyDescent="0.3">
      <c r="A706" s="36" t="s">
        <v>20</v>
      </c>
      <c r="B706" s="36" t="s">
        <v>21</v>
      </c>
      <c r="C706" s="36" t="s">
        <v>761</v>
      </c>
      <c r="D706" s="36" t="s">
        <v>762</v>
      </c>
      <c r="E706" s="36" t="s">
        <v>868</v>
      </c>
      <c r="F706" s="31" t="s">
        <v>866</v>
      </c>
      <c r="G706" s="36" t="s">
        <v>26</v>
      </c>
      <c r="H706" s="36" t="s">
        <v>36</v>
      </c>
      <c r="I706" s="36">
        <v>3</v>
      </c>
      <c r="J706" s="36" t="s">
        <v>37</v>
      </c>
      <c r="K706" s="36" t="s">
        <v>38</v>
      </c>
      <c r="L706" s="38">
        <v>103.964916</v>
      </c>
      <c r="M706" s="38">
        <v>10.20051</v>
      </c>
      <c r="N706" s="38" t="s">
        <v>764</v>
      </c>
      <c r="O706" s="39">
        <v>0</v>
      </c>
      <c r="P706" s="36" t="s">
        <v>39</v>
      </c>
      <c r="Q706" s="30" t="s">
        <v>31</v>
      </c>
      <c r="R706" s="40" t="s">
        <v>47</v>
      </c>
      <c r="S706" s="35">
        <v>47601</v>
      </c>
      <c r="T706" s="36" t="s">
        <v>867</v>
      </c>
      <c r="U706" s="30" t="s">
        <v>867</v>
      </c>
      <c r="V706" s="37" t="e">
        <v>#N/A</v>
      </c>
      <c r="W706" s="31" t="s">
        <v>63</v>
      </c>
      <c r="X706" s="37" t="s">
        <v>52</v>
      </c>
      <c r="Y706" s="37">
        <f>COUNTIF(F:F,F706)</f>
        <v>3</v>
      </c>
      <c r="Z706" s="21" t="s">
        <v>1107</v>
      </c>
      <c r="AA706" s="21" t="s">
        <v>867</v>
      </c>
      <c r="AB706" s="21" t="s">
        <v>1121</v>
      </c>
    </row>
    <row r="707" spans="1:28" ht="13.9" customHeight="1" x14ac:dyDescent="0.3">
      <c r="A707" s="30" t="s">
        <v>20</v>
      </c>
      <c r="B707" s="30" t="s">
        <v>21</v>
      </c>
      <c r="C707" s="30" t="s">
        <v>761</v>
      </c>
      <c r="D707" s="30" t="s">
        <v>762</v>
      </c>
      <c r="E707" s="30" t="s">
        <v>870</v>
      </c>
      <c r="F707" s="31" t="s">
        <v>870</v>
      </c>
      <c r="G707" s="30" t="s">
        <v>26</v>
      </c>
      <c r="H707" s="30" t="s">
        <v>36</v>
      </c>
      <c r="I707" s="30">
        <v>3</v>
      </c>
      <c r="J707" s="30" t="s">
        <v>37</v>
      </c>
      <c r="K707" s="30" t="s">
        <v>38</v>
      </c>
      <c r="L707" s="32">
        <v>103.9789</v>
      </c>
      <c r="M707" s="32">
        <v>10.217000000000001</v>
      </c>
      <c r="N707" s="32" t="s">
        <v>764</v>
      </c>
      <c r="O707" s="33">
        <v>0</v>
      </c>
      <c r="P707" s="30" t="s">
        <v>39</v>
      </c>
      <c r="Q707" s="30" t="s">
        <v>31</v>
      </c>
      <c r="R707" s="34" t="s">
        <v>47</v>
      </c>
      <c r="S707" s="35">
        <v>47601</v>
      </c>
      <c r="T707" s="36" t="s">
        <v>867</v>
      </c>
      <c r="U707" s="30" t="s">
        <v>867</v>
      </c>
      <c r="V707" s="37" t="e">
        <v>#N/A</v>
      </c>
      <c r="W707" s="31" t="s">
        <v>33</v>
      </c>
      <c r="X707" s="37" t="s">
        <v>42</v>
      </c>
      <c r="Y707" s="37">
        <f>COUNTIF(F:F,F707)</f>
        <v>3</v>
      </c>
      <c r="Z707" s="21" t="s">
        <v>1107</v>
      </c>
      <c r="AA707" s="21" t="s">
        <v>867</v>
      </c>
      <c r="AB707" s="21" t="s">
        <v>1121</v>
      </c>
    </row>
    <row r="708" spans="1:28" ht="13.9" customHeight="1" x14ac:dyDescent="0.3">
      <c r="A708" s="36" t="s">
        <v>20</v>
      </c>
      <c r="B708" s="36" t="s">
        <v>21</v>
      </c>
      <c r="C708" s="36" t="s">
        <v>761</v>
      </c>
      <c r="D708" s="36" t="s">
        <v>762</v>
      </c>
      <c r="E708" s="36" t="s">
        <v>871</v>
      </c>
      <c r="F708" s="31" t="s">
        <v>870</v>
      </c>
      <c r="G708" s="36" t="s">
        <v>26</v>
      </c>
      <c r="H708" s="36" t="s">
        <v>36</v>
      </c>
      <c r="I708" s="36">
        <v>3</v>
      </c>
      <c r="J708" s="36" t="s">
        <v>37</v>
      </c>
      <c r="K708" s="36" t="s">
        <v>38</v>
      </c>
      <c r="L708" s="38">
        <v>103.9902556</v>
      </c>
      <c r="M708" s="38">
        <v>10.2095564</v>
      </c>
      <c r="N708" s="38" t="s">
        <v>764</v>
      </c>
      <c r="O708" s="39">
        <v>0</v>
      </c>
      <c r="P708" s="36" t="s">
        <v>39</v>
      </c>
      <c r="Q708" s="30" t="s">
        <v>31</v>
      </c>
      <c r="R708" s="40" t="s">
        <v>47</v>
      </c>
      <c r="S708" s="35">
        <v>47601</v>
      </c>
      <c r="T708" s="36" t="s">
        <v>867</v>
      </c>
      <c r="U708" s="30" t="s">
        <v>867</v>
      </c>
      <c r="V708" s="37" t="e">
        <v>#N/A</v>
      </c>
      <c r="W708" s="31" t="s">
        <v>63</v>
      </c>
      <c r="X708" s="37" t="s">
        <v>52</v>
      </c>
      <c r="Y708" s="37">
        <f>COUNTIF(F:F,F708)</f>
        <v>3</v>
      </c>
      <c r="Z708" s="21" t="s">
        <v>1107</v>
      </c>
      <c r="AA708" s="21" t="s">
        <v>867</v>
      </c>
      <c r="AB708" s="21" t="s">
        <v>1121</v>
      </c>
    </row>
    <row r="709" spans="1:28" s="22" customFormat="1" ht="13.9" customHeight="1" x14ac:dyDescent="0.3">
      <c r="A709" s="36" t="s">
        <v>20</v>
      </c>
      <c r="B709" s="36" t="s">
        <v>21</v>
      </c>
      <c r="C709" s="36" t="s">
        <v>761</v>
      </c>
      <c r="D709" s="36" t="s">
        <v>762</v>
      </c>
      <c r="E709" s="36" t="s">
        <v>872</v>
      </c>
      <c r="F709" s="31" t="s">
        <v>870</v>
      </c>
      <c r="G709" s="36" t="s">
        <v>26</v>
      </c>
      <c r="H709" s="36" t="s">
        <v>36</v>
      </c>
      <c r="I709" s="36">
        <v>3</v>
      </c>
      <c r="J709" s="36" t="s">
        <v>37</v>
      </c>
      <c r="K709" s="36" t="s">
        <v>38</v>
      </c>
      <c r="L709" s="38">
        <v>103.971495</v>
      </c>
      <c r="M709" s="38">
        <v>10.219232999999999</v>
      </c>
      <c r="N709" s="38" t="s">
        <v>764</v>
      </c>
      <c r="O709" s="39">
        <v>0</v>
      </c>
      <c r="P709" s="36" t="s">
        <v>39</v>
      </c>
      <c r="Q709" s="30" t="s">
        <v>31</v>
      </c>
      <c r="R709" s="40" t="s">
        <v>47</v>
      </c>
      <c r="S709" s="35">
        <v>47601</v>
      </c>
      <c r="T709" s="36" t="s">
        <v>867</v>
      </c>
      <c r="U709" s="30" t="s">
        <v>867</v>
      </c>
      <c r="V709" s="37" t="e">
        <v>#N/A</v>
      </c>
      <c r="W709" s="31" t="s">
        <v>63</v>
      </c>
      <c r="X709" s="37" t="s">
        <v>52</v>
      </c>
      <c r="Y709" s="37">
        <f>COUNTIF(F:F,F709)</f>
        <v>3</v>
      </c>
      <c r="Z709" s="21" t="s">
        <v>1107</v>
      </c>
      <c r="AA709" s="21" t="s">
        <v>867</v>
      </c>
      <c r="AB709" s="21" t="s">
        <v>1121</v>
      </c>
    </row>
    <row r="710" spans="1:28" ht="13.9" customHeight="1" x14ac:dyDescent="0.3">
      <c r="A710" s="30" t="s">
        <v>20</v>
      </c>
      <c r="B710" s="30" t="s">
        <v>21</v>
      </c>
      <c r="C710" s="30" t="s">
        <v>761</v>
      </c>
      <c r="D710" s="30" t="s">
        <v>762</v>
      </c>
      <c r="E710" s="30" t="s">
        <v>876</v>
      </c>
      <c r="F710" s="31" t="s">
        <v>876</v>
      </c>
      <c r="G710" s="30" t="s">
        <v>26</v>
      </c>
      <c r="H710" s="30" t="s">
        <v>36</v>
      </c>
      <c r="I710" s="30">
        <v>4</v>
      </c>
      <c r="J710" s="30" t="s">
        <v>37</v>
      </c>
      <c r="K710" s="30" t="s">
        <v>38</v>
      </c>
      <c r="L710" s="32">
        <v>103.96589400000001</v>
      </c>
      <c r="M710" s="32">
        <v>10.214093999999999</v>
      </c>
      <c r="N710" s="32" t="s">
        <v>764</v>
      </c>
      <c r="O710" s="33">
        <v>0</v>
      </c>
      <c r="P710" s="30" t="s">
        <v>39</v>
      </c>
      <c r="Q710" s="30" t="s">
        <v>31</v>
      </c>
      <c r="R710" s="34" t="s">
        <v>47</v>
      </c>
      <c r="S710" s="35">
        <v>47601</v>
      </c>
      <c r="T710" s="36" t="s">
        <v>867</v>
      </c>
      <c r="U710" s="30" t="s">
        <v>867</v>
      </c>
      <c r="V710" s="37" t="e">
        <v>#N/A</v>
      </c>
      <c r="W710" s="31" t="s">
        <v>33</v>
      </c>
      <c r="X710" s="37"/>
      <c r="Y710" s="37">
        <f>COUNTIF(F:F,F710)</f>
        <v>1</v>
      </c>
      <c r="Z710" s="21" t="s">
        <v>1107</v>
      </c>
      <c r="AA710" s="21" t="s">
        <v>867</v>
      </c>
      <c r="AB710" s="21" t="s">
        <v>1121</v>
      </c>
    </row>
    <row r="711" spans="1:28" ht="13.9" customHeight="1" x14ac:dyDescent="0.3">
      <c r="A711" s="41" t="s">
        <v>20</v>
      </c>
      <c r="B711" s="41" t="s">
        <v>21</v>
      </c>
      <c r="C711" s="41" t="s">
        <v>761</v>
      </c>
      <c r="D711" s="41" t="s">
        <v>762</v>
      </c>
      <c r="E711" s="41" t="s">
        <v>873</v>
      </c>
      <c r="F711" s="31" t="s">
        <v>874</v>
      </c>
      <c r="G711" s="41" t="s">
        <v>26</v>
      </c>
      <c r="H711" s="36" t="s">
        <v>36</v>
      </c>
      <c r="I711" s="36">
        <v>3</v>
      </c>
      <c r="J711" s="36" t="s">
        <v>37</v>
      </c>
      <c r="K711" s="36" t="s">
        <v>38</v>
      </c>
      <c r="L711" s="38">
        <v>104.02238</v>
      </c>
      <c r="M711" s="38">
        <v>10.210850000000001</v>
      </c>
      <c r="N711" s="38" t="s">
        <v>764</v>
      </c>
      <c r="O711" s="39">
        <v>0</v>
      </c>
      <c r="P711" s="36" t="s">
        <v>39</v>
      </c>
      <c r="Q711" s="41" t="s">
        <v>31</v>
      </c>
      <c r="R711" s="42" t="s">
        <v>47</v>
      </c>
      <c r="S711" s="35">
        <v>47601</v>
      </c>
      <c r="T711" s="36" t="s">
        <v>875</v>
      </c>
      <c r="U711" s="30" t="s">
        <v>867</v>
      </c>
      <c r="V711" s="37" t="e">
        <v>#N/A</v>
      </c>
      <c r="W711" s="31" t="s">
        <v>63</v>
      </c>
      <c r="X711" s="37" t="s">
        <v>52</v>
      </c>
      <c r="Y711" s="37">
        <f>COUNTIF(F:F,F711)</f>
        <v>2</v>
      </c>
      <c r="Z711" s="21" t="s">
        <v>1107</v>
      </c>
      <c r="AA711" s="21" t="s">
        <v>867</v>
      </c>
      <c r="AB711" s="21" t="s">
        <v>1121</v>
      </c>
    </row>
    <row r="712" spans="1:28" ht="13.9" customHeight="1" x14ac:dyDescent="0.3">
      <c r="A712" s="30" t="s">
        <v>20</v>
      </c>
      <c r="B712" s="30" t="s">
        <v>21</v>
      </c>
      <c r="C712" s="30" t="s">
        <v>761</v>
      </c>
      <c r="D712" s="30" t="s">
        <v>762</v>
      </c>
      <c r="E712" s="30" t="s">
        <v>874</v>
      </c>
      <c r="F712" s="31" t="s">
        <v>874</v>
      </c>
      <c r="G712" s="30" t="s">
        <v>26</v>
      </c>
      <c r="H712" s="30" t="s">
        <v>36</v>
      </c>
      <c r="I712" s="30">
        <v>3</v>
      </c>
      <c r="J712" s="30" t="s">
        <v>37</v>
      </c>
      <c r="K712" s="30" t="s">
        <v>38</v>
      </c>
      <c r="L712" s="32">
        <v>103.999363</v>
      </c>
      <c r="M712" s="32">
        <v>10.210253</v>
      </c>
      <c r="N712" s="32" t="s">
        <v>764</v>
      </c>
      <c r="O712" s="33">
        <v>0</v>
      </c>
      <c r="P712" s="30" t="s">
        <v>39</v>
      </c>
      <c r="Q712" s="30" t="s">
        <v>31</v>
      </c>
      <c r="R712" s="34" t="s">
        <v>47</v>
      </c>
      <c r="S712" s="35">
        <v>47601</v>
      </c>
      <c r="T712" s="36" t="s">
        <v>867</v>
      </c>
      <c r="U712" s="30" t="s">
        <v>867</v>
      </c>
      <c r="V712" s="37" t="e">
        <v>#N/A</v>
      </c>
      <c r="W712" s="31" t="s">
        <v>33</v>
      </c>
      <c r="X712" s="37" t="s">
        <v>42</v>
      </c>
      <c r="Y712" s="37">
        <f>COUNTIF(F:F,F712)</f>
        <v>2</v>
      </c>
      <c r="Z712" s="21" t="s">
        <v>1107</v>
      </c>
      <c r="AA712" s="21" t="s">
        <v>867</v>
      </c>
      <c r="AB712" s="21" t="s">
        <v>1121</v>
      </c>
    </row>
    <row r="713" spans="1:28" ht="13.9" customHeight="1" x14ac:dyDescent="0.3">
      <c r="A713" s="30" t="s">
        <v>20</v>
      </c>
      <c r="B713" s="30" t="s">
        <v>21</v>
      </c>
      <c r="C713" s="30" t="s">
        <v>761</v>
      </c>
      <c r="D713" s="30" t="s">
        <v>762</v>
      </c>
      <c r="E713" s="30" t="s">
        <v>877</v>
      </c>
      <c r="F713" s="31" t="s">
        <v>877</v>
      </c>
      <c r="G713" s="30" t="s">
        <v>26</v>
      </c>
      <c r="H713" s="30" t="s">
        <v>36</v>
      </c>
      <c r="I713" s="30">
        <v>3</v>
      </c>
      <c r="J713" s="30" t="s">
        <v>37</v>
      </c>
      <c r="K713" s="30" t="s">
        <v>38</v>
      </c>
      <c r="L713" s="32">
        <v>103.994021</v>
      </c>
      <c r="M713" s="32">
        <v>10.218045</v>
      </c>
      <c r="N713" s="32" t="s">
        <v>764</v>
      </c>
      <c r="O713" s="33">
        <v>0</v>
      </c>
      <c r="P713" s="30" t="s">
        <v>39</v>
      </c>
      <c r="Q713" s="30" t="s">
        <v>31</v>
      </c>
      <c r="R713" s="34" t="s">
        <v>47</v>
      </c>
      <c r="S713" s="35">
        <v>47601</v>
      </c>
      <c r="T713" s="36" t="s">
        <v>867</v>
      </c>
      <c r="U713" s="30" t="s">
        <v>867</v>
      </c>
      <c r="V713" s="37" t="e">
        <v>#N/A</v>
      </c>
      <c r="W713" s="31" t="s">
        <v>33</v>
      </c>
      <c r="X713" s="37"/>
      <c r="Y713" s="37">
        <f>COUNTIF(F:F,F713)</f>
        <v>1</v>
      </c>
      <c r="Z713" s="21" t="s">
        <v>1107</v>
      </c>
      <c r="AA713" s="21" t="s">
        <v>867</v>
      </c>
      <c r="AB713" s="21" t="s">
        <v>1121</v>
      </c>
    </row>
    <row r="714" spans="1:28" ht="13.9" customHeight="1" x14ac:dyDescent="0.3">
      <c r="A714" s="30" t="s">
        <v>20</v>
      </c>
      <c r="B714" s="30" t="s">
        <v>21</v>
      </c>
      <c r="C714" s="30" t="s">
        <v>761</v>
      </c>
      <c r="D714" s="30" t="s">
        <v>762</v>
      </c>
      <c r="E714" s="30" t="s">
        <v>878</v>
      </c>
      <c r="F714" s="31" t="s">
        <v>878</v>
      </c>
      <c r="G714" s="30" t="s">
        <v>26</v>
      </c>
      <c r="H714" s="30" t="s">
        <v>36</v>
      </c>
      <c r="I714" s="30">
        <v>3</v>
      </c>
      <c r="J714" s="30" t="s">
        <v>37</v>
      </c>
      <c r="K714" s="30" t="s">
        <v>38</v>
      </c>
      <c r="L714" s="32">
        <v>103.9628</v>
      </c>
      <c r="M714" s="32">
        <v>10.2094</v>
      </c>
      <c r="N714" s="32" t="s">
        <v>764</v>
      </c>
      <c r="O714" s="33">
        <v>0</v>
      </c>
      <c r="P714" s="30" t="s">
        <v>39</v>
      </c>
      <c r="Q714" s="30" t="s">
        <v>31</v>
      </c>
      <c r="R714" s="34" t="s">
        <v>47</v>
      </c>
      <c r="S714" s="35">
        <v>47601</v>
      </c>
      <c r="T714" s="36" t="s">
        <v>867</v>
      </c>
      <c r="U714" s="30" t="s">
        <v>867</v>
      </c>
      <c r="V714" s="37" t="e">
        <v>#N/A</v>
      </c>
      <c r="W714" s="31" t="s">
        <v>33</v>
      </c>
      <c r="X714" s="37"/>
      <c r="Y714" s="37">
        <f>COUNTIF(F:F,F714)</f>
        <v>1</v>
      </c>
      <c r="Z714" s="21" t="s">
        <v>1107</v>
      </c>
      <c r="AA714" s="21" t="s">
        <v>867</v>
      </c>
      <c r="AB714" s="21" t="s">
        <v>1121</v>
      </c>
    </row>
    <row r="715" spans="1:28" ht="13.9" customHeight="1" x14ac:dyDescent="0.3">
      <c r="A715" s="30" t="s">
        <v>20</v>
      </c>
      <c r="B715" s="30" t="s">
        <v>21</v>
      </c>
      <c r="C715" s="30" t="s">
        <v>761</v>
      </c>
      <c r="D715" s="30" t="s">
        <v>762</v>
      </c>
      <c r="E715" s="30" t="s">
        <v>886</v>
      </c>
      <c r="F715" s="31" t="s">
        <v>886</v>
      </c>
      <c r="G715" s="30" t="s">
        <v>26</v>
      </c>
      <c r="H715" s="30" t="s">
        <v>36</v>
      </c>
      <c r="I715" s="30">
        <v>4</v>
      </c>
      <c r="J715" s="30" t="s">
        <v>37</v>
      </c>
      <c r="K715" s="30" t="s">
        <v>38</v>
      </c>
      <c r="L715" s="32">
        <v>103.988073</v>
      </c>
      <c r="M715" s="32">
        <v>10.201688000000001</v>
      </c>
      <c r="N715" s="32" t="s">
        <v>764</v>
      </c>
      <c r="O715" s="33">
        <v>0</v>
      </c>
      <c r="P715" s="30" t="s">
        <v>39</v>
      </c>
      <c r="Q715" s="30" t="s">
        <v>31</v>
      </c>
      <c r="R715" s="34" t="s">
        <v>47</v>
      </c>
      <c r="S715" s="35">
        <v>47601</v>
      </c>
      <c r="T715" s="36" t="s">
        <v>880</v>
      </c>
      <c r="U715" s="30" t="s">
        <v>880</v>
      </c>
      <c r="V715" s="37" t="e">
        <v>#N/A</v>
      </c>
      <c r="W715" s="31" t="s">
        <v>33</v>
      </c>
      <c r="X715" s="37"/>
      <c r="Y715" s="37">
        <f>COUNTIF(F:F,F715)</f>
        <v>1</v>
      </c>
      <c r="Z715" s="21" t="s">
        <v>1107</v>
      </c>
      <c r="AA715" s="21" t="s">
        <v>880</v>
      </c>
      <c r="AB715" s="21" t="s">
        <v>1121</v>
      </c>
    </row>
    <row r="716" spans="1:28" ht="13.9" customHeight="1" x14ac:dyDescent="0.3">
      <c r="A716" s="30" t="s">
        <v>20</v>
      </c>
      <c r="B716" s="30" t="s">
        <v>21</v>
      </c>
      <c r="C716" s="30" t="s">
        <v>761</v>
      </c>
      <c r="D716" s="30" t="s">
        <v>762</v>
      </c>
      <c r="E716" s="30" t="s">
        <v>879</v>
      </c>
      <c r="F716" s="31" t="s">
        <v>879</v>
      </c>
      <c r="G716" s="30" t="s">
        <v>26</v>
      </c>
      <c r="H716" s="30" t="s">
        <v>36</v>
      </c>
      <c r="I716" s="30">
        <v>3</v>
      </c>
      <c r="J716" s="30" t="s">
        <v>37</v>
      </c>
      <c r="K716" s="30" t="s">
        <v>38</v>
      </c>
      <c r="L716" s="32">
        <v>103.9691</v>
      </c>
      <c r="M716" s="32">
        <v>10.1945</v>
      </c>
      <c r="N716" s="32" t="s">
        <v>764</v>
      </c>
      <c r="O716" s="33">
        <v>0</v>
      </c>
      <c r="P716" s="30" t="s">
        <v>39</v>
      </c>
      <c r="Q716" s="30" t="s">
        <v>31</v>
      </c>
      <c r="R716" s="34" t="s">
        <v>47</v>
      </c>
      <c r="S716" s="35">
        <v>47601</v>
      </c>
      <c r="T716" s="36" t="s">
        <v>880</v>
      </c>
      <c r="U716" s="30" t="s">
        <v>880</v>
      </c>
      <c r="V716" s="37" t="e">
        <v>#N/A</v>
      </c>
      <c r="W716" s="31" t="s">
        <v>33</v>
      </c>
      <c r="X716" s="37" t="s">
        <v>42</v>
      </c>
      <c r="Y716" s="37">
        <f>COUNTIF(F:F,F716)</f>
        <v>2</v>
      </c>
      <c r="Z716" s="21" t="s">
        <v>1107</v>
      </c>
      <c r="AA716" s="21" t="s">
        <v>880</v>
      </c>
      <c r="AB716" s="21" t="s">
        <v>1121</v>
      </c>
    </row>
    <row r="717" spans="1:28" ht="13.9" customHeight="1" x14ac:dyDescent="0.3">
      <c r="A717" s="36" t="s">
        <v>20</v>
      </c>
      <c r="B717" s="36" t="s">
        <v>21</v>
      </c>
      <c r="C717" s="36" t="s">
        <v>761</v>
      </c>
      <c r="D717" s="36" t="s">
        <v>762</v>
      </c>
      <c r="E717" s="36" t="s">
        <v>881</v>
      </c>
      <c r="F717" s="31" t="s">
        <v>879</v>
      </c>
      <c r="G717" s="36" t="s">
        <v>26</v>
      </c>
      <c r="H717" s="36" t="s">
        <v>36</v>
      </c>
      <c r="I717" s="36">
        <v>3</v>
      </c>
      <c r="J717" s="36"/>
      <c r="K717" s="36"/>
      <c r="L717" s="38">
        <v>103.96469999999999</v>
      </c>
      <c r="M717" s="38">
        <v>10.1953</v>
      </c>
      <c r="N717" s="38" t="s">
        <v>764</v>
      </c>
      <c r="O717" s="39">
        <v>0</v>
      </c>
      <c r="P717" s="36" t="s">
        <v>109</v>
      </c>
      <c r="Q717" s="30" t="s">
        <v>31</v>
      </c>
      <c r="R717" s="40" t="s">
        <v>47</v>
      </c>
      <c r="S717" s="35">
        <v>47601</v>
      </c>
      <c r="T717" s="36" t="s">
        <v>880</v>
      </c>
      <c r="U717" s="30" t="s">
        <v>880</v>
      </c>
      <c r="V717" s="37" t="e">
        <v>#N/A</v>
      </c>
      <c r="W717" s="31" t="s">
        <v>63</v>
      </c>
      <c r="X717" s="37" t="s">
        <v>52</v>
      </c>
      <c r="Y717" s="37">
        <f>COUNTIF(F:F,F717)</f>
        <v>2</v>
      </c>
      <c r="Z717" s="21" t="s">
        <v>1107</v>
      </c>
      <c r="AA717" s="21" t="s">
        <v>880</v>
      </c>
      <c r="AB717" s="21" t="s">
        <v>1121</v>
      </c>
    </row>
    <row r="718" spans="1:28" x14ac:dyDescent="0.3">
      <c r="A718" s="30" t="s">
        <v>20</v>
      </c>
      <c r="B718" s="30" t="s">
        <v>21</v>
      </c>
      <c r="C718" s="30" t="s">
        <v>761</v>
      </c>
      <c r="D718" s="30" t="s">
        <v>762</v>
      </c>
      <c r="E718" s="30" t="s">
        <v>882</v>
      </c>
      <c r="F718" s="31" t="s">
        <v>882</v>
      </c>
      <c r="G718" s="30" t="s">
        <v>26</v>
      </c>
      <c r="H718" s="30" t="s">
        <v>36</v>
      </c>
      <c r="I718" s="30">
        <v>3</v>
      </c>
      <c r="J718" s="30" t="s">
        <v>37</v>
      </c>
      <c r="K718" s="30" t="s">
        <v>38</v>
      </c>
      <c r="L718" s="32">
        <v>103.96947400000001</v>
      </c>
      <c r="M718" s="32">
        <v>10.183077000000001</v>
      </c>
      <c r="N718" s="32" t="s">
        <v>764</v>
      </c>
      <c r="O718" s="33">
        <v>0</v>
      </c>
      <c r="P718" s="30" t="s">
        <v>39</v>
      </c>
      <c r="Q718" s="30" t="s">
        <v>31</v>
      </c>
      <c r="R718" s="34" t="s">
        <v>47</v>
      </c>
      <c r="S718" s="35">
        <v>47601</v>
      </c>
      <c r="T718" s="36" t="s">
        <v>880</v>
      </c>
      <c r="U718" s="30" t="s">
        <v>880</v>
      </c>
      <c r="V718" s="37" t="e">
        <v>#N/A</v>
      </c>
      <c r="W718" s="31" t="s">
        <v>33</v>
      </c>
      <c r="X718" s="37" t="s">
        <v>42</v>
      </c>
      <c r="Y718" s="37">
        <f>COUNTIF(F:F,F718)</f>
        <v>5</v>
      </c>
      <c r="Z718" s="21" t="s">
        <v>1107</v>
      </c>
      <c r="AA718" s="21" t="s">
        <v>880</v>
      </c>
      <c r="AB718" s="21" t="s">
        <v>1121</v>
      </c>
    </row>
    <row r="719" spans="1:28" ht="13.9" customHeight="1" x14ac:dyDescent="0.3">
      <c r="A719" s="36" t="s">
        <v>20</v>
      </c>
      <c r="B719" s="36" t="s">
        <v>21</v>
      </c>
      <c r="C719" s="36" t="s">
        <v>761</v>
      </c>
      <c r="D719" s="36" t="s">
        <v>762</v>
      </c>
      <c r="E719" s="36" t="s">
        <v>883</v>
      </c>
      <c r="F719" s="31" t="s">
        <v>882</v>
      </c>
      <c r="G719" s="36" t="s">
        <v>26</v>
      </c>
      <c r="H719" s="36" t="s">
        <v>36</v>
      </c>
      <c r="I719" s="36">
        <v>3</v>
      </c>
      <c r="J719" s="36" t="s">
        <v>37</v>
      </c>
      <c r="K719" s="36" t="s">
        <v>38</v>
      </c>
      <c r="L719" s="38">
        <v>103.97495600000001</v>
      </c>
      <c r="M719" s="38">
        <v>10.188701</v>
      </c>
      <c r="N719" s="38" t="s">
        <v>764</v>
      </c>
      <c r="O719" s="39">
        <v>0</v>
      </c>
      <c r="P719" s="36" t="s">
        <v>39</v>
      </c>
      <c r="Q719" s="30" t="s">
        <v>31</v>
      </c>
      <c r="R719" s="40" t="s">
        <v>47</v>
      </c>
      <c r="S719" s="35">
        <v>47601</v>
      </c>
      <c r="T719" s="36" t="s">
        <v>880</v>
      </c>
      <c r="U719" s="30" t="s">
        <v>880</v>
      </c>
      <c r="V719" s="37" t="e">
        <v>#N/A</v>
      </c>
      <c r="W719" s="31" t="s">
        <v>63</v>
      </c>
      <c r="X719" s="37" t="s">
        <v>52</v>
      </c>
      <c r="Y719" s="37">
        <f>COUNTIF(F:F,F719)</f>
        <v>5</v>
      </c>
      <c r="Z719" s="21" t="s">
        <v>1107</v>
      </c>
      <c r="AA719" s="21" t="s">
        <v>880</v>
      </c>
      <c r="AB719" s="21" t="s">
        <v>1121</v>
      </c>
    </row>
    <row r="720" spans="1:28" ht="13.9" customHeight="1" x14ac:dyDescent="0.3">
      <c r="A720" s="41" t="s">
        <v>20</v>
      </c>
      <c r="B720" s="41" t="s">
        <v>21</v>
      </c>
      <c r="C720" s="41" t="s">
        <v>761</v>
      </c>
      <c r="D720" s="41" t="s">
        <v>762</v>
      </c>
      <c r="E720" s="41" t="s">
        <v>890</v>
      </c>
      <c r="F720" s="31" t="s">
        <v>882</v>
      </c>
      <c r="G720" s="41" t="s">
        <v>26</v>
      </c>
      <c r="H720" s="36" t="s">
        <v>36</v>
      </c>
      <c r="I720" s="36">
        <v>3</v>
      </c>
      <c r="J720" s="36"/>
      <c r="K720" s="36"/>
      <c r="L720" s="38">
        <v>104.077856</v>
      </c>
      <c r="M720" s="38">
        <v>10.356816999999999</v>
      </c>
      <c r="N720" s="38" t="s">
        <v>764</v>
      </c>
      <c r="O720" s="39">
        <v>0</v>
      </c>
      <c r="P720" s="36" t="s">
        <v>169</v>
      </c>
      <c r="Q720" s="41" t="s">
        <v>31</v>
      </c>
      <c r="R720" s="42" t="s">
        <v>47</v>
      </c>
      <c r="S720" s="35">
        <v>47601</v>
      </c>
      <c r="T720" s="36" t="s">
        <v>891</v>
      </c>
      <c r="U720" s="84" t="s">
        <v>1085</v>
      </c>
      <c r="V720" s="37" t="e">
        <v>#N/A</v>
      </c>
      <c r="W720" s="31" t="s">
        <v>63</v>
      </c>
      <c r="X720" s="37" t="s">
        <v>52</v>
      </c>
      <c r="Y720" s="37">
        <f>COUNTIF(F:F,F720)</f>
        <v>5</v>
      </c>
      <c r="Z720" s="21" t="s">
        <v>1107</v>
      </c>
      <c r="AA720" s="21" t="s">
        <v>1091</v>
      </c>
      <c r="AB720" s="21" t="s">
        <v>1121</v>
      </c>
    </row>
    <row r="721" spans="1:28" ht="13.9" customHeight="1" x14ac:dyDescent="0.3">
      <c r="A721" s="36" t="s">
        <v>20</v>
      </c>
      <c r="B721" s="36" t="s">
        <v>21</v>
      </c>
      <c r="C721" s="36" t="s">
        <v>761</v>
      </c>
      <c r="D721" s="36" t="s">
        <v>762</v>
      </c>
      <c r="E721" s="36" t="s">
        <v>884</v>
      </c>
      <c r="F721" s="31" t="s">
        <v>882</v>
      </c>
      <c r="G721" s="36" t="s">
        <v>26</v>
      </c>
      <c r="H721" s="36" t="s">
        <v>36</v>
      </c>
      <c r="I721" s="36">
        <v>3</v>
      </c>
      <c r="J721" s="36" t="s">
        <v>37</v>
      </c>
      <c r="K721" s="36" t="s">
        <v>38</v>
      </c>
      <c r="L721" s="38">
        <v>103.98641000000001</v>
      </c>
      <c r="M721" s="38">
        <v>10.179</v>
      </c>
      <c r="N721" s="38" t="s">
        <v>764</v>
      </c>
      <c r="O721" s="39">
        <v>0</v>
      </c>
      <c r="P721" s="36" t="s">
        <v>39</v>
      </c>
      <c r="Q721" s="30" t="s">
        <v>31</v>
      </c>
      <c r="R721" s="40" t="s">
        <v>47</v>
      </c>
      <c r="S721" s="35">
        <v>47601</v>
      </c>
      <c r="T721" s="36" t="s">
        <v>880</v>
      </c>
      <c r="U721" s="30" t="s">
        <v>880</v>
      </c>
      <c r="V721" s="37" t="e">
        <v>#N/A</v>
      </c>
      <c r="W721" s="31" t="s">
        <v>63</v>
      </c>
      <c r="X721" s="37" t="s">
        <v>52</v>
      </c>
      <c r="Y721" s="37">
        <f>COUNTIF(F:F,F721)</f>
        <v>5</v>
      </c>
      <c r="Z721" s="21" t="s">
        <v>1107</v>
      </c>
      <c r="AA721" s="21" t="s">
        <v>880</v>
      </c>
      <c r="AB721" s="21" t="s">
        <v>1121</v>
      </c>
    </row>
    <row r="722" spans="1:28" x14ac:dyDescent="0.3">
      <c r="A722" s="36" t="s">
        <v>20</v>
      </c>
      <c r="B722" s="36" t="s">
        <v>21</v>
      </c>
      <c r="C722" s="36" t="s">
        <v>761</v>
      </c>
      <c r="D722" s="36" t="s">
        <v>762</v>
      </c>
      <c r="E722" s="36" t="s">
        <v>885</v>
      </c>
      <c r="F722" s="31" t="s">
        <v>882</v>
      </c>
      <c r="G722" s="36" t="s">
        <v>26</v>
      </c>
      <c r="H722" s="36" t="s">
        <v>27</v>
      </c>
      <c r="I722" s="36">
        <v>3</v>
      </c>
      <c r="J722" s="36"/>
      <c r="K722" s="36"/>
      <c r="L722" s="38">
        <v>103.967477</v>
      </c>
      <c r="M722" s="38">
        <v>10.183394</v>
      </c>
      <c r="N722" s="38" t="s">
        <v>764</v>
      </c>
      <c r="O722" s="39">
        <v>0</v>
      </c>
      <c r="P722" s="36" t="s">
        <v>30</v>
      </c>
      <c r="Q722" s="30" t="s">
        <v>31</v>
      </c>
      <c r="R722" s="40" t="s">
        <v>47</v>
      </c>
      <c r="S722" s="35">
        <v>47601</v>
      </c>
      <c r="T722" s="36" t="s">
        <v>880</v>
      </c>
      <c r="U722" s="30" t="s">
        <v>880</v>
      </c>
      <c r="V722" s="37" t="e">
        <v>#N/A</v>
      </c>
      <c r="W722" s="31" t="s">
        <v>63</v>
      </c>
      <c r="X722" s="37" t="s">
        <v>52</v>
      </c>
      <c r="Y722" s="37">
        <f>COUNTIF(F:F,F722)</f>
        <v>5</v>
      </c>
      <c r="Z722" s="21" t="s">
        <v>1107</v>
      </c>
      <c r="AA722" s="21" t="s">
        <v>880</v>
      </c>
      <c r="AB722" s="21" t="s">
        <v>1121</v>
      </c>
    </row>
    <row r="723" spans="1:28" ht="13.9" customHeight="1" x14ac:dyDescent="0.3">
      <c r="A723" s="30" t="s">
        <v>20</v>
      </c>
      <c r="B723" s="30" t="s">
        <v>21</v>
      </c>
      <c r="C723" s="30" t="s">
        <v>761</v>
      </c>
      <c r="D723" s="30" t="s">
        <v>762</v>
      </c>
      <c r="E723" s="30" t="s">
        <v>889</v>
      </c>
      <c r="F723" s="31" t="s">
        <v>889</v>
      </c>
      <c r="G723" s="30" t="s">
        <v>26</v>
      </c>
      <c r="H723" s="30" t="s">
        <v>36</v>
      </c>
      <c r="I723" s="30">
        <v>3</v>
      </c>
      <c r="J723" s="30" t="s">
        <v>37</v>
      </c>
      <c r="K723" s="30" t="s">
        <v>38</v>
      </c>
      <c r="L723" s="32">
        <v>103.998346</v>
      </c>
      <c r="M723" s="32">
        <v>10.184316000000001</v>
      </c>
      <c r="N723" s="32" t="s">
        <v>764</v>
      </c>
      <c r="O723" s="33">
        <v>0</v>
      </c>
      <c r="P723" s="30" t="s">
        <v>39</v>
      </c>
      <c r="Q723" s="30" t="s">
        <v>31</v>
      </c>
      <c r="R723" s="34" t="s">
        <v>47</v>
      </c>
      <c r="S723" s="35">
        <v>47601</v>
      </c>
      <c r="T723" s="36" t="s">
        <v>880</v>
      </c>
      <c r="U723" s="30" t="s">
        <v>880</v>
      </c>
      <c r="V723" s="37" t="e">
        <v>#N/A</v>
      </c>
      <c r="W723" s="31" t="s">
        <v>33</v>
      </c>
      <c r="X723" s="37"/>
      <c r="Y723" s="37">
        <f>COUNTIF(F:F,F723)</f>
        <v>1</v>
      </c>
      <c r="Z723" s="21" t="s">
        <v>1107</v>
      </c>
      <c r="AA723" s="21" t="s">
        <v>880</v>
      </c>
      <c r="AB723" s="21" t="s">
        <v>1121</v>
      </c>
    </row>
    <row r="724" spans="1:28" x14ac:dyDescent="0.3">
      <c r="A724" s="30" t="s">
        <v>20</v>
      </c>
      <c r="B724" s="30" t="s">
        <v>21</v>
      </c>
      <c r="C724" s="30" t="s">
        <v>761</v>
      </c>
      <c r="D724" s="30" t="s">
        <v>762</v>
      </c>
      <c r="E724" s="30" t="s">
        <v>888</v>
      </c>
      <c r="F724" s="31" t="s">
        <v>888</v>
      </c>
      <c r="G724" s="30" t="s">
        <v>26</v>
      </c>
      <c r="H724" s="30" t="s">
        <v>36</v>
      </c>
      <c r="I724" s="30">
        <v>3</v>
      </c>
      <c r="J724" s="30" t="s">
        <v>37</v>
      </c>
      <c r="K724" s="30" t="s">
        <v>38</v>
      </c>
      <c r="L724" s="32">
        <v>103.973491</v>
      </c>
      <c r="M724" s="32">
        <v>10.176738</v>
      </c>
      <c r="N724" s="32" t="s">
        <v>764</v>
      </c>
      <c r="O724" s="33">
        <v>0</v>
      </c>
      <c r="P724" s="30" t="s">
        <v>39</v>
      </c>
      <c r="Q724" s="30" t="s">
        <v>31</v>
      </c>
      <c r="R724" s="34" t="s">
        <v>47</v>
      </c>
      <c r="S724" s="35">
        <v>47601</v>
      </c>
      <c r="T724" s="36" t="s">
        <v>880</v>
      </c>
      <c r="U724" s="30" t="s">
        <v>880</v>
      </c>
      <c r="V724" s="37" t="e">
        <v>#N/A</v>
      </c>
      <c r="W724" s="31" t="s">
        <v>33</v>
      </c>
      <c r="X724" s="37"/>
      <c r="Y724" s="37">
        <f>COUNTIF(F:F,F724)</f>
        <v>1</v>
      </c>
      <c r="Z724" s="21" t="s">
        <v>1107</v>
      </c>
      <c r="AA724" s="21" t="s">
        <v>880</v>
      </c>
      <c r="AB724" s="21" t="s">
        <v>1121</v>
      </c>
    </row>
    <row r="725" spans="1:28" ht="13.9" customHeight="1" x14ac:dyDescent="0.3">
      <c r="A725" s="30" t="s">
        <v>20</v>
      </c>
      <c r="B725" s="30" t="s">
        <v>21</v>
      </c>
      <c r="C725" s="30" t="s">
        <v>761</v>
      </c>
      <c r="D725" s="30" t="s">
        <v>762</v>
      </c>
      <c r="E725" s="30" t="s">
        <v>887</v>
      </c>
      <c r="F725" s="31" t="s">
        <v>887</v>
      </c>
      <c r="G725" s="30" t="s">
        <v>26</v>
      </c>
      <c r="H725" s="30" t="s">
        <v>36</v>
      </c>
      <c r="I725" s="30">
        <v>3</v>
      </c>
      <c r="J725" s="30" t="s">
        <v>37</v>
      </c>
      <c r="K725" s="30" t="s">
        <v>38</v>
      </c>
      <c r="L725" s="32">
        <v>103.96650700000001</v>
      </c>
      <c r="M725" s="32">
        <v>10.190872000000001</v>
      </c>
      <c r="N725" s="32" t="s">
        <v>764</v>
      </c>
      <c r="O725" s="33">
        <v>0</v>
      </c>
      <c r="P725" s="30" t="s">
        <v>39</v>
      </c>
      <c r="Q725" s="30" t="s">
        <v>31</v>
      </c>
      <c r="R725" s="34" t="s">
        <v>47</v>
      </c>
      <c r="S725" s="35">
        <v>47601</v>
      </c>
      <c r="T725" s="36" t="s">
        <v>880</v>
      </c>
      <c r="U725" s="30" t="s">
        <v>880</v>
      </c>
      <c r="V725" s="37" t="e">
        <v>#N/A</v>
      </c>
      <c r="W725" s="31" t="s">
        <v>33</v>
      </c>
      <c r="X725" s="37"/>
      <c r="Y725" s="37">
        <f>COUNTIF(F:F,F725)</f>
        <v>1</v>
      </c>
      <c r="Z725" s="21" t="s">
        <v>1107</v>
      </c>
      <c r="AA725" s="21" t="s">
        <v>880</v>
      </c>
      <c r="AB725" s="21" t="s">
        <v>1121</v>
      </c>
    </row>
    <row r="726" spans="1:28" ht="13.9" customHeight="1" x14ac:dyDescent="0.3">
      <c r="A726" s="30" t="s">
        <v>20</v>
      </c>
      <c r="B726" s="30" t="s">
        <v>21</v>
      </c>
      <c r="C726" s="30" t="s">
        <v>761</v>
      </c>
      <c r="D726" s="30" t="s">
        <v>762</v>
      </c>
      <c r="E726" s="30" t="s">
        <v>896</v>
      </c>
      <c r="F726" s="31" t="s">
        <v>896</v>
      </c>
      <c r="G726" s="30" t="s">
        <v>26</v>
      </c>
      <c r="H726" s="30" t="s">
        <v>36</v>
      </c>
      <c r="I726" s="30">
        <v>4</v>
      </c>
      <c r="J726" s="30" t="s">
        <v>37</v>
      </c>
      <c r="K726" s="30" t="s">
        <v>38</v>
      </c>
      <c r="L726" s="32">
        <v>104.04640000000001</v>
      </c>
      <c r="M726" s="32">
        <v>10.180300000000001</v>
      </c>
      <c r="N726" s="32" t="s">
        <v>764</v>
      </c>
      <c r="O726" s="33">
        <v>0</v>
      </c>
      <c r="P726" s="30" t="s">
        <v>39</v>
      </c>
      <c r="Q726" s="30" t="s">
        <v>31</v>
      </c>
      <c r="R726" s="34" t="s">
        <v>47</v>
      </c>
      <c r="S726" s="35">
        <v>47601</v>
      </c>
      <c r="T726" s="36" t="s">
        <v>894</v>
      </c>
      <c r="U726" s="30" t="s">
        <v>894</v>
      </c>
      <c r="V726" s="37" t="e">
        <v>#N/A</v>
      </c>
      <c r="W726" s="31" t="s">
        <v>33</v>
      </c>
      <c r="X726" s="37"/>
      <c r="Y726" s="37">
        <f>COUNTIF(F:F,F726)</f>
        <v>1</v>
      </c>
      <c r="Z726" s="21" t="s">
        <v>1107</v>
      </c>
      <c r="AA726" s="21" t="s">
        <v>894</v>
      </c>
      <c r="AB726" s="21" t="s">
        <v>1121</v>
      </c>
    </row>
    <row r="727" spans="1:28" ht="13.9" customHeight="1" x14ac:dyDescent="0.3">
      <c r="A727" s="30" t="s">
        <v>20</v>
      </c>
      <c r="B727" s="30" t="s">
        <v>21</v>
      </c>
      <c r="C727" s="30" t="s">
        <v>761</v>
      </c>
      <c r="D727" s="30" t="s">
        <v>762</v>
      </c>
      <c r="E727" s="30" t="s">
        <v>897</v>
      </c>
      <c r="F727" s="31" t="s">
        <v>897</v>
      </c>
      <c r="G727" s="30" t="s">
        <v>26</v>
      </c>
      <c r="H727" s="30" t="s">
        <v>36</v>
      </c>
      <c r="I727" s="30">
        <v>4</v>
      </c>
      <c r="J727" s="30" t="s">
        <v>37</v>
      </c>
      <c r="K727" s="30" t="s">
        <v>38</v>
      </c>
      <c r="L727" s="32">
        <v>104.014967</v>
      </c>
      <c r="M727" s="32">
        <v>10.176073000000001</v>
      </c>
      <c r="N727" s="32" t="s">
        <v>764</v>
      </c>
      <c r="O727" s="33">
        <v>0</v>
      </c>
      <c r="P727" s="30" t="s">
        <v>39</v>
      </c>
      <c r="Q727" s="30" t="s">
        <v>31</v>
      </c>
      <c r="R727" s="34" t="s">
        <v>47</v>
      </c>
      <c r="S727" s="35">
        <v>47601</v>
      </c>
      <c r="T727" s="36" t="s">
        <v>894</v>
      </c>
      <c r="U727" s="30" t="s">
        <v>894</v>
      </c>
      <c r="V727" s="37" t="e">
        <v>#N/A</v>
      </c>
      <c r="W727" s="31" t="s">
        <v>33</v>
      </c>
      <c r="X727" s="37"/>
      <c r="Y727" s="37">
        <f>COUNTIF(F:F,F727)</f>
        <v>1</v>
      </c>
      <c r="Z727" s="21" t="s">
        <v>1107</v>
      </c>
      <c r="AA727" s="21" t="s">
        <v>894</v>
      </c>
      <c r="AB727" s="21" t="s">
        <v>1121</v>
      </c>
    </row>
    <row r="728" spans="1:28" ht="13.9" customHeight="1" x14ac:dyDescent="0.3">
      <c r="A728" s="30" t="s">
        <v>20</v>
      </c>
      <c r="B728" s="30" t="s">
        <v>21</v>
      </c>
      <c r="C728" s="30" t="s">
        <v>761</v>
      </c>
      <c r="D728" s="30" t="s">
        <v>762</v>
      </c>
      <c r="E728" s="30" t="s">
        <v>898</v>
      </c>
      <c r="F728" s="31" t="s">
        <v>899</v>
      </c>
      <c r="G728" s="30" t="s">
        <v>26</v>
      </c>
      <c r="H728" s="30" t="s">
        <v>36</v>
      </c>
      <c r="I728" s="30">
        <v>3</v>
      </c>
      <c r="J728" s="30" t="s">
        <v>37</v>
      </c>
      <c r="K728" s="30" t="s">
        <v>38</v>
      </c>
      <c r="L728" s="32">
        <v>104.0784</v>
      </c>
      <c r="M728" s="32">
        <v>10.309100000000001</v>
      </c>
      <c r="N728" s="32" t="s">
        <v>764</v>
      </c>
      <c r="O728" s="33">
        <v>0</v>
      </c>
      <c r="P728" s="30" t="s">
        <v>39</v>
      </c>
      <c r="Q728" s="30" t="s">
        <v>31</v>
      </c>
      <c r="R728" s="34" t="s">
        <v>47</v>
      </c>
      <c r="S728" s="35">
        <v>47601</v>
      </c>
      <c r="T728" s="36" t="s">
        <v>894</v>
      </c>
      <c r="U728" s="30" t="s">
        <v>894</v>
      </c>
      <c r="V728" s="37" t="e">
        <v>#N/A</v>
      </c>
      <c r="W728" s="31" t="s">
        <v>33</v>
      </c>
      <c r="X728" s="37"/>
      <c r="Y728" s="37">
        <f>COUNTIF(F:F,F728)</f>
        <v>1</v>
      </c>
      <c r="Z728" s="21" t="s">
        <v>1107</v>
      </c>
      <c r="AA728" s="21" t="s">
        <v>894</v>
      </c>
      <c r="AB728" s="21" t="s">
        <v>1121</v>
      </c>
    </row>
    <row r="729" spans="1:28" ht="13.9" customHeight="1" x14ac:dyDescent="0.3">
      <c r="A729" s="30" t="s">
        <v>20</v>
      </c>
      <c r="B729" s="30" t="s">
        <v>21</v>
      </c>
      <c r="C729" s="30" t="s">
        <v>761</v>
      </c>
      <c r="D729" s="30" t="s">
        <v>762</v>
      </c>
      <c r="E729" s="30" t="s">
        <v>900</v>
      </c>
      <c r="F729" s="31" t="s">
        <v>900</v>
      </c>
      <c r="G729" s="30" t="s">
        <v>26</v>
      </c>
      <c r="H729" s="30" t="s">
        <v>36</v>
      </c>
      <c r="I729" s="30">
        <v>3</v>
      </c>
      <c r="J729" s="30"/>
      <c r="K729" s="30"/>
      <c r="L729" s="32">
        <v>104.07835</v>
      </c>
      <c r="M729" s="32">
        <v>10.24705</v>
      </c>
      <c r="N729" s="32" t="s">
        <v>764</v>
      </c>
      <c r="O729" s="33">
        <v>0</v>
      </c>
      <c r="P729" s="30" t="s">
        <v>109</v>
      </c>
      <c r="Q729" s="30" t="s">
        <v>31</v>
      </c>
      <c r="R729" s="34" t="s">
        <v>47</v>
      </c>
      <c r="S729" s="35">
        <v>47601</v>
      </c>
      <c r="T729" s="36" t="s">
        <v>894</v>
      </c>
      <c r="U729" s="30" t="s">
        <v>894</v>
      </c>
      <c r="V729" s="37" t="e">
        <v>#N/A</v>
      </c>
      <c r="W729" s="31" t="s">
        <v>33</v>
      </c>
      <c r="X729" s="37"/>
      <c r="Y729" s="37">
        <f>COUNTIF(F:F,F729)</f>
        <v>1</v>
      </c>
      <c r="Z729" s="21" t="s">
        <v>1107</v>
      </c>
      <c r="AA729" s="21" t="s">
        <v>894</v>
      </c>
      <c r="AB729" s="21" t="s">
        <v>1121</v>
      </c>
    </row>
    <row r="730" spans="1:28" ht="13.9" customHeight="1" x14ac:dyDescent="0.3">
      <c r="A730" s="30" t="s">
        <v>20</v>
      </c>
      <c r="B730" s="30" t="s">
        <v>21</v>
      </c>
      <c r="C730" s="30" t="s">
        <v>761</v>
      </c>
      <c r="D730" s="30" t="s">
        <v>762</v>
      </c>
      <c r="E730" s="30" t="s">
        <v>893</v>
      </c>
      <c r="F730" s="31" t="s">
        <v>893</v>
      </c>
      <c r="G730" s="30" t="s">
        <v>26</v>
      </c>
      <c r="H730" s="30" t="s">
        <v>36</v>
      </c>
      <c r="I730" s="30">
        <v>4</v>
      </c>
      <c r="J730" s="30"/>
      <c r="K730" s="30"/>
      <c r="L730" s="32">
        <v>104.05383</v>
      </c>
      <c r="M730" s="32">
        <v>10.21035</v>
      </c>
      <c r="N730" s="32" t="s">
        <v>764</v>
      </c>
      <c r="O730" s="33">
        <v>0</v>
      </c>
      <c r="P730" s="30" t="s">
        <v>169</v>
      </c>
      <c r="Q730" s="30" t="s">
        <v>31</v>
      </c>
      <c r="R730" s="34" t="s">
        <v>47</v>
      </c>
      <c r="S730" s="35">
        <v>47601</v>
      </c>
      <c r="T730" s="36" t="s">
        <v>894</v>
      </c>
      <c r="U730" s="30" t="s">
        <v>894</v>
      </c>
      <c r="V730" s="37" t="e">
        <v>#N/A</v>
      </c>
      <c r="W730" s="31" t="s">
        <v>33</v>
      </c>
      <c r="X730" s="37" t="s">
        <v>42</v>
      </c>
      <c r="Y730" s="37">
        <f>COUNTIF(F:F,F730)</f>
        <v>3</v>
      </c>
      <c r="Z730" s="21" t="s">
        <v>1107</v>
      </c>
      <c r="AA730" s="21" t="s">
        <v>894</v>
      </c>
      <c r="AB730" s="21" t="s">
        <v>1121</v>
      </c>
    </row>
    <row r="731" spans="1:28" ht="13.9" customHeight="1" x14ac:dyDescent="0.3">
      <c r="A731" s="36" t="s">
        <v>20</v>
      </c>
      <c r="B731" s="36" t="s">
        <v>21</v>
      </c>
      <c r="C731" s="36" t="s">
        <v>761</v>
      </c>
      <c r="D731" s="36" t="s">
        <v>762</v>
      </c>
      <c r="E731" s="36" t="s">
        <v>892</v>
      </c>
      <c r="F731" s="31" t="s">
        <v>893</v>
      </c>
      <c r="G731" s="36" t="s">
        <v>26</v>
      </c>
      <c r="H731" s="36" t="s">
        <v>36</v>
      </c>
      <c r="I731" s="36">
        <v>3</v>
      </c>
      <c r="J731" s="36"/>
      <c r="K731" s="36"/>
      <c r="L731" s="38">
        <v>104.0733</v>
      </c>
      <c r="M731" s="38">
        <v>10.22725</v>
      </c>
      <c r="N731" s="38" t="s">
        <v>764</v>
      </c>
      <c r="O731" s="39">
        <v>0</v>
      </c>
      <c r="P731" s="36" t="s">
        <v>109</v>
      </c>
      <c r="Q731" s="30" t="s">
        <v>31</v>
      </c>
      <c r="R731" s="40" t="s">
        <v>47</v>
      </c>
      <c r="S731" s="35">
        <v>47601</v>
      </c>
      <c r="T731" s="36" t="s">
        <v>894</v>
      </c>
      <c r="U731" s="30" t="s">
        <v>894</v>
      </c>
      <c r="V731" s="37" t="e">
        <v>#N/A</v>
      </c>
      <c r="W731" s="31" t="s">
        <v>63</v>
      </c>
      <c r="X731" s="37" t="s">
        <v>52</v>
      </c>
      <c r="Y731" s="37">
        <f>COUNTIF(F:F,F731)</f>
        <v>3</v>
      </c>
      <c r="Z731" s="21" t="s">
        <v>1107</v>
      </c>
      <c r="AA731" s="21" t="s">
        <v>894</v>
      </c>
      <c r="AB731" s="21" t="s">
        <v>1121</v>
      </c>
    </row>
    <row r="732" spans="1:28" ht="13.9" customHeight="1" x14ac:dyDescent="0.3">
      <c r="A732" s="36" t="s">
        <v>20</v>
      </c>
      <c r="B732" s="36" t="s">
        <v>21</v>
      </c>
      <c r="C732" s="36" t="s">
        <v>761</v>
      </c>
      <c r="D732" s="36" t="s">
        <v>762</v>
      </c>
      <c r="E732" s="36" t="s">
        <v>895</v>
      </c>
      <c r="F732" s="31" t="s">
        <v>893</v>
      </c>
      <c r="G732" s="36" t="s">
        <v>26</v>
      </c>
      <c r="H732" s="36" t="s">
        <v>36</v>
      </c>
      <c r="I732" s="36">
        <v>3</v>
      </c>
      <c r="J732" s="36"/>
      <c r="K732" s="36"/>
      <c r="L732" s="38">
        <v>104.049638</v>
      </c>
      <c r="M732" s="38">
        <v>10.191049</v>
      </c>
      <c r="N732" s="38" t="s">
        <v>764</v>
      </c>
      <c r="O732" s="39">
        <v>0</v>
      </c>
      <c r="P732" s="36" t="s">
        <v>109</v>
      </c>
      <c r="Q732" s="30" t="s">
        <v>31</v>
      </c>
      <c r="R732" s="40" t="s">
        <v>47</v>
      </c>
      <c r="S732" s="35">
        <v>47601</v>
      </c>
      <c r="T732" s="36" t="s">
        <v>894</v>
      </c>
      <c r="U732" s="30" t="s">
        <v>894</v>
      </c>
      <c r="V732" s="37" t="e">
        <v>#N/A</v>
      </c>
      <c r="W732" s="31" t="s">
        <v>63</v>
      </c>
      <c r="X732" s="37" t="s">
        <v>52</v>
      </c>
      <c r="Y732" s="37">
        <f>COUNTIF(F:F,F732)</f>
        <v>3</v>
      </c>
      <c r="Z732" s="21" t="s">
        <v>1107</v>
      </c>
      <c r="AA732" s="21" t="s">
        <v>894</v>
      </c>
      <c r="AB732" s="21" t="s">
        <v>1121</v>
      </c>
    </row>
    <row r="733" spans="1:28" ht="13.9" customHeight="1" x14ac:dyDescent="0.3">
      <c r="A733" s="30" t="s">
        <v>20</v>
      </c>
      <c r="B733" s="30" t="s">
        <v>21</v>
      </c>
      <c r="C733" s="30" t="s">
        <v>761</v>
      </c>
      <c r="D733" s="30" t="s">
        <v>762</v>
      </c>
      <c r="E733" s="30" t="s">
        <v>901</v>
      </c>
      <c r="F733" s="31" t="s">
        <v>901</v>
      </c>
      <c r="G733" s="30" t="s">
        <v>26</v>
      </c>
      <c r="H733" s="30" t="s">
        <v>36</v>
      </c>
      <c r="I733" s="30">
        <v>3</v>
      </c>
      <c r="J733" s="30" t="s">
        <v>37</v>
      </c>
      <c r="K733" s="30" t="s">
        <v>38</v>
      </c>
      <c r="L733" s="32">
        <v>104.03279000000001</v>
      </c>
      <c r="M733" s="32">
        <v>10.17563</v>
      </c>
      <c r="N733" s="32" t="s">
        <v>764</v>
      </c>
      <c r="O733" s="33">
        <v>0</v>
      </c>
      <c r="P733" s="30" t="s">
        <v>39</v>
      </c>
      <c r="Q733" s="30" t="s">
        <v>31</v>
      </c>
      <c r="R733" s="34" t="s">
        <v>47</v>
      </c>
      <c r="S733" s="35">
        <v>47601</v>
      </c>
      <c r="T733" s="36" t="s">
        <v>894</v>
      </c>
      <c r="U733" s="30" t="s">
        <v>894</v>
      </c>
      <c r="V733" s="37" t="e">
        <v>#N/A</v>
      </c>
      <c r="W733" s="31" t="s">
        <v>33</v>
      </c>
      <c r="X733" s="37"/>
      <c r="Y733" s="37">
        <f>COUNTIF(F:F,F733)</f>
        <v>1</v>
      </c>
      <c r="Z733" s="21" t="s">
        <v>1107</v>
      </c>
      <c r="AA733" s="21" t="s">
        <v>894</v>
      </c>
      <c r="AB733" s="21" t="s">
        <v>1121</v>
      </c>
    </row>
    <row r="734" spans="1:28" ht="13.9" customHeight="1" x14ac:dyDescent="0.3">
      <c r="A734" s="30" t="s">
        <v>20</v>
      </c>
      <c r="B734" s="30" t="s">
        <v>21</v>
      </c>
      <c r="C734" s="30" t="s">
        <v>761</v>
      </c>
      <c r="D734" s="30" t="s">
        <v>762</v>
      </c>
      <c r="E734" s="30" t="s">
        <v>902</v>
      </c>
      <c r="F734" s="31" t="s">
        <v>902</v>
      </c>
      <c r="G734" s="30" t="s">
        <v>26</v>
      </c>
      <c r="H734" s="30" t="s">
        <v>36</v>
      </c>
      <c r="I734" s="30">
        <v>3</v>
      </c>
      <c r="J734" s="30"/>
      <c r="K734" s="30"/>
      <c r="L734" s="32">
        <v>104.07210000000001</v>
      </c>
      <c r="M734" s="32">
        <v>10.275722</v>
      </c>
      <c r="N734" s="32" t="s">
        <v>764</v>
      </c>
      <c r="O734" s="33">
        <v>0</v>
      </c>
      <c r="P734" s="30" t="s">
        <v>109</v>
      </c>
      <c r="Q734" s="30" t="s">
        <v>31</v>
      </c>
      <c r="R734" s="34" t="s">
        <v>47</v>
      </c>
      <c r="S734" s="35">
        <v>47601</v>
      </c>
      <c r="T734" s="36" t="s">
        <v>894</v>
      </c>
      <c r="U734" s="30" t="s">
        <v>894</v>
      </c>
      <c r="V734" s="37" t="e">
        <v>#N/A</v>
      </c>
      <c r="W734" s="31" t="s">
        <v>33</v>
      </c>
      <c r="X734" s="37"/>
      <c r="Y734" s="37">
        <f>COUNTIF(F:F,F734)</f>
        <v>1</v>
      </c>
      <c r="Z734" s="21" t="s">
        <v>1107</v>
      </c>
      <c r="AA734" s="21" t="s">
        <v>894</v>
      </c>
      <c r="AB734" s="21" t="s">
        <v>1121</v>
      </c>
    </row>
    <row r="735" spans="1:28" ht="13.9" customHeight="1" x14ac:dyDescent="0.3">
      <c r="A735" s="30" t="s">
        <v>20</v>
      </c>
      <c r="B735" s="30" t="s">
        <v>21</v>
      </c>
      <c r="C735" s="30" t="s">
        <v>761</v>
      </c>
      <c r="D735" s="30" t="s">
        <v>762</v>
      </c>
      <c r="E735" s="30" t="s">
        <v>911</v>
      </c>
      <c r="F735" s="31" t="s">
        <v>911</v>
      </c>
      <c r="G735" s="30" t="s">
        <v>26</v>
      </c>
      <c r="H735" s="30" t="s">
        <v>36</v>
      </c>
      <c r="I735" s="30">
        <v>3</v>
      </c>
      <c r="J735" s="30"/>
      <c r="K735" s="30"/>
      <c r="L735" s="32">
        <v>103.9807</v>
      </c>
      <c r="M735" s="32">
        <v>10.1288</v>
      </c>
      <c r="N735" s="32" t="s">
        <v>764</v>
      </c>
      <c r="O735" s="33">
        <v>0</v>
      </c>
      <c r="P735" s="30" t="s">
        <v>109</v>
      </c>
      <c r="Q735" s="30" t="s">
        <v>31</v>
      </c>
      <c r="R735" s="34" t="s">
        <v>47</v>
      </c>
      <c r="S735" s="35">
        <v>47601</v>
      </c>
      <c r="T735" s="36" t="s">
        <v>905</v>
      </c>
      <c r="U735" s="30" t="s">
        <v>905</v>
      </c>
      <c r="V735" s="37" t="e">
        <v>#N/A</v>
      </c>
      <c r="W735" s="31" t="s">
        <v>777</v>
      </c>
      <c r="X735" s="37"/>
      <c r="Y735" s="37">
        <f>COUNTIF(F:F,F735)</f>
        <v>1</v>
      </c>
      <c r="Z735" s="21" t="s">
        <v>1110</v>
      </c>
      <c r="AA735" s="21" t="s">
        <v>905</v>
      </c>
      <c r="AB735" s="21" t="s">
        <v>1121</v>
      </c>
    </row>
    <row r="736" spans="1:28" ht="13.9" customHeight="1" x14ac:dyDescent="0.3">
      <c r="A736" s="36" t="s">
        <v>20</v>
      </c>
      <c r="B736" s="36" t="s">
        <v>21</v>
      </c>
      <c r="C736" s="36" t="s">
        <v>761</v>
      </c>
      <c r="D736" s="36" t="s">
        <v>762</v>
      </c>
      <c r="E736" s="36" t="s">
        <v>903</v>
      </c>
      <c r="F736" s="31" t="s">
        <v>904</v>
      </c>
      <c r="G736" s="36" t="s">
        <v>26</v>
      </c>
      <c r="H736" s="36" t="s">
        <v>36</v>
      </c>
      <c r="I736" s="36">
        <v>3</v>
      </c>
      <c r="J736" s="36" t="s">
        <v>37</v>
      </c>
      <c r="K736" s="36" t="s">
        <v>38</v>
      </c>
      <c r="L736" s="38">
        <v>103.976911</v>
      </c>
      <c r="M736" s="38">
        <v>10.146084999999999</v>
      </c>
      <c r="N736" s="38" t="s">
        <v>764</v>
      </c>
      <c r="O736" s="39">
        <v>0</v>
      </c>
      <c r="P736" s="36" t="s">
        <v>39</v>
      </c>
      <c r="Q736" s="30" t="s">
        <v>31</v>
      </c>
      <c r="R736" s="40" t="s">
        <v>47</v>
      </c>
      <c r="S736" s="35">
        <v>47601</v>
      </c>
      <c r="T736" s="36" t="s">
        <v>905</v>
      </c>
      <c r="U736" s="30" t="s">
        <v>905</v>
      </c>
      <c r="V736" s="37" t="e">
        <v>#N/A</v>
      </c>
      <c r="W736" s="31" t="s">
        <v>63</v>
      </c>
      <c r="X736" s="37" t="s">
        <v>52</v>
      </c>
      <c r="Y736" s="37">
        <f>COUNTIF(F:F,F736)</f>
        <v>3</v>
      </c>
      <c r="Z736" s="21" t="s">
        <v>1110</v>
      </c>
      <c r="AA736" s="21" t="s">
        <v>905</v>
      </c>
      <c r="AB736" s="21" t="s">
        <v>1121</v>
      </c>
    </row>
    <row r="737" spans="1:28" ht="13.9" customHeight="1" x14ac:dyDescent="0.3">
      <c r="A737" s="30" t="s">
        <v>20</v>
      </c>
      <c r="B737" s="30" t="s">
        <v>21</v>
      </c>
      <c r="C737" s="30" t="s">
        <v>761</v>
      </c>
      <c r="D737" s="30" t="s">
        <v>762</v>
      </c>
      <c r="E737" s="30" t="s">
        <v>904</v>
      </c>
      <c r="F737" s="31" t="s">
        <v>904</v>
      </c>
      <c r="G737" s="30" t="s">
        <v>26</v>
      </c>
      <c r="H737" s="30" t="s">
        <v>36</v>
      </c>
      <c r="I737" s="30">
        <v>3</v>
      </c>
      <c r="J737" s="30" t="s">
        <v>37</v>
      </c>
      <c r="K737" s="30" t="s">
        <v>38</v>
      </c>
      <c r="L737" s="32">
        <v>103.98845</v>
      </c>
      <c r="M737" s="32">
        <v>10.137214</v>
      </c>
      <c r="N737" s="32" t="s">
        <v>764</v>
      </c>
      <c r="O737" s="33">
        <v>0</v>
      </c>
      <c r="P737" s="30" t="s">
        <v>39</v>
      </c>
      <c r="Q737" s="30" t="s">
        <v>31</v>
      </c>
      <c r="R737" s="34" t="s">
        <v>47</v>
      </c>
      <c r="S737" s="35">
        <v>47601</v>
      </c>
      <c r="T737" s="36" t="s">
        <v>905</v>
      </c>
      <c r="U737" s="30" t="s">
        <v>905</v>
      </c>
      <c r="V737" s="37" t="e">
        <v>#N/A</v>
      </c>
      <c r="W737" s="31" t="s">
        <v>33</v>
      </c>
      <c r="X737" s="37" t="s">
        <v>42</v>
      </c>
      <c r="Y737" s="37">
        <f>COUNTIF(F:F,F737)</f>
        <v>3</v>
      </c>
      <c r="Z737" s="21" t="s">
        <v>1110</v>
      </c>
      <c r="AA737" s="21" t="s">
        <v>905</v>
      </c>
      <c r="AB737" s="21" t="s">
        <v>1121</v>
      </c>
    </row>
    <row r="738" spans="1:28" s="22" customFormat="1" x14ac:dyDescent="0.3">
      <c r="A738" s="36" t="s">
        <v>20</v>
      </c>
      <c r="B738" s="36" t="s">
        <v>21</v>
      </c>
      <c r="C738" s="36" t="s">
        <v>761</v>
      </c>
      <c r="D738" s="36" t="s">
        <v>762</v>
      </c>
      <c r="E738" s="36" t="s">
        <v>906</v>
      </c>
      <c r="F738" s="31" t="s">
        <v>904</v>
      </c>
      <c r="G738" s="36" t="s">
        <v>26</v>
      </c>
      <c r="H738" s="36" t="s">
        <v>36</v>
      </c>
      <c r="I738" s="36">
        <v>3</v>
      </c>
      <c r="J738" s="36" t="s">
        <v>37</v>
      </c>
      <c r="K738" s="36" t="s">
        <v>38</v>
      </c>
      <c r="L738" s="38">
        <v>103.97978999999999</v>
      </c>
      <c r="M738" s="38">
        <v>10.13456</v>
      </c>
      <c r="N738" s="38" t="s">
        <v>764</v>
      </c>
      <c r="O738" s="39">
        <v>0</v>
      </c>
      <c r="P738" s="36" t="s">
        <v>39</v>
      </c>
      <c r="Q738" s="47" t="s">
        <v>31</v>
      </c>
      <c r="R738" s="40" t="s">
        <v>47</v>
      </c>
      <c r="S738" s="35">
        <v>47601</v>
      </c>
      <c r="T738" s="36" t="s">
        <v>905</v>
      </c>
      <c r="U738" s="30" t="s">
        <v>905</v>
      </c>
      <c r="V738" s="37" t="e">
        <v>#N/A</v>
      </c>
      <c r="W738" s="31" t="s">
        <v>63</v>
      </c>
      <c r="X738" s="37" t="s">
        <v>52</v>
      </c>
      <c r="Y738" s="37">
        <f>COUNTIF(F:F,F738)</f>
        <v>3</v>
      </c>
      <c r="Z738" s="21" t="s">
        <v>1110</v>
      </c>
      <c r="AA738" s="21" t="s">
        <v>905</v>
      </c>
      <c r="AB738" s="21" t="s">
        <v>1121</v>
      </c>
    </row>
    <row r="739" spans="1:28" s="22" customFormat="1" ht="13.9" customHeight="1" x14ac:dyDescent="0.3">
      <c r="A739" s="30" t="s">
        <v>20</v>
      </c>
      <c r="B739" s="30" t="s">
        <v>21</v>
      </c>
      <c r="C739" s="30" t="s">
        <v>761</v>
      </c>
      <c r="D739" s="30" t="s">
        <v>762</v>
      </c>
      <c r="E739" s="30" t="s">
        <v>907</v>
      </c>
      <c r="F739" s="31" t="s">
        <v>907</v>
      </c>
      <c r="G739" s="30" t="s">
        <v>26</v>
      </c>
      <c r="H739" s="30" t="s">
        <v>36</v>
      </c>
      <c r="I739" s="30">
        <v>3</v>
      </c>
      <c r="J739" s="30" t="s">
        <v>37</v>
      </c>
      <c r="K739" s="30" t="s">
        <v>38</v>
      </c>
      <c r="L739" s="32">
        <v>103.977126</v>
      </c>
      <c r="M739" s="32">
        <v>10.162352</v>
      </c>
      <c r="N739" s="32" t="s">
        <v>764</v>
      </c>
      <c r="O739" s="33">
        <v>0</v>
      </c>
      <c r="P739" s="30" t="s">
        <v>39</v>
      </c>
      <c r="Q739" s="30" t="s">
        <v>31</v>
      </c>
      <c r="R739" s="34" t="s">
        <v>47</v>
      </c>
      <c r="S739" s="35">
        <v>47601</v>
      </c>
      <c r="T739" s="36" t="s">
        <v>905</v>
      </c>
      <c r="U739" s="30" t="s">
        <v>905</v>
      </c>
      <c r="V739" s="37" t="e">
        <v>#N/A</v>
      </c>
      <c r="W739" s="31" t="s">
        <v>33</v>
      </c>
      <c r="X739" s="37" t="s">
        <v>42</v>
      </c>
      <c r="Y739" s="37">
        <f>COUNTIF(F:F,F739)</f>
        <v>2</v>
      </c>
      <c r="Z739" s="21" t="s">
        <v>1110</v>
      </c>
      <c r="AA739" s="21" t="s">
        <v>905</v>
      </c>
      <c r="AB739" s="21" t="s">
        <v>1121</v>
      </c>
    </row>
    <row r="740" spans="1:28" ht="13.9" customHeight="1" x14ac:dyDescent="0.3">
      <c r="A740" s="36" t="s">
        <v>20</v>
      </c>
      <c r="B740" s="36" t="s">
        <v>21</v>
      </c>
      <c r="C740" s="36" t="s">
        <v>761</v>
      </c>
      <c r="D740" s="36" t="s">
        <v>762</v>
      </c>
      <c r="E740" s="36" t="s">
        <v>908</v>
      </c>
      <c r="F740" s="31" t="s">
        <v>907</v>
      </c>
      <c r="G740" s="36" t="s">
        <v>26</v>
      </c>
      <c r="H740" s="36" t="s">
        <v>36</v>
      </c>
      <c r="I740" s="36">
        <v>3</v>
      </c>
      <c r="J740" s="36" t="s">
        <v>37</v>
      </c>
      <c r="K740" s="36" t="s">
        <v>38</v>
      </c>
      <c r="L740" s="38">
        <v>103.981151</v>
      </c>
      <c r="M740" s="38">
        <v>10.154328</v>
      </c>
      <c r="N740" s="38" t="s">
        <v>764</v>
      </c>
      <c r="O740" s="39">
        <v>0</v>
      </c>
      <c r="P740" s="36" t="s">
        <v>39</v>
      </c>
      <c r="Q740" s="30" t="s">
        <v>31</v>
      </c>
      <c r="R740" s="40" t="s">
        <v>47</v>
      </c>
      <c r="S740" s="35">
        <v>47601</v>
      </c>
      <c r="T740" s="36" t="s">
        <v>905</v>
      </c>
      <c r="U740" s="30" t="s">
        <v>905</v>
      </c>
      <c r="V740" s="37" t="e">
        <v>#N/A</v>
      </c>
      <c r="W740" s="31" t="s">
        <v>63</v>
      </c>
      <c r="X740" s="37" t="s">
        <v>52</v>
      </c>
      <c r="Y740" s="37">
        <f>COUNTIF(F:F,F740)</f>
        <v>2</v>
      </c>
      <c r="Z740" s="21" t="s">
        <v>1110</v>
      </c>
      <c r="AA740" s="21" t="s">
        <v>905</v>
      </c>
      <c r="AB740" s="21" t="s">
        <v>1121</v>
      </c>
    </row>
    <row r="741" spans="1:28" s="22" customFormat="1" x14ac:dyDescent="0.3">
      <c r="A741" s="30" t="s">
        <v>20</v>
      </c>
      <c r="B741" s="30" t="s">
        <v>21</v>
      </c>
      <c r="C741" s="30" t="s">
        <v>761</v>
      </c>
      <c r="D741" s="30" t="s">
        <v>762</v>
      </c>
      <c r="E741" s="30" t="s">
        <v>912</v>
      </c>
      <c r="F741" s="31" t="s">
        <v>912</v>
      </c>
      <c r="G741" s="30" t="s">
        <v>26</v>
      </c>
      <c r="H741" s="30" t="s">
        <v>36</v>
      </c>
      <c r="I741" s="30">
        <v>4</v>
      </c>
      <c r="J741" s="30" t="s">
        <v>37</v>
      </c>
      <c r="K741" s="30" t="s">
        <v>38</v>
      </c>
      <c r="L741" s="32">
        <v>103.9837</v>
      </c>
      <c r="M741" s="32">
        <v>10.1126</v>
      </c>
      <c r="N741" s="32" t="s">
        <v>764</v>
      </c>
      <c r="O741" s="33">
        <v>0</v>
      </c>
      <c r="P741" s="30" t="s">
        <v>39</v>
      </c>
      <c r="Q741" s="47" t="s">
        <v>31</v>
      </c>
      <c r="R741" s="34" t="s">
        <v>47</v>
      </c>
      <c r="S741" s="35">
        <v>47601</v>
      </c>
      <c r="T741" s="36" t="s">
        <v>905</v>
      </c>
      <c r="U741" s="30" t="s">
        <v>905</v>
      </c>
      <c r="V741" s="37" t="e">
        <v>#N/A</v>
      </c>
      <c r="W741" s="31" t="s">
        <v>777</v>
      </c>
      <c r="X741" s="37"/>
      <c r="Y741" s="37">
        <f>COUNTIF(F:F,F741)</f>
        <v>1</v>
      </c>
      <c r="Z741" s="21" t="s">
        <v>1110</v>
      </c>
      <c r="AA741" s="21" t="s">
        <v>905</v>
      </c>
      <c r="AB741" s="21" t="s">
        <v>1121</v>
      </c>
    </row>
    <row r="742" spans="1:28" ht="13.9" customHeight="1" x14ac:dyDescent="0.3">
      <c r="A742" s="30" t="s">
        <v>20</v>
      </c>
      <c r="B742" s="30" t="s">
        <v>21</v>
      </c>
      <c r="C742" s="30" t="s">
        <v>761</v>
      </c>
      <c r="D742" s="30" t="s">
        <v>762</v>
      </c>
      <c r="E742" s="30" t="s">
        <v>913</v>
      </c>
      <c r="F742" s="31" t="s">
        <v>913</v>
      </c>
      <c r="G742" s="30" t="s">
        <v>26</v>
      </c>
      <c r="H742" s="30" t="s">
        <v>36</v>
      </c>
      <c r="I742" s="30">
        <v>3</v>
      </c>
      <c r="J742" s="30" t="s">
        <v>37</v>
      </c>
      <c r="K742" s="30" t="s">
        <v>38</v>
      </c>
      <c r="L742" s="32">
        <v>103.98957</v>
      </c>
      <c r="M742" s="32">
        <v>10.119120000000001</v>
      </c>
      <c r="N742" s="32" t="s">
        <v>764</v>
      </c>
      <c r="O742" s="33">
        <v>0</v>
      </c>
      <c r="P742" s="30" t="s">
        <v>39</v>
      </c>
      <c r="Q742" s="30" t="s">
        <v>31</v>
      </c>
      <c r="R742" s="34" t="s">
        <v>47</v>
      </c>
      <c r="S742" s="35">
        <v>47601</v>
      </c>
      <c r="T742" s="36" t="s">
        <v>905</v>
      </c>
      <c r="U742" s="30" t="s">
        <v>905</v>
      </c>
      <c r="V742" s="37" t="e">
        <v>#N/A</v>
      </c>
      <c r="W742" s="31" t="s">
        <v>33</v>
      </c>
      <c r="X742" s="37"/>
      <c r="Y742" s="37">
        <f>COUNTIF(F:F,F742)</f>
        <v>1</v>
      </c>
      <c r="Z742" s="21" t="s">
        <v>1110</v>
      </c>
      <c r="AA742" s="21" t="s">
        <v>905</v>
      </c>
      <c r="AB742" s="21" t="s">
        <v>1121</v>
      </c>
    </row>
    <row r="743" spans="1:28" s="22" customFormat="1" ht="13.9" customHeight="1" x14ac:dyDescent="0.3">
      <c r="A743" s="30" t="s">
        <v>20</v>
      </c>
      <c r="B743" s="30" t="s">
        <v>21</v>
      </c>
      <c r="C743" s="30" t="s">
        <v>761</v>
      </c>
      <c r="D743" s="30" t="s">
        <v>762</v>
      </c>
      <c r="E743" s="30" t="s">
        <v>909</v>
      </c>
      <c r="F743" s="31" t="s">
        <v>909</v>
      </c>
      <c r="G743" s="30" t="s">
        <v>26</v>
      </c>
      <c r="H743" s="30" t="s">
        <v>27</v>
      </c>
      <c r="I743" s="30">
        <v>3</v>
      </c>
      <c r="J743" s="30"/>
      <c r="K743" s="30"/>
      <c r="L743" s="32">
        <v>103.98339</v>
      </c>
      <c r="M743" s="32">
        <v>10.120150000000001</v>
      </c>
      <c r="N743" s="32" t="s">
        <v>764</v>
      </c>
      <c r="O743" s="33">
        <v>0</v>
      </c>
      <c r="P743" s="30" t="s">
        <v>30</v>
      </c>
      <c r="Q743" s="30" t="s">
        <v>31</v>
      </c>
      <c r="R743" s="34" t="s">
        <v>47</v>
      </c>
      <c r="S743" s="35">
        <v>47601</v>
      </c>
      <c r="T743" s="36" t="s">
        <v>905</v>
      </c>
      <c r="U743" s="30" t="s">
        <v>905</v>
      </c>
      <c r="V743" s="37" t="e">
        <v>#N/A</v>
      </c>
      <c r="W743" s="31" t="s">
        <v>1002</v>
      </c>
      <c r="X743" s="37" t="s">
        <v>42</v>
      </c>
      <c r="Y743" s="37">
        <f>COUNTIF(F:F,F743)</f>
        <v>2</v>
      </c>
      <c r="Z743" s="21" t="s">
        <v>1110</v>
      </c>
      <c r="AA743" s="21" t="s">
        <v>905</v>
      </c>
      <c r="AB743" s="21" t="s">
        <v>1121</v>
      </c>
    </row>
    <row r="744" spans="1:28" s="22" customFormat="1" ht="13.9" customHeight="1" x14ac:dyDescent="0.3">
      <c r="A744" s="36" t="s">
        <v>20</v>
      </c>
      <c r="B744" s="36" t="s">
        <v>21</v>
      </c>
      <c r="C744" s="36" t="s">
        <v>761</v>
      </c>
      <c r="D744" s="36" t="s">
        <v>762</v>
      </c>
      <c r="E744" s="36" t="s">
        <v>910</v>
      </c>
      <c r="F744" s="31" t="s">
        <v>909</v>
      </c>
      <c r="G744" s="36" t="s">
        <v>26</v>
      </c>
      <c r="H744" s="36" t="s">
        <v>36</v>
      </c>
      <c r="I744" s="36">
        <v>3</v>
      </c>
      <c r="J744" s="36" t="s">
        <v>37</v>
      </c>
      <c r="K744" s="36" t="s">
        <v>38</v>
      </c>
      <c r="L744" s="38">
        <v>103.98342</v>
      </c>
      <c r="M744" s="38">
        <v>10.12021</v>
      </c>
      <c r="N744" s="38" t="s">
        <v>764</v>
      </c>
      <c r="O744" s="39">
        <v>0</v>
      </c>
      <c r="P744" s="36" t="s">
        <v>39</v>
      </c>
      <c r="Q744" s="30" t="s">
        <v>31</v>
      </c>
      <c r="R744" s="40" t="s">
        <v>47</v>
      </c>
      <c r="S744" s="35">
        <v>47601</v>
      </c>
      <c r="T744" s="36" t="s">
        <v>905</v>
      </c>
      <c r="U744" s="30" t="s">
        <v>905</v>
      </c>
      <c r="V744" s="37" t="e">
        <v>#N/A</v>
      </c>
      <c r="W744" s="31" t="s">
        <v>63</v>
      </c>
      <c r="X744" s="37" t="s">
        <v>52</v>
      </c>
      <c r="Y744" s="37">
        <f>COUNTIF(F:F,F744)</f>
        <v>2</v>
      </c>
      <c r="Z744" s="21" t="s">
        <v>1110</v>
      </c>
      <c r="AA744" s="21" t="s">
        <v>905</v>
      </c>
      <c r="AB744" s="21" t="s">
        <v>1121</v>
      </c>
    </row>
    <row r="745" spans="1:28" ht="13.9" customHeight="1" x14ac:dyDescent="0.3">
      <c r="A745" s="30" t="s">
        <v>20</v>
      </c>
      <c r="B745" s="30" t="s">
        <v>21</v>
      </c>
      <c r="C745" s="30" t="s">
        <v>761</v>
      </c>
      <c r="D745" s="30" t="s">
        <v>762</v>
      </c>
      <c r="E745" s="30" t="s">
        <v>924</v>
      </c>
      <c r="F745" s="31" t="s">
        <v>924</v>
      </c>
      <c r="G745" s="30" t="s">
        <v>26</v>
      </c>
      <c r="H745" s="30" t="s">
        <v>36</v>
      </c>
      <c r="I745" s="30">
        <v>3</v>
      </c>
      <c r="J745" s="30" t="s">
        <v>37</v>
      </c>
      <c r="K745" s="30" t="s">
        <v>38</v>
      </c>
      <c r="L745" s="32">
        <v>103.99885</v>
      </c>
      <c r="M745" s="32">
        <v>10.14822</v>
      </c>
      <c r="N745" s="32" t="s">
        <v>764</v>
      </c>
      <c r="O745" s="33">
        <v>0</v>
      </c>
      <c r="P745" s="30" t="s">
        <v>39</v>
      </c>
      <c r="Q745" s="30" t="s">
        <v>31</v>
      </c>
      <c r="R745" s="34" t="s">
        <v>47</v>
      </c>
      <c r="S745" s="35">
        <v>47601</v>
      </c>
      <c r="T745" s="36" t="s">
        <v>915</v>
      </c>
      <c r="U745" s="30" t="s">
        <v>915</v>
      </c>
      <c r="V745" s="37" t="e">
        <v>#N/A</v>
      </c>
      <c r="W745" s="31" t="s">
        <v>33</v>
      </c>
      <c r="X745" s="37"/>
      <c r="Y745" s="37">
        <f>COUNTIF(F:F,F745)</f>
        <v>1</v>
      </c>
      <c r="Z745" s="21" t="s">
        <v>1110</v>
      </c>
      <c r="AA745" s="21" t="s">
        <v>915</v>
      </c>
      <c r="AB745" s="21" t="s">
        <v>1121</v>
      </c>
    </row>
    <row r="746" spans="1:28" ht="13.9" customHeight="1" x14ac:dyDescent="0.3">
      <c r="A746" s="30" t="s">
        <v>20</v>
      </c>
      <c r="B746" s="30" t="s">
        <v>21</v>
      </c>
      <c r="C746" s="30" t="s">
        <v>761</v>
      </c>
      <c r="D746" s="30" t="s">
        <v>762</v>
      </c>
      <c r="E746" s="30" t="s">
        <v>914</v>
      </c>
      <c r="F746" s="31" t="s">
        <v>914</v>
      </c>
      <c r="G746" s="30" t="s">
        <v>26</v>
      </c>
      <c r="H746" s="30" t="s">
        <v>36</v>
      </c>
      <c r="I746" s="30">
        <v>4</v>
      </c>
      <c r="J746" s="30" t="s">
        <v>37</v>
      </c>
      <c r="K746" s="30" t="s">
        <v>38</v>
      </c>
      <c r="L746" s="32">
        <v>104.03277300000001</v>
      </c>
      <c r="M746" s="32">
        <v>10.151719</v>
      </c>
      <c r="N746" s="32" t="s">
        <v>764</v>
      </c>
      <c r="O746" s="33">
        <v>0</v>
      </c>
      <c r="P746" s="30" t="s">
        <v>39</v>
      </c>
      <c r="Q746" s="47" t="s">
        <v>31</v>
      </c>
      <c r="R746" s="34" t="s">
        <v>47</v>
      </c>
      <c r="S746" s="35">
        <v>47601</v>
      </c>
      <c r="T746" s="36" t="s">
        <v>915</v>
      </c>
      <c r="U746" s="30" t="s">
        <v>915</v>
      </c>
      <c r="V746" s="37" t="e">
        <v>#N/A</v>
      </c>
      <c r="W746" s="31" t="s">
        <v>33</v>
      </c>
      <c r="X746" s="37" t="s">
        <v>42</v>
      </c>
      <c r="Y746" s="37">
        <f>COUNTIF(F:F,F746)</f>
        <v>2</v>
      </c>
      <c r="Z746" s="21" t="s">
        <v>1110</v>
      </c>
      <c r="AA746" s="21" t="s">
        <v>915</v>
      </c>
      <c r="AB746" s="21" t="s">
        <v>1121</v>
      </c>
    </row>
    <row r="747" spans="1:28" s="23" customFormat="1" ht="13.9" customHeight="1" x14ac:dyDescent="0.3">
      <c r="A747" s="36" t="s">
        <v>20</v>
      </c>
      <c r="B747" s="36" t="s">
        <v>21</v>
      </c>
      <c r="C747" s="36" t="s">
        <v>761</v>
      </c>
      <c r="D747" s="36" t="s">
        <v>762</v>
      </c>
      <c r="E747" s="36" t="s">
        <v>916</v>
      </c>
      <c r="F747" s="31" t="s">
        <v>914</v>
      </c>
      <c r="G747" s="36" t="s">
        <v>26</v>
      </c>
      <c r="H747" s="36" t="s">
        <v>36</v>
      </c>
      <c r="I747" s="36">
        <v>3</v>
      </c>
      <c r="J747" s="36" t="s">
        <v>37</v>
      </c>
      <c r="K747" s="36" t="s">
        <v>38</v>
      </c>
      <c r="L747" s="38">
        <v>104.029511</v>
      </c>
      <c r="M747" s="38">
        <v>10.138978</v>
      </c>
      <c r="N747" s="38" t="s">
        <v>764</v>
      </c>
      <c r="O747" s="39">
        <v>0</v>
      </c>
      <c r="P747" s="36" t="s">
        <v>39</v>
      </c>
      <c r="Q747" s="30" t="s">
        <v>31</v>
      </c>
      <c r="R747" s="40" t="s">
        <v>47</v>
      </c>
      <c r="S747" s="35">
        <v>47601</v>
      </c>
      <c r="T747" s="36" t="s">
        <v>915</v>
      </c>
      <c r="U747" s="30" t="s">
        <v>915</v>
      </c>
      <c r="V747" s="37" t="e">
        <v>#N/A</v>
      </c>
      <c r="W747" s="31" t="s">
        <v>63</v>
      </c>
      <c r="X747" s="37" t="s">
        <v>52</v>
      </c>
      <c r="Y747" s="37">
        <f>COUNTIF(F:F,F747)</f>
        <v>2</v>
      </c>
      <c r="Z747" s="21" t="s">
        <v>1110</v>
      </c>
      <c r="AA747" s="21" t="s">
        <v>915</v>
      </c>
      <c r="AB747" s="21" t="s">
        <v>1121</v>
      </c>
    </row>
    <row r="748" spans="1:28" ht="13.9" customHeight="1" x14ac:dyDescent="0.3">
      <c r="A748" s="30" t="s">
        <v>20</v>
      </c>
      <c r="B748" s="30" t="s">
        <v>21</v>
      </c>
      <c r="C748" s="30" t="s">
        <v>761</v>
      </c>
      <c r="D748" s="30" t="s">
        <v>762</v>
      </c>
      <c r="E748" s="30" t="s">
        <v>918</v>
      </c>
      <c r="F748" s="31" t="s">
        <v>918</v>
      </c>
      <c r="G748" s="30" t="s">
        <v>26</v>
      </c>
      <c r="H748" s="30" t="s">
        <v>36</v>
      </c>
      <c r="I748" s="30">
        <v>3</v>
      </c>
      <c r="J748" s="30" t="s">
        <v>37</v>
      </c>
      <c r="K748" s="30" t="s">
        <v>38</v>
      </c>
      <c r="L748" s="32">
        <v>104.009832</v>
      </c>
      <c r="M748" s="32">
        <v>10.158704999999999</v>
      </c>
      <c r="N748" s="32" t="s">
        <v>764</v>
      </c>
      <c r="O748" s="33">
        <v>0</v>
      </c>
      <c r="P748" s="30" t="s">
        <v>39</v>
      </c>
      <c r="Q748" s="30" t="s">
        <v>31</v>
      </c>
      <c r="R748" s="34" t="s">
        <v>47</v>
      </c>
      <c r="S748" s="35">
        <v>47601</v>
      </c>
      <c r="T748" s="36" t="s">
        <v>915</v>
      </c>
      <c r="U748" s="30" t="s">
        <v>915</v>
      </c>
      <c r="V748" s="37" t="e">
        <v>#N/A</v>
      </c>
      <c r="W748" s="31" t="s">
        <v>33</v>
      </c>
      <c r="X748" s="37" t="s">
        <v>42</v>
      </c>
      <c r="Y748" s="37">
        <f>COUNTIF(F:F,F748)</f>
        <v>3</v>
      </c>
      <c r="Z748" s="21" t="s">
        <v>1110</v>
      </c>
      <c r="AA748" s="21" t="s">
        <v>915</v>
      </c>
      <c r="AB748" s="21" t="s">
        <v>1121</v>
      </c>
    </row>
    <row r="749" spans="1:28" ht="13.9" customHeight="1" x14ac:dyDescent="0.3">
      <c r="A749" s="36" t="s">
        <v>20</v>
      </c>
      <c r="B749" s="36" t="s">
        <v>21</v>
      </c>
      <c r="C749" s="36" t="s">
        <v>761</v>
      </c>
      <c r="D749" s="36" t="s">
        <v>762</v>
      </c>
      <c r="E749" s="36" t="s">
        <v>917</v>
      </c>
      <c r="F749" s="31" t="s">
        <v>918</v>
      </c>
      <c r="G749" s="36" t="s">
        <v>26</v>
      </c>
      <c r="H749" s="36" t="s">
        <v>36</v>
      </c>
      <c r="I749" s="36">
        <v>3</v>
      </c>
      <c r="J749" s="36" t="s">
        <v>26</v>
      </c>
      <c r="K749" s="36" t="s">
        <v>405</v>
      </c>
      <c r="L749" s="38">
        <v>103.997913</v>
      </c>
      <c r="M749" s="38">
        <v>10.157044000000001</v>
      </c>
      <c r="N749" s="38" t="s">
        <v>764</v>
      </c>
      <c r="O749" s="39">
        <v>0</v>
      </c>
      <c r="P749" s="36" t="s">
        <v>271</v>
      </c>
      <c r="Q749" s="30" t="s">
        <v>31</v>
      </c>
      <c r="R749" s="40" t="s">
        <v>47</v>
      </c>
      <c r="S749" s="35">
        <v>47601</v>
      </c>
      <c r="T749" s="36" t="s">
        <v>915</v>
      </c>
      <c r="U749" s="30" t="s">
        <v>915</v>
      </c>
      <c r="V749" s="37" t="e">
        <v>#N/A</v>
      </c>
      <c r="W749" s="31" t="s">
        <v>63</v>
      </c>
      <c r="X749" s="37" t="s">
        <v>52</v>
      </c>
      <c r="Y749" s="37">
        <f>COUNTIF(F:F,F749)</f>
        <v>3</v>
      </c>
      <c r="Z749" s="21" t="s">
        <v>1110</v>
      </c>
      <c r="AA749" s="21" t="s">
        <v>915</v>
      </c>
      <c r="AB749" s="21" t="s">
        <v>1121</v>
      </c>
    </row>
    <row r="750" spans="1:28" ht="13.9" customHeight="1" x14ac:dyDescent="0.3">
      <c r="A750" s="36" t="s">
        <v>20</v>
      </c>
      <c r="B750" s="36" t="s">
        <v>21</v>
      </c>
      <c r="C750" s="36" t="s">
        <v>761</v>
      </c>
      <c r="D750" s="36" t="s">
        <v>762</v>
      </c>
      <c r="E750" s="36" t="s">
        <v>919</v>
      </c>
      <c r="F750" s="31" t="s">
        <v>918</v>
      </c>
      <c r="G750" s="36" t="s">
        <v>26</v>
      </c>
      <c r="H750" s="36" t="s">
        <v>27</v>
      </c>
      <c r="I750" s="36">
        <v>3</v>
      </c>
      <c r="J750" s="36"/>
      <c r="K750" s="36"/>
      <c r="L750" s="38">
        <v>104.021394</v>
      </c>
      <c r="M750" s="38">
        <v>10.166320000000001</v>
      </c>
      <c r="N750" s="38" t="s">
        <v>764</v>
      </c>
      <c r="O750" s="39">
        <v>0</v>
      </c>
      <c r="P750" s="36" t="s">
        <v>30</v>
      </c>
      <c r="Q750" s="30" t="s">
        <v>31</v>
      </c>
      <c r="R750" s="40" t="s">
        <v>47</v>
      </c>
      <c r="S750" s="35">
        <v>47601</v>
      </c>
      <c r="T750" s="36" t="s">
        <v>915</v>
      </c>
      <c r="U750" s="30" t="s">
        <v>915</v>
      </c>
      <c r="V750" s="37" t="e">
        <v>#N/A</v>
      </c>
      <c r="W750" s="31" t="s">
        <v>63</v>
      </c>
      <c r="X750" s="37" t="s">
        <v>52</v>
      </c>
      <c r="Y750" s="37">
        <f>COUNTIF(F:F,F750)</f>
        <v>3</v>
      </c>
      <c r="Z750" s="21" t="s">
        <v>1110</v>
      </c>
      <c r="AA750" s="21" t="s">
        <v>915</v>
      </c>
      <c r="AB750" s="21" t="s">
        <v>1121</v>
      </c>
    </row>
    <row r="751" spans="1:28" ht="13.9" customHeight="1" x14ac:dyDescent="0.3">
      <c r="A751" s="30" t="s">
        <v>20</v>
      </c>
      <c r="B751" s="30" t="s">
        <v>21</v>
      </c>
      <c r="C751" s="30" t="s">
        <v>761</v>
      </c>
      <c r="D751" s="30" t="s">
        <v>762</v>
      </c>
      <c r="E751" s="30" t="s">
        <v>920</v>
      </c>
      <c r="F751" s="31" t="s">
        <v>920</v>
      </c>
      <c r="G751" s="30" t="s">
        <v>26</v>
      </c>
      <c r="H751" s="30" t="s">
        <v>36</v>
      </c>
      <c r="I751" s="30">
        <v>3</v>
      </c>
      <c r="J751" s="30" t="s">
        <v>37</v>
      </c>
      <c r="K751" s="30" t="s">
        <v>38</v>
      </c>
      <c r="L751" s="32">
        <v>104.008781</v>
      </c>
      <c r="M751" s="32">
        <v>10.119643999999999</v>
      </c>
      <c r="N751" s="32" t="s">
        <v>764</v>
      </c>
      <c r="O751" s="33">
        <v>0</v>
      </c>
      <c r="P751" s="30" t="s">
        <v>39</v>
      </c>
      <c r="Q751" s="30" t="s">
        <v>31</v>
      </c>
      <c r="R751" s="34" t="s">
        <v>47</v>
      </c>
      <c r="S751" s="35">
        <v>47601</v>
      </c>
      <c r="T751" s="36" t="s">
        <v>915</v>
      </c>
      <c r="U751" s="30" t="s">
        <v>915</v>
      </c>
      <c r="V751" s="37" t="e">
        <v>#N/A</v>
      </c>
      <c r="W751" s="31" t="s">
        <v>33</v>
      </c>
      <c r="X751" s="37" t="s">
        <v>42</v>
      </c>
      <c r="Y751" s="37">
        <f>COUNTIF(F:F,F751)</f>
        <v>3</v>
      </c>
      <c r="Z751" s="21" t="s">
        <v>1110</v>
      </c>
      <c r="AA751" s="21" t="s">
        <v>915</v>
      </c>
      <c r="AB751" s="21" t="s">
        <v>1121</v>
      </c>
    </row>
    <row r="752" spans="1:28" x14ac:dyDescent="0.3">
      <c r="A752" s="41" t="s">
        <v>20</v>
      </c>
      <c r="B752" s="41" t="s">
        <v>21</v>
      </c>
      <c r="C752" s="41" t="s">
        <v>761</v>
      </c>
      <c r="D752" s="41" t="s">
        <v>762</v>
      </c>
      <c r="E752" s="41" t="s">
        <v>921</v>
      </c>
      <c r="F752" s="31" t="s">
        <v>920</v>
      </c>
      <c r="G752" s="41" t="s">
        <v>26</v>
      </c>
      <c r="H752" s="36" t="s">
        <v>36</v>
      </c>
      <c r="I752" s="36">
        <v>3</v>
      </c>
      <c r="J752" s="36" t="s">
        <v>37</v>
      </c>
      <c r="K752" s="36" t="s">
        <v>38</v>
      </c>
      <c r="L752" s="38">
        <v>103.99773</v>
      </c>
      <c r="M752" s="38">
        <v>10.107419999999999</v>
      </c>
      <c r="N752" s="38" t="s">
        <v>764</v>
      </c>
      <c r="O752" s="39">
        <v>0</v>
      </c>
      <c r="P752" s="36" t="s">
        <v>39</v>
      </c>
      <c r="Q752" s="41" t="s">
        <v>31</v>
      </c>
      <c r="R752" s="42" t="s">
        <v>47</v>
      </c>
      <c r="S752" s="35">
        <v>47601</v>
      </c>
      <c r="T752" s="36" t="s">
        <v>922</v>
      </c>
      <c r="U752" s="30" t="s">
        <v>915</v>
      </c>
      <c r="V752" s="37" t="e">
        <v>#N/A</v>
      </c>
      <c r="W752" s="31" t="s">
        <v>63</v>
      </c>
      <c r="X752" s="37" t="s">
        <v>52</v>
      </c>
      <c r="Y752" s="37">
        <f>COUNTIF(F:F,F752)</f>
        <v>3</v>
      </c>
      <c r="Z752" s="21" t="s">
        <v>1110</v>
      </c>
      <c r="AA752" s="21" t="s">
        <v>915</v>
      </c>
      <c r="AB752" s="21" t="s">
        <v>1121</v>
      </c>
    </row>
    <row r="753" spans="1:28" ht="13.9" customHeight="1" x14ac:dyDescent="0.3">
      <c r="A753" s="36" t="s">
        <v>20</v>
      </c>
      <c r="B753" s="36" t="s">
        <v>21</v>
      </c>
      <c r="C753" s="36" t="s">
        <v>761</v>
      </c>
      <c r="D753" s="36" t="s">
        <v>762</v>
      </c>
      <c r="E753" s="36" t="s">
        <v>923</v>
      </c>
      <c r="F753" s="31" t="s">
        <v>920</v>
      </c>
      <c r="G753" s="36" t="s">
        <v>26</v>
      </c>
      <c r="H753" s="36" t="s">
        <v>36</v>
      </c>
      <c r="I753" s="36">
        <v>3</v>
      </c>
      <c r="J753" s="36" t="s">
        <v>37</v>
      </c>
      <c r="K753" s="36" t="s">
        <v>38</v>
      </c>
      <c r="L753" s="38">
        <v>104.01552599999999</v>
      </c>
      <c r="M753" s="38">
        <v>10.110225</v>
      </c>
      <c r="N753" s="38" t="s">
        <v>764</v>
      </c>
      <c r="O753" s="39">
        <v>0</v>
      </c>
      <c r="P753" s="36" t="s">
        <v>39</v>
      </c>
      <c r="Q753" s="30" t="s">
        <v>31</v>
      </c>
      <c r="R753" s="40" t="s">
        <v>47</v>
      </c>
      <c r="S753" s="35">
        <v>47601</v>
      </c>
      <c r="T753" s="36" t="s">
        <v>915</v>
      </c>
      <c r="U753" s="30" t="s">
        <v>915</v>
      </c>
      <c r="V753" s="37" t="e">
        <v>#N/A</v>
      </c>
      <c r="W753" s="31" t="s">
        <v>63</v>
      </c>
      <c r="X753" s="37" t="s">
        <v>52</v>
      </c>
      <c r="Y753" s="37">
        <f>COUNTIF(F:F,F753)</f>
        <v>3</v>
      </c>
      <c r="Z753" s="21" t="s">
        <v>1110</v>
      </c>
      <c r="AA753" s="21" t="s">
        <v>915</v>
      </c>
      <c r="AB753" s="21" t="s">
        <v>1121</v>
      </c>
    </row>
    <row r="754" spans="1:28" ht="13.9" customHeight="1" x14ac:dyDescent="0.3">
      <c r="A754" s="30" t="s">
        <v>20</v>
      </c>
      <c r="B754" s="30" t="s">
        <v>21</v>
      </c>
      <c r="C754" s="30" t="s">
        <v>761</v>
      </c>
      <c r="D754" s="30" t="s">
        <v>762</v>
      </c>
      <c r="E754" s="30" t="s">
        <v>925</v>
      </c>
      <c r="F754" s="31" t="s">
        <v>925</v>
      </c>
      <c r="G754" s="30" t="s">
        <v>26</v>
      </c>
      <c r="H754" s="30" t="s">
        <v>36</v>
      </c>
      <c r="I754" s="30">
        <v>3</v>
      </c>
      <c r="J754" s="30" t="s">
        <v>37</v>
      </c>
      <c r="K754" s="30" t="s">
        <v>38</v>
      </c>
      <c r="L754" s="32">
        <v>104.00706</v>
      </c>
      <c r="M754" s="32">
        <v>10.132605999999999</v>
      </c>
      <c r="N754" s="32" t="s">
        <v>764</v>
      </c>
      <c r="O754" s="33">
        <v>0</v>
      </c>
      <c r="P754" s="30" t="s">
        <v>39</v>
      </c>
      <c r="Q754" s="30" t="s">
        <v>31</v>
      </c>
      <c r="R754" s="34" t="s">
        <v>47</v>
      </c>
      <c r="S754" s="35">
        <v>47601</v>
      </c>
      <c r="T754" s="36" t="s">
        <v>915</v>
      </c>
      <c r="U754" s="30" t="s">
        <v>915</v>
      </c>
      <c r="V754" s="37" t="e">
        <v>#N/A</v>
      </c>
      <c r="W754" s="31" t="s">
        <v>33</v>
      </c>
      <c r="X754" s="37"/>
      <c r="Y754" s="37">
        <f>COUNTIF(F:F,F754)</f>
        <v>1</v>
      </c>
      <c r="Z754" s="21" t="s">
        <v>1110</v>
      </c>
      <c r="AA754" s="21" t="s">
        <v>915</v>
      </c>
      <c r="AB754" s="21" t="s">
        <v>1121</v>
      </c>
    </row>
    <row r="755" spans="1:28" s="22" customFormat="1" ht="13.9" customHeight="1" x14ac:dyDescent="0.3">
      <c r="A755" s="30" t="s">
        <v>20</v>
      </c>
      <c r="B755" s="30" t="s">
        <v>21</v>
      </c>
      <c r="C755" s="30" t="s">
        <v>761</v>
      </c>
      <c r="D755" s="30" t="s">
        <v>762</v>
      </c>
      <c r="E755" s="30" t="s">
        <v>926</v>
      </c>
      <c r="F755" s="31" t="s">
        <v>926</v>
      </c>
      <c r="G755" s="30" t="s">
        <v>26</v>
      </c>
      <c r="H755" s="30" t="s">
        <v>27</v>
      </c>
      <c r="I755" s="30">
        <v>3</v>
      </c>
      <c r="J755" s="30"/>
      <c r="K755" s="30"/>
      <c r="L755" s="32">
        <v>104.02912999999999</v>
      </c>
      <c r="M755" s="32">
        <v>10.11154</v>
      </c>
      <c r="N755" s="32" t="s">
        <v>764</v>
      </c>
      <c r="O755" s="33">
        <v>0</v>
      </c>
      <c r="P755" s="30" t="s">
        <v>30</v>
      </c>
      <c r="Q755" s="30" t="s">
        <v>31</v>
      </c>
      <c r="R755" s="34" t="s">
        <v>47</v>
      </c>
      <c r="S755" s="35">
        <v>47601</v>
      </c>
      <c r="T755" s="36" t="s">
        <v>915</v>
      </c>
      <c r="U755" s="30" t="s">
        <v>915</v>
      </c>
      <c r="V755" s="37" t="e">
        <v>#N/A</v>
      </c>
      <c r="W755" s="31" t="s">
        <v>33</v>
      </c>
      <c r="X755" s="37"/>
      <c r="Y755" s="37">
        <f>COUNTIF(F:F,F755)</f>
        <v>1</v>
      </c>
      <c r="Z755" s="21" t="s">
        <v>1110</v>
      </c>
      <c r="AA755" s="21" t="s">
        <v>915</v>
      </c>
      <c r="AB755" s="21" t="s">
        <v>1121</v>
      </c>
    </row>
    <row r="756" spans="1:28" s="22" customFormat="1" ht="13.9" customHeight="1" x14ac:dyDescent="0.3">
      <c r="A756" s="30" t="s">
        <v>20</v>
      </c>
      <c r="B756" s="30" t="s">
        <v>21</v>
      </c>
      <c r="C756" s="30" t="s">
        <v>761</v>
      </c>
      <c r="D756" s="30" t="s">
        <v>762</v>
      </c>
      <c r="E756" s="30" t="s">
        <v>928</v>
      </c>
      <c r="F756" s="31" t="s">
        <v>928</v>
      </c>
      <c r="G756" s="30" t="s">
        <v>26</v>
      </c>
      <c r="H756" s="30" t="s">
        <v>36</v>
      </c>
      <c r="I756" s="30">
        <v>3</v>
      </c>
      <c r="J756" s="30"/>
      <c r="K756" s="30"/>
      <c r="L756" s="32">
        <v>104.014</v>
      </c>
      <c r="M756" s="32">
        <v>10.0969</v>
      </c>
      <c r="N756" s="32" t="s">
        <v>764</v>
      </c>
      <c r="O756" s="33">
        <v>0</v>
      </c>
      <c r="P756" s="30" t="s">
        <v>169</v>
      </c>
      <c r="Q756" s="30" t="s">
        <v>31</v>
      </c>
      <c r="R756" s="34" t="s">
        <v>47</v>
      </c>
      <c r="S756" s="35">
        <v>47601</v>
      </c>
      <c r="T756" s="36" t="s">
        <v>929</v>
      </c>
      <c r="U756" s="30" t="s">
        <v>929</v>
      </c>
      <c r="V756" s="37" t="e">
        <v>#N/A</v>
      </c>
      <c r="W756" s="31" t="s">
        <v>33</v>
      </c>
      <c r="X756" s="37" t="s">
        <v>42</v>
      </c>
      <c r="Y756" s="37">
        <f>COUNTIF(F:F,F756)</f>
        <v>3</v>
      </c>
      <c r="Z756" s="21" t="s">
        <v>1108</v>
      </c>
      <c r="AA756" s="21" t="s">
        <v>929</v>
      </c>
      <c r="AB756" s="21" t="s">
        <v>1122</v>
      </c>
    </row>
    <row r="757" spans="1:28" ht="13.9" customHeight="1" x14ac:dyDescent="0.3">
      <c r="A757" s="36" t="s">
        <v>20</v>
      </c>
      <c r="B757" s="36" t="s">
        <v>21</v>
      </c>
      <c r="C757" s="36" t="s">
        <v>761</v>
      </c>
      <c r="D757" s="36" t="s">
        <v>762</v>
      </c>
      <c r="E757" s="36" t="s">
        <v>927</v>
      </c>
      <c r="F757" s="31" t="s">
        <v>928</v>
      </c>
      <c r="G757" s="36" t="s">
        <v>26</v>
      </c>
      <c r="H757" s="36" t="s">
        <v>36</v>
      </c>
      <c r="I757" s="36">
        <v>3</v>
      </c>
      <c r="J757" s="36" t="s">
        <v>37</v>
      </c>
      <c r="K757" s="36" t="s">
        <v>38</v>
      </c>
      <c r="L757" s="38">
        <v>104.000702</v>
      </c>
      <c r="M757" s="38">
        <v>10.090389999999999</v>
      </c>
      <c r="N757" s="38" t="s">
        <v>764</v>
      </c>
      <c r="O757" s="39">
        <v>0</v>
      </c>
      <c r="P757" s="36" t="s">
        <v>39</v>
      </c>
      <c r="Q757" s="30" t="s">
        <v>31</v>
      </c>
      <c r="R757" s="40" t="s">
        <v>47</v>
      </c>
      <c r="S757" s="35">
        <v>47601</v>
      </c>
      <c r="T757" s="36" t="s">
        <v>929</v>
      </c>
      <c r="U757" s="30" t="s">
        <v>929</v>
      </c>
      <c r="V757" s="37" t="e">
        <v>#N/A</v>
      </c>
      <c r="W757" s="31" t="s">
        <v>63</v>
      </c>
      <c r="X757" s="37" t="s">
        <v>52</v>
      </c>
      <c r="Y757" s="37">
        <f>COUNTIF(F:F,F757)</f>
        <v>3</v>
      </c>
      <c r="Z757" s="21" t="s">
        <v>1108</v>
      </c>
      <c r="AA757" s="21" t="s">
        <v>929</v>
      </c>
      <c r="AB757" s="21" t="s">
        <v>1122</v>
      </c>
    </row>
    <row r="758" spans="1:28" ht="13.9" customHeight="1" x14ac:dyDescent="0.3">
      <c r="A758" s="36" t="s">
        <v>20</v>
      </c>
      <c r="B758" s="36" t="s">
        <v>21</v>
      </c>
      <c r="C758" s="36" t="s">
        <v>761</v>
      </c>
      <c r="D758" s="36" t="s">
        <v>762</v>
      </c>
      <c r="E758" s="36" t="s">
        <v>930</v>
      </c>
      <c r="F758" s="31" t="s">
        <v>928</v>
      </c>
      <c r="G758" s="36" t="s">
        <v>26</v>
      </c>
      <c r="H758" s="36" t="s">
        <v>36</v>
      </c>
      <c r="I758" s="36">
        <v>3</v>
      </c>
      <c r="J758" s="36" t="s">
        <v>37</v>
      </c>
      <c r="K758" s="36" t="s">
        <v>38</v>
      </c>
      <c r="L758" s="38">
        <v>104.01406</v>
      </c>
      <c r="M758" s="38">
        <v>10.089600000000001</v>
      </c>
      <c r="N758" s="38" t="s">
        <v>764</v>
      </c>
      <c r="O758" s="39">
        <v>0</v>
      </c>
      <c r="P758" s="36" t="s">
        <v>39</v>
      </c>
      <c r="Q758" s="30" t="s">
        <v>31</v>
      </c>
      <c r="R758" s="40" t="s">
        <v>47</v>
      </c>
      <c r="S758" s="35">
        <v>47601</v>
      </c>
      <c r="T758" s="36" t="s">
        <v>929</v>
      </c>
      <c r="U758" s="30" t="s">
        <v>929</v>
      </c>
      <c r="V758" s="37" t="e">
        <v>#N/A</v>
      </c>
      <c r="W758" s="31" t="s">
        <v>63</v>
      </c>
      <c r="X758" s="37" t="s">
        <v>52</v>
      </c>
      <c r="Y758" s="37">
        <f>COUNTIF(F:F,F758)</f>
        <v>3</v>
      </c>
      <c r="Z758" s="21" t="s">
        <v>1108</v>
      </c>
      <c r="AA758" s="21" t="s">
        <v>929</v>
      </c>
      <c r="AB758" s="21" t="s">
        <v>1122</v>
      </c>
    </row>
    <row r="759" spans="1:28" ht="13.9" customHeight="1" x14ac:dyDescent="0.3">
      <c r="A759" s="30" t="s">
        <v>20</v>
      </c>
      <c r="B759" s="30" t="s">
        <v>21</v>
      </c>
      <c r="C759" s="30" t="s">
        <v>761</v>
      </c>
      <c r="D759" s="30" t="s">
        <v>762</v>
      </c>
      <c r="E759" s="30" t="s">
        <v>935</v>
      </c>
      <c r="F759" s="31" t="s">
        <v>935</v>
      </c>
      <c r="G759" s="30" t="s">
        <v>26</v>
      </c>
      <c r="H759" s="30" t="s">
        <v>36</v>
      </c>
      <c r="I759" s="30">
        <v>4</v>
      </c>
      <c r="J759" s="30" t="s">
        <v>37</v>
      </c>
      <c r="K759" s="30" t="s">
        <v>38</v>
      </c>
      <c r="L759" s="32">
        <v>103.9901</v>
      </c>
      <c r="M759" s="32">
        <v>10.071199999999999</v>
      </c>
      <c r="N759" s="32" t="s">
        <v>764</v>
      </c>
      <c r="O759" s="33">
        <v>0</v>
      </c>
      <c r="P759" s="30" t="s">
        <v>39</v>
      </c>
      <c r="Q759" s="30" t="s">
        <v>31</v>
      </c>
      <c r="R759" s="34" t="s">
        <v>47</v>
      </c>
      <c r="S759" s="35">
        <v>47601</v>
      </c>
      <c r="T759" s="36" t="s">
        <v>929</v>
      </c>
      <c r="U759" s="30" t="s">
        <v>929</v>
      </c>
      <c r="V759" s="37" t="e">
        <v>#N/A</v>
      </c>
      <c r="W759" s="31" t="s">
        <v>33</v>
      </c>
      <c r="X759" s="37"/>
      <c r="Y759" s="37">
        <f>COUNTIF(F:F,F759)</f>
        <v>1</v>
      </c>
      <c r="Z759" s="21" t="s">
        <v>1108</v>
      </c>
      <c r="AA759" s="21" t="s">
        <v>929</v>
      </c>
      <c r="AB759" s="21" t="s">
        <v>1122</v>
      </c>
    </row>
    <row r="760" spans="1:28" ht="13.9" customHeight="1" x14ac:dyDescent="0.3">
      <c r="A760" s="30" t="s">
        <v>20</v>
      </c>
      <c r="B760" s="30" t="s">
        <v>21</v>
      </c>
      <c r="C760" s="30" t="s">
        <v>761</v>
      </c>
      <c r="D760" s="30" t="s">
        <v>762</v>
      </c>
      <c r="E760" s="30" t="s">
        <v>938</v>
      </c>
      <c r="F760" s="31" t="s">
        <v>938</v>
      </c>
      <c r="G760" s="30" t="s">
        <v>26</v>
      </c>
      <c r="H760" s="30" t="s">
        <v>36</v>
      </c>
      <c r="I760" s="30">
        <v>4</v>
      </c>
      <c r="J760" s="30" t="s">
        <v>37</v>
      </c>
      <c r="K760" s="30" t="s">
        <v>38</v>
      </c>
      <c r="L760" s="32">
        <v>104.017718</v>
      </c>
      <c r="M760" s="32">
        <v>10.074078999999999</v>
      </c>
      <c r="N760" s="32" t="s">
        <v>764</v>
      </c>
      <c r="O760" s="33">
        <v>0</v>
      </c>
      <c r="P760" s="30" t="s">
        <v>39</v>
      </c>
      <c r="Q760" s="30" t="s">
        <v>31</v>
      </c>
      <c r="R760" s="34" t="s">
        <v>47</v>
      </c>
      <c r="S760" s="35">
        <v>47601</v>
      </c>
      <c r="T760" s="36" t="s">
        <v>929</v>
      </c>
      <c r="U760" s="30" t="s">
        <v>929</v>
      </c>
      <c r="V760" s="37" t="e">
        <v>#N/A</v>
      </c>
      <c r="W760" s="31" t="s">
        <v>33</v>
      </c>
      <c r="X760" s="37"/>
      <c r="Y760" s="37">
        <f>COUNTIF(F:F,F760)</f>
        <v>1</v>
      </c>
      <c r="Z760" s="21" t="s">
        <v>1108</v>
      </c>
      <c r="AA760" s="21" t="s">
        <v>929</v>
      </c>
      <c r="AB760" s="21" t="s">
        <v>1122</v>
      </c>
    </row>
    <row r="761" spans="1:28" ht="13.9" customHeight="1" x14ac:dyDescent="0.3">
      <c r="A761" s="30" t="s">
        <v>20</v>
      </c>
      <c r="B761" s="30" t="s">
        <v>21</v>
      </c>
      <c r="C761" s="30" t="s">
        <v>761</v>
      </c>
      <c r="D761" s="30" t="s">
        <v>762</v>
      </c>
      <c r="E761" s="30" t="s">
        <v>931</v>
      </c>
      <c r="F761" s="31" t="s">
        <v>931</v>
      </c>
      <c r="G761" s="30" t="s">
        <v>26</v>
      </c>
      <c r="H761" s="30" t="s">
        <v>36</v>
      </c>
      <c r="I761" s="30">
        <v>4</v>
      </c>
      <c r="J761" s="30" t="s">
        <v>37</v>
      </c>
      <c r="K761" s="30" t="s">
        <v>38</v>
      </c>
      <c r="L761" s="32">
        <v>104.00391999999999</v>
      </c>
      <c r="M761" s="32">
        <v>10.056699999999999</v>
      </c>
      <c r="N761" s="32" t="s">
        <v>764</v>
      </c>
      <c r="O761" s="33">
        <v>0</v>
      </c>
      <c r="P761" s="30" t="s">
        <v>39</v>
      </c>
      <c r="Q761" s="30" t="s">
        <v>31</v>
      </c>
      <c r="R761" s="34" t="s">
        <v>47</v>
      </c>
      <c r="S761" s="35">
        <v>47601</v>
      </c>
      <c r="T761" s="36" t="s">
        <v>932</v>
      </c>
      <c r="U761" s="30" t="s">
        <v>929</v>
      </c>
      <c r="V761" s="37" t="e">
        <v>#N/A</v>
      </c>
      <c r="W761" s="31" t="s">
        <v>33</v>
      </c>
      <c r="X761" s="37" t="s">
        <v>42</v>
      </c>
      <c r="Y761" s="37">
        <f>COUNTIF(F:F,F761)</f>
        <v>3</v>
      </c>
      <c r="Z761" s="21" t="s">
        <v>1108</v>
      </c>
      <c r="AA761" s="21" t="s">
        <v>929</v>
      </c>
      <c r="AB761" s="21" t="s">
        <v>1122</v>
      </c>
    </row>
    <row r="762" spans="1:28" ht="13.9" customHeight="1" x14ac:dyDescent="0.3">
      <c r="A762" s="36" t="s">
        <v>20</v>
      </c>
      <c r="B762" s="36" t="s">
        <v>21</v>
      </c>
      <c r="C762" s="36" t="s">
        <v>761</v>
      </c>
      <c r="D762" s="36" t="s">
        <v>762</v>
      </c>
      <c r="E762" s="36" t="s">
        <v>933</v>
      </c>
      <c r="F762" s="31" t="s">
        <v>931</v>
      </c>
      <c r="G762" s="36" t="s">
        <v>26</v>
      </c>
      <c r="H762" s="36" t="s">
        <v>36</v>
      </c>
      <c r="I762" s="36">
        <v>3</v>
      </c>
      <c r="J762" s="36"/>
      <c r="K762" s="36"/>
      <c r="L762" s="38">
        <v>104.009539</v>
      </c>
      <c r="M762" s="38">
        <v>10.065816</v>
      </c>
      <c r="N762" s="38" t="s">
        <v>764</v>
      </c>
      <c r="O762" s="39">
        <v>0</v>
      </c>
      <c r="P762" s="36" t="s">
        <v>109</v>
      </c>
      <c r="Q762" s="30" t="s">
        <v>31</v>
      </c>
      <c r="R762" s="40" t="s">
        <v>47</v>
      </c>
      <c r="S762" s="35">
        <v>47601</v>
      </c>
      <c r="T762" s="36" t="s">
        <v>929</v>
      </c>
      <c r="U762" s="30" t="s">
        <v>929</v>
      </c>
      <c r="V762" s="37" t="e">
        <v>#N/A</v>
      </c>
      <c r="W762" s="31" t="s">
        <v>63</v>
      </c>
      <c r="X762" s="37" t="s">
        <v>52</v>
      </c>
      <c r="Y762" s="37">
        <f>COUNTIF(F:F,F762)</f>
        <v>3</v>
      </c>
      <c r="Z762" s="21" t="s">
        <v>1108</v>
      </c>
      <c r="AA762" s="21" t="s">
        <v>929</v>
      </c>
      <c r="AB762" s="21" t="s">
        <v>1122</v>
      </c>
    </row>
    <row r="763" spans="1:28" s="22" customFormat="1" ht="13.9" customHeight="1" x14ac:dyDescent="0.3">
      <c r="A763" s="41" t="s">
        <v>20</v>
      </c>
      <c r="B763" s="41" t="s">
        <v>21</v>
      </c>
      <c r="C763" s="41" t="s">
        <v>761</v>
      </c>
      <c r="D763" s="41" t="s">
        <v>762</v>
      </c>
      <c r="E763" s="41" t="s">
        <v>934</v>
      </c>
      <c r="F763" s="31" t="s">
        <v>931</v>
      </c>
      <c r="G763" s="41" t="s">
        <v>26</v>
      </c>
      <c r="H763" s="36" t="s">
        <v>36</v>
      </c>
      <c r="I763" s="36">
        <v>3</v>
      </c>
      <c r="J763" s="36" t="s">
        <v>37</v>
      </c>
      <c r="K763" s="36" t="s">
        <v>38</v>
      </c>
      <c r="L763" s="38">
        <v>104.00096000000001</v>
      </c>
      <c r="M763" s="38">
        <v>10.044964999999999</v>
      </c>
      <c r="N763" s="38" t="s">
        <v>764</v>
      </c>
      <c r="O763" s="39">
        <v>0</v>
      </c>
      <c r="P763" s="36" t="s">
        <v>39</v>
      </c>
      <c r="Q763" s="41" t="s">
        <v>31</v>
      </c>
      <c r="R763" s="42" t="s">
        <v>47</v>
      </c>
      <c r="S763" s="35">
        <v>47601</v>
      </c>
      <c r="T763" s="36" t="s">
        <v>932</v>
      </c>
      <c r="U763" s="30" t="s">
        <v>929</v>
      </c>
      <c r="V763" s="37" t="e">
        <v>#N/A</v>
      </c>
      <c r="W763" s="31" t="s">
        <v>63</v>
      </c>
      <c r="X763" s="37" t="s">
        <v>52</v>
      </c>
      <c r="Y763" s="37">
        <f>COUNTIF(F:F,F763)</f>
        <v>3</v>
      </c>
      <c r="Z763" s="21" t="s">
        <v>1108</v>
      </c>
      <c r="AA763" s="21" t="s">
        <v>929</v>
      </c>
      <c r="AB763" s="21" t="s">
        <v>1122</v>
      </c>
    </row>
    <row r="764" spans="1:28" ht="13.9" customHeight="1" x14ac:dyDescent="0.3">
      <c r="A764" s="30" t="s">
        <v>20</v>
      </c>
      <c r="B764" s="30" t="s">
        <v>21</v>
      </c>
      <c r="C764" s="30" t="s">
        <v>761</v>
      </c>
      <c r="D764" s="30" t="s">
        <v>762</v>
      </c>
      <c r="E764" s="30" t="s">
        <v>936</v>
      </c>
      <c r="F764" s="31" t="s">
        <v>936</v>
      </c>
      <c r="G764" s="30" t="s">
        <v>26</v>
      </c>
      <c r="H764" s="30" t="s">
        <v>36</v>
      </c>
      <c r="I764" s="30">
        <v>3</v>
      </c>
      <c r="J764" s="30" t="s">
        <v>37</v>
      </c>
      <c r="K764" s="30" t="s">
        <v>38</v>
      </c>
      <c r="L764" s="32">
        <v>104.00125</v>
      </c>
      <c r="M764" s="32">
        <v>10.0749</v>
      </c>
      <c r="N764" s="32" t="s">
        <v>764</v>
      </c>
      <c r="O764" s="33">
        <v>0</v>
      </c>
      <c r="P764" s="30" t="s">
        <v>39</v>
      </c>
      <c r="Q764" s="30" t="s">
        <v>31</v>
      </c>
      <c r="R764" s="34" t="s">
        <v>47</v>
      </c>
      <c r="S764" s="35">
        <v>47601</v>
      </c>
      <c r="T764" s="36" t="s">
        <v>929</v>
      </c>
      <c r="U764" s="30" t="s">
        <v>929</v>
      </c>
      <c r="V764" s="37" t="e">
        <v>#N/A</v>
      </c>
      <c r="W764" s="31" t="s">
        <v>33</v>
      </c>
      <c r="X764" s="37"/>
      <c r="Y764" s="37">
        <f>COUNTIF(F:F,F764)</f>
        <v>1</v>
      </c>
      <c r="Z764" s="21" t="s">
        <v>1108</v>
      </c>
      <c r="AA764" s="21" t="s">
        <v>929</v>
      </c>
      <c r="AB764" s="21" t="s">
        <v>1122</v>
      </c>
    </row>
    <row r="765" spans="1:28" ht="13.9" customHeight="1" x14ac:dyDescent="0.3">
      <c r="A765" s="30" t="s">
        <v>20</v>
      </c>
      <c r="B765" s="30" t="s">
        <v>21</v>
      </c>
      <c r="C765" s="30" t="s">
        <v>761</v>
      </c>
      <c r="D765" s="30" t="s">
        <v>762</v>
      </c>
      <c r="E765" s="30" t="s">
        <v>937</v>
      </c>
      <c r="F765" s="31" t="s">
        <v>937</v>
      </c>
      <c r="G765" s="30" t="s">
        <v>26</v>
      </c>
      <c r="H765" s="30" t="s">
        <v>36</v>
      </c>
      <c r="I765" s="30">
        <v>3</v>
      </c>
      <c r="J765" s="30"/>
      <c r="K765" s="30"/>
      <c r="L765" s="32">
        <v>103.99378</v>
      </c>
      <c r="M765" s="32">
        <v>10.060402</v>
      </c>
      <c r="N765" s="32" t="s">
        <v>764</v>
      </c>
      <c r="O765" s="33">
        <v>0</v>
      </c>
      <c r="P765" s="30" t="s">
        <v>109</v>
      </c>
      <c r="Q765" s="30" t="s">
        <v>31</v>
      </c>
      <c r="R765" s="34" t="s">
        <v>47</v>
      </c>
      <c r="S765" s="35">
        <v>47601</v>
      </c>
      <c r="T765" s="36" t="s">
        <v>929</v>
      </c>
      <c r="U765" s="30" t="s">
        <v>929</v>
      </c>
      <c r="V765" s="37" t="e">
        <v>#N/A</v>
      </c>
      <c r="W765" s="31" t="s">
        <v>33</v>
      </c>
      <c r="X765" s="37"/>
      <c r="Y765" s="37">
        <f>COUNTIF(F:F,F765)</f>
        <v>1</v>
      </c>
      <c r="Z765" s="21" t="s">
        <v>1108</v>
      </c>
      <c r="AA765" s="21" t="s">
        <v>929</v>
      </c>
      <c r="AB765" s="21" t="s">
        <v>1122</v>
      </c>
    </row>
    <row r="766" spans="1:28" ht="13.9" customHeight="1" x14ac:dyDescent="0.3">
      <c r="A766" s="30" t="s">
        <v>20</v>
      </c>
      <c r="B766" s="30" t="s">
        <v>21</v>
      </c>
      <c r="C766" s="30" t="s">
        <v>761</v>
      </c>
      <c r="D766" s="30" t="s">
        <v>762</v>
      </c>
      <c r="E766" s="30" t="s">
        <v>954</v>
      </c>
      <c r="F766" s="31" t="s">
        <v>954</v>
      </c>
      <c r="G766" s="30" t="s">
        <v>26</v>
      </c>
      <c r="H766" s="30" t="s">
        <v>36</v>
      </c>
      <c r="I766" s="30">
        <v>4</v>
      </c>
      <c r="J766" s="30" t="s">
        <v>37</v>
      </c>
      <c r="K766" s="30" t="s">
        <v>38</v>
      </c>
      <c r="L766" s="32">
        <v>104.0184</v>
      </c>
      <c r="M766" s="32">
        <v>10.0572</v>
      </c>
      <c r="N766" s="32" t="s">
        <v>764</v>
      </c>
      <c r="O766" s="33">
        <v>0</v>
      </c>
      <c r="P766" s="30" t="s">
        <v>39</v>
      </c>
      <c r="Q766" s="30" t="s">
        <v>31</v>
      </c>
      <c r="R766" s="34" t="s">
        <v>47</v>
      </c>
      <c r="S766" s="35">
        <v>47601</v>
      </c>
      <c r="T766" s="36" t="s">
        <v>941</v>
      </c>
      <c r="U766" s="30" t="s">
        <v>941</v>
      </c>
      <c r="V766" s="37" t="e">
        <v>#N/A</v>
      </c>
      <c r="W766" s="31" t="s">
        <v>33</v>
      </c>
      <c r="X766" s="37"/>
      <c r="Y766" s="37">
        <f>COUNTIF(F:F,F766)</f>
        <v>1</v>
      </c>
      <c r="Z766" s="21" t="s">
        <v>1108</v>
      </c>
      <c r="AA766" s="21" t="s">
        <v>941</v>
      </c>
      <c r="AB766" s="21" t="s">
        <v>1122</v>
      </c>
    </row>
    <row r="767" spans="1:28" ht="13.9" customHeight="1" x14ac:dyDescent="0.3">
      <c r="A767" s="30" t="s">
        <v>20</v>
      </c>
      <c r="B767" s="30" t="s">
        <v>21</v>
      </c>
      <c r="C767" s="30" t="s">
        <v>761</v>
      </c>
      <c r="D767" s="30" t="s">
        <v>762</v>
      </c>
      <c r="E767" s="30" t="s">
        <v>953</v>
      </c>
      <c r="F767" s="31" t="s">
        <v>953</v>
      </c>
      <c r="G767" s="30" t="s">
        <v>26</v>
      </c>
      <c r="H767" s="30" t="s">
        <v>36</v>
      </c>
      <c r="I767" s="30">
        <v>4</v>
      </c>
      <c r="J767" s="30" t="s">
        <v>26</v>
      </c>
      <c r="K767" s="30" t="s">
        <v>405</v>
      </c>
      <c r="L767" s="32">
        <v>104.01703000000001</v>
      </c>
      <c r="M767" s="32">
        <v>10.0444</v>
      </c>
      <c r="N767" s="32" t="s">
        <v>764</v>
      </c>
      <c r="O767" s="33">
        <v>0</v>
      </c>
      <c r="P767" s="30" t="s">
        <v>271</v>
      </c>
      <c r="Q767" s="30" t="s">
        <v>31</v>
      </c>
      <c r="R767" s="34" t="s">
        <v>47</v>
      </c>
      <c r="S767" s="35">
        <v>47601</v>
      </c>
      <c r="T767" s="36" t="s">
        <v>941</v>
      </c>
      <c r="U767" s="30" t="s">
        <v>941</v>
      </c>
      <c r="V767" s="37" t="e">
        <v>#N/A</v>
      </c>
      <c r="W767" s="31" t="s">
        <v>33</v>
      </c>
      <c r="X767" s="37"/>
      <c r="Y767" s="37">
        <f>COUNTIF(F:F,F767)</f>
        <v>1</v>
      </c>
      <c r="Z767" s="21" t="s">
        <v>1108</v>
      </c>
      <c r="AA767" s="21" t="s">
        <v>941</v>
      </c>
      <c r="AB767" s="21" t="s">
        <v>1122</v>
      </c>
    </row>
    <row r="768" spans="1:28" ht="13.9" customHeight="1" x14ac:dyDescent="0.3">
      <c r="A768" s="30" t="s">
        <v>20</v>
      </c>
      <c r="B768" s="30" t="s">
        <v>21</v>
      </c>
      <c r="C768" s="30" t="s">
        <v>761</v>
      </c>
      <c r="D768" s="30" t="s">
        <v>762</v>
      </c>
      <c r="E768" s="30" t="s">
        <v>939</v>
      </c>
      <c r="F768" s="31" t="s">
        <v>940</v>
      </c>
      <c r="G768" s="30" t="s">
        <v>26</v>
      </c>
      <c r="H768" s="30" t="s">
        <v>36</v>
      </c>
      <c r="I768" s="30">
        <v>3</v>
      </c>
      <c r="J768" s="30" t="s">
        <v>37</v>
      </c>
      <c r="K768" s="30" t="s">
        <v>38</v>
      </c>
      <c r="L768" s="32">
        <v>104.02970000000001</v>
      </c>
      <c r="M768" s="32">
        <v>10.05739</v>
      </c>
      <c r="N768" s="32" t="s">
        <v>764</v>
      </c>
      <c r="O768" s="33">
        <v>0</v>
      </c>
      <c r="P768" s="30" t="s">
        <v>39</v>
      </c>
      <c r="Q768" s="30" t="s">
        <v>31</v>
      </c>
      <c r="R768" s="34" t="s">
        <v>47</v>
      </c>
      <c r="S768" s="35">
        <v>47601</v>
      </c>
      <c r="T768" s="36" t="s">
        <v>941</v>
      </c>
      <c r="U768" s="30" t="s">
        <v>941</v>
      </c>
      <c r="V768" s="37" t="e">
        <v>#N/A</v>
      </c>
      <c r="W768" s="31" t="s">
        <v>33</v>
      </c>
      <c r="X768" s="37" t="s">
        <v>42</v>
      </c>
      <c r="Y768" s="37">
        <f>COUNTIF(F:F,F768)</f>
        <v>3</v>
      </c>
      <c r="Z768" s="21" t="s">
        <v>1108</v>
      </c>
      <c r="AA768" s="21" t="s">
        <v>941</v>
      </c>
      <c r="AB768" s="21" t="s">
        <v>1122</v>
      </c>
    </row>
    <row r="769" spans="1:28" ht="13.9" customHeight="1" x14ac:dyDescent="0.3">
      <c r="A769" s="30" t="s">
        <v>20</v>
      </c>
      <c r="B769" s="30" t="s">
        <v>21</v>
      </c>
      <c r="C769" s="30" t="s">
        <v>761</v>
      </c>
      <c r="D769" s="30" t="s">
        <v>762</v>
      </c>
      <c r="E769" s="43" t="s">
        <v>944</v>
      </c>
      <c r="F769" s="31" t="s">
        <v>940</v>
      </c>
      <c r="G769" s="30" t="s">
        <v>26</v>
      </c>
      <c r="H769" s="30" t="s">
        <v>36</v>
      </c>
      <c r="I769" s="30">
        <v>3</v>
      </c>
      <c r="J769" s="30"/>
      <c r="K769" s="30"/>
      <c r="L769" s="44">
        <v>104.034926</v>
      </c>
      <c r="M769" s="44">
        <v>10.056708</v>
      </c>
      <c r="N769" s="32" t="s">
        <v>945</v>
      </c>
      <c r="O769" s="33">
        <v>0</v>
      </c>
      <c r="P769" s="45" t="s">
        <v>946</v>
      </c>
      <c r="Q769" s="30"/>
      <c r="R769" s="46"/>
      <c r="S769" s="35">
        <v>47601</v>
      </c>
      <c r="T769" s="36" t="s">
        <v>943</v>
      </c>
      <c r="U769" s="30" t="s">
        <v>941</v>
      </c>
      <c r="V769" s="37" t="e">
        <v>#N/A</v>
      </c>
      <c r="W769" s="31" t="s">
        <v>63</v>
      </c>
      <c r="X769" s="37" t="s">
        <v>52</v>
      </c>
      <c r="Y769" s="37">
        <f>COUNTIF(F:F,F769)</f>
        <v>3</v>
      </c>
      <c r="Z769" s="21" t="s">
        <v>1108</v>
      </c>
      <c r="AA769" s="21" t="s">
        <v>941</v>
      </c>
      <c r="AB769" s="21" t="s">
        <v>1122</v>
      </c>
    </row>
    <row r="770" spans="1:28" ht="13.9" customHeight="1" x14ac:dyDescent="0.3">
      <c r="A770" s="41" t="s">
        <v>20</v>
      </c>
      <c r="B770" s="41" t="s">
        <v>21</v>
      </c>
      <c r="C770" s="41" t="s">
        <v>761</v>
      </c>
      <c r="D770" s="41" t="s">
        <v>762</v>
      </c>
      <c r="E770" s="41" t="s">
        <v>942</v>
      </c>
      <c r="F770" s="31" t="s">
        <v>940</v>
      </c>
      <c r="G770" s="41" t="s">
        <v>26</v>
      </c>
      <c r="H770" s="36" t="s">
        <v>36</v>
      </c>
      <c r="I770" s="36">
        <v>4</v>
      </c>
      <c r="J770" s="36" t="s">
        <v>37</v>
      </c>
      <c r="K770" s="36" t="s">
        <v>38</v>
      </c>
      <c r="L770" s="38">
        <v>104.02961000000001</v>
      </c>
      <c r="M770" s="38">
        <v>10.068820000000001</v>
      </c>
      <c r="N770" s="38" t="s">
        <v>764</v>
      </c>
      <c r="O770" s="39">
        <v>0</v>
      </c>
      <c r="P770" s="36" t="s">
        <v>39</v>
      </c>
      <c r="Q770" s="41" t="s">
        <v>31</v>
      </c>
      <c r="R770" s="42" t="s">
        <v>47</v>
      </c>
      <c r="S770" s="35">
        <v>47601</v>
      </c>
      <c r="T770" s="36" t="s">
        <v>943</v>
      </c>
      <c r="U770" s="30" t="s">
        <v>941</v>
      </c>
      <c r="V770" s="37" t="e">
        <v>#N/A</v>
      </c>
      <c r="W770" s="31" t="s">
        <v>63</v>
      </c>
      <c r="X770" s="37" t="s">
        <v>52</v>
      </c>
      <c r="Y770" s="37">
        <f>COUNTIF(F:F,F770)</f>
        <v>3</v>
      </c>
      <c r="Z770" s="21" t="s">
        <v>1108</v>
      </c>
      <c r="AA770" s="21" t="s">
        <v>941</v>
      </c>
      <c r="AB770" s="21" t="s">
        <v>1122</v>
      </c>
    </row>
    <row r="771" spans="1:28" ht="13.9" customHeight="1" x14ac:dyDescent="0.3">
      <c r="A771" s="30" t="s">
        <v>20</v>
      </c>
      <c r="B771" s="30" t="s">
        <v>21</v>
      </c>
      <c r="C771" s="30" t="s">
        <v>761</v>
      </c>
      <c r="D771" s="30" t="s">
        <v>762</v>
      </c>
      <c r="E771" s="30" t="s">
        <v>947</v>
      </c>
      <c r="F771" s="31" t="s">
        <v>947</v>
      </c>
      <c r="G771" s="30" t="s">
        <v>26</v>
      </c>
      <c r="H771" s="30" t="s">
        <v>36</v>
      </c>
      <c r="I771" s="30">
        <v>4</v>
      </c>
      <c r="J771" s="30" t="s">
        <v>37</v>
      </c>
      <c r="K771" s="30" t="s">
        <v>38</v>
      </c>
      <c r="L771" s="32">
        <v>104.0072</v>
      </c>
      <c r="M771" s="32">
        <v>10.03412</v>
      </c>
      <c r="N771" s="32" t="s">
        <v>764</v>
      </c>
      <c r="O771" s="33">
        <v>0</v>
      </c>
      <c r="P771" s="30" t="s">
        <v>39</v>
      </c>
      <c r="Q771" s="30" t="s">
        <v>31</v>
      </c>
      <c r="R771" s="34" t="s">
        <v>47</v>
      </c>
      <c r="S771" s="35">
        <v>47601</v>
      </c>
      <c r="T771" s="36" t="s">
        <v>941</v>
      </c>
      <c r="U771" s="30" t="s">
        <v>941</v>
      </c>
      <c r="V771" s="37" t="e">
        <v>#N/A</v>
      </c>
      <c r="W771" s="31" t="s">
        <v>33</v>
      </c>
      <c r="X771" s="37" t="s">
        <v>42</v>
      </c>
      <c r="Y771" s="37">
        <f>COUNTIF(F:F,F771)</f>
        <v>3</v>
      </c>
      <c r="Z771" s="21" t="s">
        <v>1108</v>
      </c>
      <c r="AA771" s="21" t="s">
        <v>941</v>
      </c>
      <c r="AB771" s="21" t="s">
        <v>1122</v>
      </c>
    </row>
    <row r="772" spans="1:28" ht="13.9" customHeight="1" x14ac:dyDescent="0.3">
      <c r="A772" s="41" t="s">
        <v>20</v>
      </c>
      <c r="B772" s="41" t="s">
        <v>21</v>
      </c>
      <c r="C772" s="41" t="s">
        <v>761</v>
      </c>
      <c r="D772" s="41" t="s">
        <v>762</v>
      </c>
      <c r="E772" s="41" t="s">
        <v>948</v>
      </c>
      <c r="F772" s="31" t="s">
        <v>947</v>
      </c>
      <c r="G772" s="41" t="s">
        <v>26</v>
      </c>
      <c r="H772" s="36" t="s">
        <v>27</v>
      </c>
      <c r="I772" s="36">
        <v>3</v>
      </c>
      <c r="J772" s="36"/>
      <c r="K772" s="36"/>
      <c r="L772" s="38">
        <v>104.006539</v>
      </c>
      <c r="M772" s="38">
        <v>10.038486000000001</v>
      </c>
      <c r="N772" s="38" t="s">
        <v>764</v>
      </c>
      <c r="O772" s="39">
        <v>0</v>
      </c>
      <c r="P772" s="36" t="s">
        <v>30</v>
      </c>
      <c r="Q772" s="41" t="s">
        <v>787</v>
      </c>
      <c r="R772" s="42" t="s">
        <v>47</v>
      </c>
      <c r="S772" s="35">
        <v>47601</v>
      </c>
      <c r="T772" s="36" t="s">
        <v>941</v>
      </c>
      <c r="U772" s="30" t="s">
        <v>941</v>
      </c>
      <c r="V772" s="37" t="e">
        <v>#N/A</v>
      </c>
      <c r="W772" s="31" t="s">
        <v>768</v>
      </c>
      <c r="X772" s="37" t="s">
        <v>52</v>
      </c>
      <c r="Y772" s="37">
        <f>COUNTIF(F:F,F772)</f>
        <v>3</v>
      </c>
      <c r="Z772" s="21" t="s">
        <v>1108</v>
      </c>
      <c r="AA772" s="21" t="s">
        <v>941</v>
      </c>
      <c r="AB772" s="21" t="s">
        <v>1122</v>
      </c>
    </row>
    <row r="773" spans="1:28" ht="13.9" customHeight="1" x14ac:dyDescent="0.3">
      <c r="A773" s="36" t="s">
        <v>20</v>
      </c>
      <c r="B773" s="36" t="s">
        <v>21</v>
      </c>
      <c r="C773" s="36" t="s">
        <v>761</v>
      </c>
      <c r="D773" s="36" t="s">
        <v>762</v>
      </c>
      <c r="E773" s="36" t="s">
        <v>949</v>
      </c>
      <c r="F773" s="31" t="s">
        <v>947</v>
      </c>
      <c r="G773" s="36" t="s">
        <v>26</v>
      </c>
      <c r="H773" s="36" t="s">
        <v>27</v>
      </c>
      <c r="I773" s="36">
        <v>3</v>
      </c>
      <c r="J773" s="36"/>
      <c r="K773" s="36"/>
      <c r="L773" s="38">
        <v>104.002674</v>
      </c>
      <c r="M773" s="38">
        <v>10.035204999999999</v>
      </c>
      <c r="N773" s="38" t="s">
        <v>764</v>
      </c>
      <c r="O773" s="39">
        <v>0</v>
      </c>
      <c r="P773" s="36" t="s">
        <v>30</v>
      </c>
      <c r="Q773" s="30" t="s">
        <v>31</v>
      </c>
      <c r="R773" s="40" t="s">
        <v>47</v>
      </c>
      <c r="S773" s="35">
        <v>47601</v>
      </c>
      <c r="T773" s="36" t="s">
        <v>941</v>
      </c>
      <c r="U773" s="30" t="s">
        <v>941</v>
      </c>
      <c r="V773" s="37" t="e">
        <v>#N/A</v>
      </c>
      <c r="W773" s="31" t="s">
        <v>63</v>
      </c>
      <c r="X773" s="37" t="s">
        <v>52</v>
      </c>
      <c r="Y773" s="37">
        <f>COUNTIF(F:F,F773)</f>
        <v>3</v>
      </c>
      <c r="Z773" s="21" t="s">
        <v>1108</v>
      </c>
      <c r="AA773" s="21" t="s">
        <v>941</v>
      </c>
      <c r="AB773" s="21" t="s">
        <v>1122</v>
      </c>
    </row>
    <row r="774" spans="1:28" ht="13.9" customHeight="1" x14ac:dyDescent="0.3">
      <c r="A774" s="45" t="s">
        <v>20</v>
      </c>
      <c r="B774" s="45" t="s">
        <v>21</v>
      </c>
      <c r="C774" s="45" t="s">
        <v>761</v>
      </c>
      <c r="D774" s="45" t="s">
        <v>762</v>
      </c>
      <c r="E774" s="45" t="s">
        <v>950</v>
      </c>
      <c r="F774" s="31" t="s">
        <v>951</v>
      </c>
      <c r="G774" s="45" t="s">
        <v>26</v>
      </c>
      <c r="H774" s="30" t="s">
        <v>36</v>
      </c>
      <c r="I774" s="30">
        <v>3</v>
      </c>
      <c r="J774" s="30" t="s">
        <v>37</v>
      </c>
      <c r="K774" s="30" t="s">
        <v>38</v>
      </c>
      <c r="L774" s="32">
        <v>104.02032</v>
      </c>
      <c r="M774" s="32">
        <v>10.036519999999999</v>
      </c>
      <c r="N774" s="32" t="s">
        <v>764</v>
      </c>
      <c r="O774" s="33">
        <v>0</v>
      </c>
      <c r="P774" s="30" t="s">
        <v>39</v>
      </c>
      <c r="Q774" s="41" t="s">
        <v>31</v>
      </c>
      <c r="R774" s="42" t="s">
        <v>47</v>
      </c>
      <c r="S774" s="35">
        <v>47601</v>
      </c>
      <c r="T774" s="36" t="s">
        <v>943</v>
      </c>
      <c r="U774" s="30" t="s">
        <v>941</v>
      </c>
      <c r="V774" s="37" t="e">
        <v>#N/A</v>
      </c>
      <c r="W774" s="31" t="s">
        <v>33</v>
      </c>
      <c r="X774" s="37" t="s">
        <v>42</v>
      </c>
      <c r="Y774" s="37">
        <f>COUNTIF(F:F,F774)</f>
        <v>2</v>
      </c>
      <c r="Z774" s="21" t="s">
        <v>1108</v>
      </c>
      <c r="AA774" s="21" t="s">
        <v>941</v>
      </c>
      <c r="AB774" s="21" t="s">
        <v>1122</v>
      </c>
    </row>
    <row r="775" spans="1:28" ht="13.9" customHeight="1" x14ac:dyDescent="0.3">
      <c r="A775" s="41" t="s">
        <v>20</v>
      </c>
      <c r="B775" s="41" t="s">
        <v>21</v>
      </c>
      <c r="C775" s="41" t="s">
        <v>761</v>
      </c>
      <c r="D775" s="41" t="s">
        <v>762</v>
      </c>
      <c r="E775" s="41" t="s">
        <v>962</v>
      </c>
      <c r="F775" s="31" t="s">
        <v>951</v>
      </c>
      <c r="G775" s="41" t="s">
        <v>26</v>
      </c>
      <c r="H775" s="36" t="s">
        <v>27</v>
      </c>
      <c r="I775" s="36">
        <v>4</v>
      </c>
      <c r="J775" s="36" t="s">
        <v>37</v>
      </c>
      <c r="K775" s="36" t="s">
        <v>38</v>
      </c>
      <c r="L775" s="38">
        <v>104.02969</v>
      </c>
      <c r="M775" s="38">
        <v>10.038427</v>
      </c>
      <c r="N775" s="38" t="s">
        <v>764</v>
      </c>
      <c r="O775" s="39">
        <v>0</v>
      </c>
      <c r="P775" s="36" t="s">
        <v>60</v>
      </c>
      <c r="Q775" s="41" t="s">
        <v>31</v>
      </c>
      <c r="R775" s="42" t="s">
        <v>47</v>
      </c>
      <c r="S775" s="35">
        <v>47601</v>
      </c>
      <c r="T775" s="36" t="s">
        <v>963</v>
      </c>
      <c r="U775" s="30" t="s">
        <v>941</v>
      </c>
      <c r="V775" s="37" t="e">
        <v>#N/A</v>
      </c>
      <c r="W775" s="31" t="s">
        <v>63</v>
      </c>
      <c r="X775" s="37" t="s">
        <v>52</v>
      </c>
      <c r="Y775" s="37">
        <f>COUNTIF(F:F,F775)</f>
        <v>2</v>
      </c>
      <c r="Z775" s="21" t="s">
        <v>1108</v>
      </c>
      <c r="AA775" s="21" t="s">
        <v>941</v>
      </c>
      <c r="AB775" s="21" t="s">
        <v>1122</v>
      </c>
    </row>
    <row r="776" spans="1:28" ht="13.9" customHeight="1" x14ac:dyDescent="0.3">
      <c r="A776" s="45" t="s">
        <v>20</v>
      </c>
      <c r="B776" s="45" t="s">
        <v>21</v>
      </c>
      <c r="C776" s="45" t="s">
        <v>761</v>
      </c>
      <c r="D776" s="45" t="s">
        <v>762</v>
      </c>
      <c r="E776" s="45" t="s">
        <v>952</v>
      </c>
      <c r="F776" s="31" t="s">
        <v>952</v>
      </c>
      <c r="G776" s="30" t="s">
        <v>26</v>
      </c>
      <c r="H776" s="30" t="s">
        <v>36</v>
      </c>
      <c r="I776" s="30">
        <v>3</v>
      </c>
      <c r="J776" s="30" t="s">
        <v>37</v>
      </c>
      <c r="K776" s="30" t="s">
        <v>38</v>
      </c>
      <c r="L776" s="32">
        <v>104.01652</v>
      </c>
      <c r="M776" s="32">
        <v>10.03299</v>
      </c>
      <c r="N776" s="32" t="s">
        <v>764</v>
      </c>
      <c r="O776" s="33">
        <v>0</v>
      </c>
      <c r="P776" s="30" t="s">
        <v>39</v>
      </c>
      <c r="Q776" s="30" t="s">
        <v>31</v>
      </c>
      <c r="R776" s="34" t="s">
        <v>47</v>
      </c>
      <c r="S776" s="35">
        <v>47601</v>
      </c>
      <c r="T776" s="36" t="s">
        <v>943</v>
      </c>
      <c r="U776" s="30" t="s">
        <v>941</v>
      </c>
      <c r="V776" s="37" t="e">
        <v>#N/A</v>
      </c>
      <c r="W776" s="31" t="s">
        <v>33</v>
      </c>
      <c r="X776" s="37" t="s">
        <v>42</v>
      </c>
      <c r="Y776" s="37">
        <f>COUNTIF(F:F,F776)</f>
        <v>2</v>
      </c>
      <c r="Z776" s="21" t="s">
        <v>1108</v>
      </c>
      <c r="AA776" s="21" t="s">
        <v>941</v>
      </c>
      <c r="AB776" s="21" t="s">
        <v>1122</v>
      </c>
    </row>
    <row r="777" spans="1:28" ht="13.9" customHeight="1" x14ac:dyDescent="0.3">
      <c r="A777" s="41" t="s">
        <v>20</v>
      </c>
      <c r="B777" s="41" t="s">
        <v>21</v>
      </c>
      <c r="C777" s="41" t="s">
        <v>761</v>
      </c>
      <c r="D777" s="41" t="s">
        <v>762</v>
      </c>
      <c r="E777" s="41" t="s">
        <v>964</v>
      </c>
      <c r="F777" s="31" t="s">
        <v>952</v>
      </c>
      <c r="G777" s="41" t="s">
        <v>26</v>
      </c>
      <c r="H777" s="36" t="s">
        <v>36</v>
      </c>
      <c r="I777" s="36">
        <v>3</v>
      </c>
      <c r="J777" s="36" t="s">
        <v>37</v>
      </c>
      <c r="K777" s="36" t="s">
        <v>38</v>
      </c>
      <c r="L777" s="38">
        <v>104.04947300000001</v>
      </c>
      <c r="M777" s="38">
        <v>10.007562999999999</v>
      </c>
      <c r="N777" s="38" t="s">
        <v>764</v>
      </c>
      <c r="O777" s="39">
        <v>0</v>
      </c>
      <c r="P777" s="36" t="s">
        <v>39</v>
      </c>
      <c r="Q777" s="41" t="s">
        <v>31</v>
      </c>
      <c r="R777" s="42" t="s">
        <v>47</v>
      </c>
      <c r="S777" s="35">
        <v>47601</v>
      </c>
      <c r="T777" s="36" t="s">
        <v>963</v>
      </c>
      <c r="U777" s="84" t="s">
        <v>1086</v>
      </c>
      <c r="V777" s="37" t="e">
        <v>#N/A</v>
      </c>
      <c r="W777" s="31" t="s">
        <v>63</v>
      </c>
      <c r="X777" s="37" t="s">
        <v>52</v>
      </c>
      <c r="Y777" s="37">
        <f>COUNTIF(F:F,F777)</f>
        <v>2</v>
      </c>
      <c r="Z777" s="21" t="s">
        <v>1108</v>
      </c>
      <c r="AA777" s="21" t="s">
        <v>1092</v>
      </c>
      <c r="AB777" s="21" t="s">
        <v>1122</v>
      </c>
    </row>
    <row r="778" spans="1:28" ht="13.9" customHeight="1" x14ac:dyDescent="0.3">
      <c r="A778" s="30" t="s">
        <v>20</v>
      </c>
      <c r="B778" s="30" t="s">
        <v>21</v>
      </c>
      <c r="C778" s="30" t="s">
        <v>761</v>
      </c>
      <c r="D778" s="30" t="s">
        <v>762</v>
      </c>
      <c r="E778" s="30" t="s">
        <v>955</v>
      </c>
      <c r="F778" s="31" t="s">
        <v>955</v>
      </c>
      <c r="G778" s="30" t="s">
        <v>26</v>
      </c>
      <c r="H778" s="30" t="s">
        <v>36</v>
      </c>
      <c r="I778" s="30">
        <v>3</v>
      </c>
      <c r="J778" s="30" t="s">
        <v>37</v>
      </c>
      <c r="K778" s="30" t="s">
        <v>38</v>
      </c>
      <c r="L778" s="32">
        <v>104.00830000000001</v>
      </c>
      <c r="M778" s="32">
        <v>10.046779000000001</v>
      </c>
      <c r="N778" s="32" t="s">
        <v>764</v>
      </c>
      <c r="O778" s="33">
        <v>0</v>
      </c>
      <c r="P778" s="30" t="s">
        <v>39</v>
      </c>
      <c r="Q778" s="30" t="s">
        <v>31</v>
      </c>
      <c r="R778" s="34" t="s">
        <v>47</v>
      </c>
      <c r="S778" s="35">
        <v>47601</v>
      </c>
      <c r="T778" s="36" t="s">
        <v>941</v>
      </c>
      <c r="U778" s="30" t="s">
        <v>941</v>
      </c>
      <c r="V778" s="37" t="e">
        <v>#N/A</v>
      </c>
      <c r="W778" s="31" t="s">
        <v>33</v>
      </c>
      <c r="X778" s="37"/>
      <c r="Y778" s="37">
        <f>COUNTIF(F:F,F778)</f>
        <v>1</v>
      </c>
      <c r="Z778" s="21" t="s">
        <v>1108</v>
      </c>
      <c r="AA778" s="21" t="s">
        <v>941</v>
      </c>
      <c r="AB778" s="21" t="s">
        <v>1122</v>
      </c>
    </row>
    <row r="779" spans="1:28" ht="13.9" customHeight="1" x14ac:dyDescent="0.3">
      <c r="A779" s="30" t="s">
        <v>20</v>
      </c>
      <c r="B779" s="30" t="s">
        <v>21</v>
      </c>
      <c r="C779" s="30" t="s">
        <v>761</v>
      </c>
      <c r="D779" s="30" t="s">
        <v>762</v>
      </c>
      <c r="E779" s="30" t="s">
        <v>956</v>
      </c>
      <c r="F779" s="31" t="s">
        <v>956</v>
      </c>
      <c r="G779" s="30" t="s">
        <v>26</v>
      </c>
      <c r="H779" s="30" t="s">
        <v>36</v>
      </c>
      <c r="I779" s="30">
        <v>3</v>
      </c>
      <c r="J779" s="30" t="s">
        <v>37</v>
      </c>
      <c r="K779" s="30" t="s">
        <v>38</v>
      </c>
      <c r="L779" s="32">
        <v>104.01065</v>
      </c>
      <c r="M779" s="32">
        <v>10.03693</v>
      </c>
      <c r="N779" s="32" t="s">
        <v>764</v>
      </c>
      <c r="O779" s="33">
        <v>0</v>
      </c>
      <c r="P779" s="30" t="s">
        <v>39</v>
      </c>
      <c r="Q779" s="30" t="s">
        <v>31</v>
      </c>
      <c r="R779" s="34" t="s">
        <v>47</v>
      </c>
      <c r="S779" s="35">
        <v>47601</v>
      </c>
      <c r="T779" s="36" t="s">
        <v>941</v>
      </c>
      <c r="U779" s="30" t="s">
        <v>941</v>
      </c>
      <c r="V779" s="37" t="e">
        <v>#N/A</v>
      </c>
      <c r="W779" s="31" t="s">
        <v>33</v>
      </c>
      <c r="X779" s="37"/>
      <c r="Y779" s="37">
        <f>COUNTIF(F:F,F779)</f>
        <v>1</v>
      </c>
      <c r="Z779" s="21" t="s">
        <v>1108</v>
      </c>
      <c r="AA779" s="21" t="s">
        <v>941</v>
      </c>
      <c r="AB779" s="21" t="s">
        <v>1122</v>
      </c>
    </row>
    <row r="780" spans="1:28" ht="13.9" customHeight="1" x14ac:dyDescent="0.3">
      <c r="A780" s="45" t="s">
        <v>20</v>
      </c>
      <c r="B780" s="45" t="s">
        <v>21</v>
      </c>
      <c r="C780" s="45" t="s">
        <v>761</v>
      </c>
      <c r="D780" s="45" t="s">
        <v>762</v>
      </c>
      <c r="E780" s="48" t="s">
        <v>957</v>
      </c>
      <c r="F780" s="31" t="s">
        <v>958</v>
      </c>
      <c r="G780" s="45" t="s">
        <v>26</v>
      </c>
      <c r="H780" s="45" t="s">
        <v>27</v>
      </c>
      <c r="I780" s="45">
        <v>3</v>
      </c>
      <c r="J780" s="45"/>
      <c r="K780" s="45"/>
      <c r="L780" s="49">
        <v>104.00266999999999</v>
      </c>
      <c r="M780" s="49">
        <v>10.035209999999999</v>
      </c>
      <c r="N780" s="49" t="s">
        <v>945</v>
      </c>
      <c r="O780" s="50">
        <v>0</v>
      </c>
      <c r="P780" s="41" t="s">
        <v>504</v>
      </c>
      <c r="Q780" s="45"/>
      <c r="R780" s="51"/>
      <c r="S780" s="35" t="e">
        <v>#N/A</v>
      </c>
      <c r="T780" s="36" t="s">
        <v>943</v>
      </c>
      <c r="U780" s="30" t="s">
        <v>941</v>
      </c>
      <c r="V780" s="37" t="e">
        <v>#N/A</v>
      </c>
      <c r="W780" s="31" t="s">
        <v>33</v>
      </c>
      <c r="X780" s="37"/>
      <c r="Y780" s="37">
        <f>COUNTIF(F:F,F780)</f>
        <v>1</v>
      </c>
      <c r="Z780" s="21" t="s">
        <v>1108</v>
      </c>
      <c r="AA780" s="21" t="s">
        <v>941</v>
      </c>
      <c r="AB780" s="21" t="s">
        <v>1122</v>
      </c>
    </row>
    <row r="781" spans="1:28" ht="13.9" customHeight="1" x14ac:dyDescent="0.3">
      <c r="A781" s="30" t="s">
        <v>20</v>
      </c>
      <c r="B781" s="30" t="s">
        <v>21</v>
      </c>
      <c r="C781" s="30" t="s">
        <v>761</v>
      </c>
      <c r="D781" s="30" t="s">
        <v>762</v>
      </c>
      <c r="E781" s="30" t="s">
        <v>965</v>
      </c>
      <c r="F781" s="31" t="s">
        <v>965</v>
      </c>
      <c r="G781" s="30" t="s">
        <v>26</v>
      </c>
      <c r="H781" s="30" t="s">
        <v>36</v>
      </c>
      <c r="I781" s="30">
        <v>4</v>
      </c>
      <c r="J781" s="30" t="s">
        <v>37</v>
      </c>
      <c r="K781" s="30" t="s">
        <v>38</v>
      </c>
      <c r="L781" s="32">
        <v>104.0141</v>
      </c>
      <c r="M781" s="32">
        <v>10.024699999999999</v>
      </c>
      <c r="N781" s="32" t="s">
        <v>764</v>
      </c>
      <c r="O781" s="33">
        <v>0</v>
      </c>
      <c r="P781" s="30" t="s">
        <v>39</v>
      </c>
      <c r="Q781" s="30" t="s">
        <v>31</v>
      </c>
      <c r="R781" s="34" t="s">
        <v>47</v>
      </c>
      <c r="S781" s="35">
        <v>47601</v>
      </c>
      <c r="T781" s="36" t="s">
        <v>960</v>
      </c>
      <c r="U781" s="30" t="s">
        <v>960</v>
      </c>
      <c r="V781" s="37" t="e">
        <v>#N/A</v>
      </c>
      <c r="W781" s="31" t="s">
        <v>33</v>
      </c>
      <c r="X781" s="37"/>
      <c r="Y781" s="37">
        <f>COUNTIF(F:F,F781)</f>
        <v>1</v>
      </c>
      <c r="Z781" s="21" t="s">
        <v>1108</v>
      </c>
      <c r="AA781" s="21" t="s">
        <v>960</v>
      </c>
      <c r="AB781" s="21" t="s">
        <v>1122</v>
      </c>
    </row>
    <row r="782" spans="1:28" ht="13.9" customHeight="1" x14ac:dyDescent="0.3">
      <c r="A782" s="30" t="s">
        <v>20</v>
      </c>
      <c r="B782" s="30" t="s">
        <v>21</v>
      </c>
      <c r="C782" s="30" t="s">
        <v>761</v>
      </c>
      <c r="D782" s="30" t="s">
        <v>762</v>
      </c>
      <c r="E782" s="30" t="s">
        <v>959</v>
      </c>
      <c r="F782" s="31" t="s">
        <v>959</v>
      </c>
      <c r="G782" s="30" t="s">
        <v>26</v>
      </c>
      <c r="H782" s="30" t="s">
        <v>36</v>
      </c>
      <c r="I782" s="30">
        <v>4</v>
      </c>
      <c r="J782" s="30" t="s">
        <v>26</v>
      </c>
      <c r="K782" s="30" t="s">
        <v>405</v>
      </c>
      <c r="L782" s="32">
        <v>104.01308</v>
      </c>
      <c r="M782" s="32">
        <v>10.01694</v>
      </c>
      <c r="N782" s="32" t="s">
        <v>764</v>
      </c>
      <c r="O782" s="33">
        <v>0</v>
      </c>
      <c r="P782" s="30" t="s">
        <v>271</v>
      </c>
      <c r="Q782" s="30" t="s">
        <v>31</v>
      </c>
      <c r="R782" s="34" t="s">
        <v>47</v>
      </c>
      <c r="S782" s="35">
        <v>47601</v>
      </c>
      <c r="T782" s="36" t="s">
        <v>960</v>
      </c>
      <c r="U782" s="30" t="s">
        <v>960</v>
      </c>
      <c r="V782" s="37" t="e">
        <v>#N/A</v>
      </c>
      <c r="W782" s="31" t="s">
        <v>33</v>
      </c>
      <c r="X782" s="37" t="s">
        <v>42</v>
      </c>
      <c r="Y782" s="37">
        <f>COUNTIF(F:F,F782)</f>
        <v>2</v>
      </c>
      <c r="Z782" s="21" t="s">
        <v>1108</v>
      </c>
      <c r="AA782" s="21" t="s">
        <v>960</v>
      </c>
      <c r="AB782" s="21" t="s">
        <v>1122</v>
      </c>
    </row>
    <row r="783" spans="1:28" ht="13.9" customHeight="1" x14ac:dyDescent="0.3">
      <c r="A783" s="36" t="s">
        <v>20</v>
      </c>
      <c r="B783" s="36" t="s">
        <v>21</v>
      </c>
      <c r="C783" s="36" t="s">
        <v>761</v>
      </c>
      <c r="D783" s="36" t="s">
        <v>762</v>
      </c>
      <c r="E783" s="36" t="s">
        <v>961</v>
      </c>
      <c r="F783" s="31" t="s">
        <v>959</v>
      </c>
      <c r="G783" s="36" t="s">
        <v>26</v>
      </c>
      <c r="H783" s="36" t="s">
        <v>36</v>
      </c>
      <c r="I783" s="36">
        <v>3</v>
      </c>
      <c r="J783" s="36"/>
      <c r="K783" s="36"/>
      <c r="L783" s="38">
        <v>104.01746</v>
      </c>
      <c r="M783" s="38">
        <v>10.02181</v>
      </c>
      <c r="N783" s="38" t="s">
        <v>764</v>
      </c>
      <c r="O783" s="39">
        <v>0</v>
      </c>
      <c r="P783" s="36" t="s">
        <v>109</v>
      </c>
      <c r="Q783" s="30" t="s">
        <v>31</v>
      </c>
      <c r="R783" s="40" t="s">
        <v>47</v>
      </c>
      <c r="S783" s="35">
        <v>47601</v>
      </c>
      <c r="T783" s="36" t="s">
        <v>960</v>
      </c>
      <c r="U783" s="30" t="s">
        <v>960</v>
      </c>
      <c r="V783" s="37" t="e">
        <v>#N/A</v>
      </c>
      <c r="W783" s="31" t="s">
        <v>63</v>
      </c>
      <c r="X783" s="37" t="s">
        <v>52</v>
      </c>
      <c r="Y783" s="37">
        <f>COUNTIF(F:F,F783)</f>
        <v>2</v>
      </c>
      <c r="Z783" s="21" t="s">
        <v>1108</v>
      </c>
      <c r="AA783" s="21" t="s">
        <v>960</v>
      </c>
      <c r="AB783" s="21" t="s">
        <v>1122</v>
      </c>
    </row>
    <row r="784" spans="1:28" ht="13.9" customHeight="1" x14ac:dyDescent="0.3">
      <c r="A784" s="30" t="s">
        <v>20</v>
      </c>
      <c r="B784" s="30" t="s">
        <v>21</v>
      </c>
      <c r="C784" s="30" t="s">
        <v>761</v>
      </c>
      <c r="D784" s="30" t="s">
        <v>762</v>
      </c>
      <c r="E784" s="30" t="s">
        <v>966</v>
      </c>
      <c r="F784" s="31" t="s">
        <v>966</v>
      </c>
      <c r="G784" s="30" t="s">
        <v>26</v>
      </c>
      <c r="H784" s="30" t="s">
        <v>36</v>
      </c>
      <c r="I784" s="30">
        <v>3</v>
      </c>
      <c r="J784" s="30" t="s">
        <v>37</v>
      </c>
      <c r="K784" s="30" t="s">
        <v>38</v>
      </c>
      <c r="L784" s="32">
        <v>104.00996000000001</v>
      </c>
      <c r="M784" s="32">
        <v>10.02088</v>
      </c>
      <c r="N784" s="32" t="s">
        <v>764</v>
      </c>
      <c r="O784" s="33">
        <v>0</v>
      </c>
      <c r="P784" s="30" t="s">
        <v>39</v>
      </c>
      <c r="Q784" s="30" t="s">
        <v>31</v>
      </c>
      <c r="R784" s="34" t="s">
        <v>47</v>
      </c>
      <c r="S784" s="35">
        <v>47601</v>
      </c>
      <c r="T784" s="36" t="s">
        <v>963</v>
      </c>
      <c r="U784" s="30" t="s">
        <v>960</v>
      </c>
      <c r="V784" s="37" t="e">
        <v>#N/A</v>
      </c>
      <c r="W784" s="31" t="s">
        <v>33</v>
      </c>
      <c r="X784" s="37"/>
      <c r="Y784" s="37">
        <f>COUNTIF(F:F,F784)</f>
        <v>1</v>
      </c>
      <c r="Z784" s="21" t="s">
        <v>1108</v>
      </c>
      <c r="AA784" s="21" t="s">
        <v>960</v>
      </c>
      <c r="AB784" s="21" t="s">
        <v>1122</v>
      </c>
    </row>
    <row r="785" spans="1:28" s="22" customFormat="1" ht="13.9" customHeight="1" x14ac:dyDescent="0.3">
      <c r="A785" s="41" t="s">
        <v>20</v>
      </c>
      <c r="B785" s="41" t="s">
        <v>21</v>
      </c>
      <c r="C785" s="41" t="s">
        <v>761</v>
      </c>
      <c r="D785" s="41" t="s">
        <v>762</v>
      </c>
      <c r="E785" s="41" t="s">
        <v>967</v>
      </c>
      <c r="F785" s="31" t="s">
        <v>968</v>
      </c>
      <c r="G785" s="41" t="s">
        <v>26</v>
      </c>
      <c r="H785" s="36" t="s">
        <v>36</v>
      </c>
      <c r="I785" s="36">
        <v>4</v>
      </c>
      <c r="J785" s="36" t="s">
        <v>37</v>
      </c>
      <c r="K785" s="36" t="s">
        <v>38</v>
      </c>
      <c r="L785" s="38">
        <v>104.029579</v>
      </c>
      <c r="M785" s="38">
        <v>10.032678000000001</v>
      </c>
      <c r="N785" s="38" t="s">
        <v>764</v>
      </c>
      <c r="O785" s="39">
        <v>0</v>
      </c>
      <c r="P785" s="36" t="s">
        <v>39</v>
      </c>
      <c r="Q785" s="41" t="s">
        <v>31</v>
      </c>
      <c r="R785" s="42" t="s">
        <v>47</v>
      </c>
      <c r="S785" s="35">
        <v>47601</v>
      </c>
      <c r="T785" s="36" t="s">
        <v>963</v>
      </c>
      <c r="U785" s="30" t="s">
        <v>960</v>
      </c>
      <c r="V785" s="37" t="e">
        <v>#N/A</v>
      </c>
      <c r="W785" s="31" t="s">
        <v>777</v>
      </c>
      <c r="X785" s="37"/>
      <c r="Y785" s="37">
        <f>COUNTIF(F:F,F785)</f>
        <v>1</v>
      </c>
      <c r="Z785" s="21" t="s">
        <v>1108</v>
      </c>
      <c r="AA785" s="21" t="s">
        <v>960</v>
      </c>
      <c r="AB785" s="21" t="s">
        <v>1122</v>
      </c>
    </row>
    <row r="786" spans="1:28" ht="13.9" customHeight="1" x14ac:dyDescent="0.3">
      <c r="A786" s="41" t="s">
        <v>20</v>
      </c>
      <c r="B786" s="41" t="s">
        <v>21</v>
      </c>
      <c r="C786" s="41" t="s">
        <v>761</v>
      </c>
      <c r="D786" s="41" t="s">
        <v>762</v>
      </c>
      <c r="E786" s="41" t="s">
        <v>969</v>
      </c>
      <c r="F786" s="31" t="s">
        <v>970</v>
      </c>
      <c r="G786" s="41" t="s">
        <v>26</v>
      </c>
      <c r="H786" s="36" t="s">
        <v>27</v>
      </c>
      <c r="I786" s="36">
        <v>4</v>
      </c>
      <c r="J786" s="36" t="s">
        <v>37</v>
      </c>
      <c r="K786" s="36" t="s">
        <v>38</v>
      </c>
      <c r="L786" s="38">
        <v>104.0278</v>
      </c>
      <c r="M786" s="38">
        <v>10.034685</v>
      </c>
      <c r="N786" s="38" t="s">
        <v>764</v>
      </c>
      <c r="O786" s="39">
        <v>0</v>
      </c>
      <c r="P786" s="36" t="s">
        <v>41</v>
      </c>
      <c r="Q786" s="41" t="s">
        <v>31</v>
      </c>
      <c r="R786" s="42" t="s">
        <v>47</v>
      </c>
      <c r="S786" s="35">
        <v>47601</v>
      </c>
      <c r="T786" s="36" t="s">
        <v>963</v>
      </c>
      <c r="U786" s="30" t="s">
        <v>960</v>
      </c>
      <c r="V786" s="37" t="e">
        <v>#N/A</v>
      </c>
      <c r="W786" s="31" t="s">
        <v>777</v>
      </c>
      <c r="X786" s="37"/>
      <c r="Y786" s="37">
        <f>COUNTIF(F:F,F786)</f>
        <v>1</v>
      </c>
      <c r="Z786" s="21" t="s">
        <v>1108</v>
      </c>
      <c r="AA786" s="21" t="s">
        <v>960</v>
      </c>
      <c r="AB786" s="21" t="s">
        <v>1122</v>
      </c>
    </row>
    <row r="787" spans="1:28" ht="13.9" customHeight="1" x14ac:dyDescent="0.3">
      <c r="A787" s="30" t="s">
        <v>20</v>
      </c>
      <c r="B787" s="30" t="s">
        <v>21</v>
      </c>
      <c r="C787" s="30" t="s">
        <v>761</v>
      </c>
      <c r="D787" s="30" t="s">
        <v>762</v>
      </c>
      <c r="E787" s="30" t="s">
        <v>971</v>
      </c>
      <c r="F787" s="31" t="s">
        <v>971</v>
      </c>
      <c r="G787" s="30" t="s">
        <v>26</v>
      </c>
      <c r="H787" s="30" t="s">
        <v>36</v>
      </c>
      <c r="I787" s="30">
        <v>3</v>
      </c>
      <c r="J787" s="30"/>
      <c r="K787" s="30"/>
      <c r="L787" s="32">
        <v>104.04244</v>
      </c>
      <c r="M787" s="32">
        <v>10.01233</v>
      </c>
      <c r="N787" s="32" t="s">
        <v>764</v>
      </c>
      <c r="O787" s="33">
        <v>0</v>
      </c>
      <c r="P787" s="30" t="s">
        <v>109</v>
      </c>
      <c r="Q787" s="47" t="s">
        <v>31</v>
      </c>
      <c r="R787" s="34" t="s">
        <v>47</v>
      </c>
      <c r="S787" s="35">
        <v>47601</v>
      </c>
      <c r="T787" s="36" t="s">
        <v>963</v>
      </c>
      <c r="U787" s="30" t="s">
        <v>960</v>
      </c>
      <c r="V787" s="37" t="e">
        <v>#N/A</v>
      </c>
      <c r="W787" s="31" t="s">
        <v>33</v>
      </c>
      <c r="X787" s="37"/>
      <c r="Y787" s="37">
        <f>COUNTIF(F:F,F787)</f>
        <v>1</v>
      </c>
      <c r="Z787" s="21" t="s">
        <v>1108</v>
      </c>
      <c r="AA787" s="21" t="s">
        <v>960</v>
      </c>
      <c r="AB787" s="21" t="s">
        <v>1122</v>
      </c>
    </row>
    <row r="788" spans="1:28" ht="13.9" customHeight="1" x14ac:dyDescent="0.3">
      <c r="A788" s="30" t="s">
        <v>20</v>
      </c>
      <c r="B788" s="30" t="s">
        <v>21</v>
      </c>
      <c r="C788" s="30" t="s">
        <v>761</v>
      </c>
      <c r="D788" s="30" t="s">
        <v>762</v>
      </c>
      <c r="E788" s="30" t="s">
        <v>972</v>
      </c>
      <c r="F788" s="31" t="s">
        <v>972</v>
      </c>
      <c r="G788" s="30" t="s">
        <v>26</v>
      </c>
      <c r="H788" s="30" t="s">
        <v>27</v>
      </c>
      <c r="I788" s="30">
        <v>3</v>
      </c>
      <c r="J788" s="30"/>
      <c r="K788" s="30"/>
      <c r="L788" s="32">
        <v>104.00957</v>
      </c>
      <c r="M788" s="32">
        <v>10.02887</v>
      </c>
      <c r="N788" s="32" t="s">
        <v>764</v>
      </c>
      <c r="O788" s="33">
        <v>0</v>
      </c>
      <c r="P788" s="30" t="s">
        <v>30</v>
      </c>
      <c r="Q788" s="30" t="s">
        <v>787</v>
      </c>
      <c r="R788" s="34" t="s">
        <v>47</v>
      </c>
      <c r="S788" s="35">
        <v>47601</v>
      </c>
      <c r="T788" s="36" t="s">
        <v>960</v>
      </c>
      <c r="U788" s="30" t="s">
        <v>960</v>
      </c>
      <c r="V788" s="37" t="e">
        <v>#N/A</v>
      </c>
      <c r="W788" s="31" t="s">
        <v>768</v>
      </c>
      <c r="X788" s="37"/>
      <c r="Y788" s="37">
        <f>COUNTIF(F:F,F788)</f>
        <v>1</v>
      </c>
      <c r="Z788" s="21" t="s">
        <v>1108</v>
      </c>
      <c r="AA788" s="21" t="s">
        <v>960</v>
      </c>
      <c r="AB788" s="21" t="s">
        <v>1122</v>
      </c>
    </row>
    <row r="789" spans="1:28" ht="13.9" customHeight="1" x14ac:dyDescent="0.3">
      <c r="A789" s="36" t="s">
        <v>20</v>
      </c>
      <c r="B789" s="36" t="s">
        <v>21</v>
      </c>
      <c r="C789" s="36" t="s">
        <v>761</v>
      </c>
      <c r="D789" s="36" t="s">
        <v>762</v>
      </c>
      <c r="E789" s="36" t="s">
        <v>973</v>
      </c>
      <c r="F789" s="31" t="s">
        <v>973</v>
      </c>
      <c r="G789" s="36" t="s">
        <v>26</v>
      </c>
      <c r="H789" s="36" t="s">
        <v>36</v>
      </c>
      <c r="I789" s="36">
        <v>3</v>
      </c>
      <c r="J789" s="36" t="s">
        <v>37</v>
      </c>
      <c r="K789" s="36" t="s">
        <v>38</v>
      </c>
      <c r="L789" s="38">
        <v>104.00957</v>
      </c>
      <c r="M789" s="38">
        <v>10.02887</v>
      </c>
      <c r="N789" s="38" t="s">
        <v>764</v>
      </c>
      <c r="O789" s="39">
        <v>0</v>
      </c>
      <c r="P789" s="36" t="s">
        <v>39</v>
      </c>
      <c r="Q789" s="30" t="s">
        <v>31</v>
      </c>
      <c r="R789" s="40" t="s">
        <v>47</v>
      </c>
      <c r="S789" s="35">
        <v>47601</v>
      </c>
      <c r="T789" s="36" t="s">
        <v>960</v>
      </c>
      <c r="U789" s="30" t="s">
        <v>960</v>
      </c>
      <c r="V789" s="37" t="e">
        <v>#N/A</v>
      </c>
      <c r="W789" s="31" t="s">
        <v>33</v>
      </c>
      <c r="X789" s="37"/>
      <c r="Y789" s="37">
        <f>COUNTIF(F:F,F789)</f>
        <v>1</v>
      </c>
      <c r="Z789" s="21" t="s">
        <v>1108</v>
      </c>
      <c r="AA789" s="21" t="s">
        <v>960</v>
      </c>
      <c r="AB789" s="21" t="s">
        <v>1122</v>
      </c>
    </row>
    <row r="790" spans="1:28" ht="13.9" customHeight="1" x14ac:dyDescent="0.3">
      <c r="A790" s="30" t="s">
        <v>20</v>
      </c>
      <c r="B790" s="30" t="s">
        <v>21</v>
      </c>
      <c r="C790" s="30" t="s">
        <v>761</v>
      </c>
      <c r="D790" s="30" t="s">
        <v>762</v>
      </c>
      <c r="E790" s="30" t="s">
        <v>974</v>
      </c>
      <c r="F790" s="31" t="s">
        <v>974</v>
      </c>
      <c r="G790" s="30" t="s">
        <v>26</v>
      </c>
      <c r="H790" s="30" t="s">
        <v>27</v>
      </c>
      <c r="I790" s="30">
        <v>3</v>
      </c>
      <c r="J790" s="30"/>
      <c r="K790" s="30"/>
      <c r="L790" s="32">
        <v>104.00744</v>
      </c>
      <c r="M790" s="32">
        <v>10.029339999999999</v>
      </c>
      <c r="N790" s="32" t="s">
        <v>764</v>
      </c>
      <c r="O790" s="33">
        <v>0</v>
      </c>
      <c r="P790" s="30" t="s">
        <v>30</v>
      </c>
      <c r="Q790" s="30" t="s">
        <v>787</v>
      </c>
      <c r="R790" s="34" t="s">
        <v>47</v>
      </c>
      <c r="S790" s="35">
        <v>47601</v>
      </c>
      <c r="T790" s="36" t="s">
        <v>960</v>
      </c>
      <c r="U790" s="30" t="s">
        <v>960</v>
      </c>
      <c r="V790" s="37" t="e">
        <v>#N/A</v>
      </c>
      <c r="W790" s="31" t="s">
        <v>768</v>
      </c>
      <c r="X790" s="37"/>
      <c r="Y790" s="37">
        <f>COUNTIF(F:F,F790)</f>
        <v>1</v>
      </c>
      <c r="Z790" s="21" t="s">
        <v>1108</v>
      </c>
      <c r="AA790" s="21" t="s">
        <v>960</v>
      </c>
      <c r="AB790" s="21" t="s">
        <v>1122</v>
      </c>
    </row>
    <row r="791" spans="1:28" ht="13.9" customHeight="1" x14ac:dyDescent="0.3">
      <c r="A791" s="45" t="s">
        <v>20</v>
      </c>
      <c r="B791" s="45" t="s">
        <v>21</v>
      </c>
      <c r="C791" s="45" t="s">
        <v>761</v>
      </c>
      <c r="D791" s="45" t="s">
        <v>762</v>
      </c>
      <c r="E791" s="48" t="s">
        <v>976</v>
      </c>
      <c r="F791" s="31" t="s">
        <v>977</v>
      </c>
      <c r="G791" s="45" t="s">
        <v>26</v>
      </c>
      <c r="H791" s="45" t="s">
        <v>36</v>
      </c>
      <c r="I791" s="45">
        <v>3</v>
      </c>
      <c r="J791" s="45"/>
      <c r="K791" s="45"/>
      <c r="L791" s="49">
        <v>104.00743</v>
      </c>
      <c r="M791" s="49">
        <v>10.02721</v>
      </c>
      <c r="N791" s="49" t="s">
        <v>945</v>
      </c>
      <c r="O791" s="50">
        <v>0</v>
      </c>
      <c r="P791" s="41" t="s">
        <v>946</v>
      </c>
      <c r="Q791" s="82"/>
      <c r="R791" s="51"/>
      <c r="S791" s="35" t="e">
        <v>#N/A</v>
      </c>
      <c r="T791" s="36" t="s">
        <v>963</v>
      </c>
      <c r="U791" s="30" t="s">
        <v>960</v>
      </c>
      <c r="V791" s="37" t="e">
        <v>#N/A</v>
      </c>
      <c r="W791" s="31" t="s">
        <v>33</v>
      </c>
      <c r="X791" s="37"/>
      <c r="Y791" s="37">
        <f>COUNTIF(F:F,F791)</f>
        <v>1</v>
      </c>
      <c r="Z791" s="21" t="s">
        <v>1108</v>
      </c>
      <c r="AA791" s="21" t="s">
        <v>960</v>
      </c>
      <c r="AB791" s="21" t="s">
        <v>1122</v>
      </c>
    </row>
    <row r="792" spans="1:28" ht="13.9" customHeight="1" x14ac:dyDescent="0.3">
      <c r="A792" s="30" t="s">
        <v>20</v>
      </c>
      <c r="B792" s="30" t="s">
        <v>21</v>
      </c>
      <c r="C792" s="30" t="s">
        <v>761</v>
      </c>
      <c r="D792" s="30" t="s">
        <v>762</v>
      </c>
      <c r="E792" s="30" t="s">
        <v>975</v>
      </c>
      <c r="F792" s="31" t="s">
        <v>975</v>
      </c>
      <c r="G792" s="30" t="s">
        <v>26</v>
      </c>
      <c r="H792" s="30" t="s">
        <v>36</v>
      </c>
      <c r="I792" s="30">
        <v>3</v>
      </c>
      <c r="J792" s="30" t="s">
        <v>37</v>
      </c>
      <c r="K792" s="30" t="s">
        <v>38</v>
      </c>
      <c r="L792" s="32">
        <v>104.007429</v>
      </c>
      <c r="M792" s="32">
        <v>10.027206</v>
      </c>
      <c r="N792" s="32" t="s">
        <v>764</v>
      </c>
      <c r="O792" s="33">
        <v>0</v>
      </c>
      <c r="P792" s="30" t="s">
        <v>39</v>
      </c>
      <c r="Q792" s="30" t="s">
        <v>31</v>
      </c>
      <c r="R792" s="34" t="s">
        <v>47</v>
      </c>
      <c r="S792" s="35">
        <v>47601</v>
      </c>
      <c r="T792" s="36" t="s">
        <v>960</v>
      </c>
      <c r="U792" s="30" t="s">
        <v>960</v>
      </c>
      <c r="V792" s="37" t="e">
        <v>#N/A</v>
      </c>
      <c r="W792" s="31" t="s">
        <v>777</v>
      </c>
      <c r="X792" s="37"/>
      <c r="Y792" s="37">
        <f>COUNTIF(F:F,F792)</f>
        <v>1</v>
      </c>
      <c r="Z792" s="21" t="s">
        <v>1108</v>
      </c>
      <c r="AA792" s="21" t="s">
        <v>960</v>
      </c>
      <c r="AB792" s="21" t="s">
        <v>1122</v>
      </c>
    </row>
    <row r="793" spans="1:28" ht="13.9" customHeight="1" x14ac:dyDescent="0.3">
      <c r="A793" s="41" t="s">
        <v>20</v>
      </c>
      <c r="B793" s="41" t="s">
        <v>21</v>
      </c>
      <c r="C793" s="41" t="s">
        <v>761</v>
      </c>
      <c r="D793" s="41" t="s">
        <v>762</v>
      </c>
      <c r="E793" s="41" t="s">
        <v>978</v>
      </c>
      <c r="F793" s="31" t="s">
        <v>979</v>
      </c>
      <c r="G793" s="41" t="s">
        <v>26</v>
      </c>
      <c r="H793" s="36" t="s">
        <v>36</v>
      </c>
      <c r="I793" s="36">
        <v>4</v>
      </c>
      <c r="J793" s="36" t="s">
        <v>37</v>
      </c>
      <c r="K793" s="36" t="s">
        <v>38</v>
      </c>
      <c r="L793" s="38">
        <v>103.48147</v>
      </c>
      <c r="M793" s="38">
        <v>9.3066600000000008</v>
      </c>
      <c r="N793" s="38" t="s">
        <v>764</v>
      </c>
      <c r="O793" s="39">
        <v>0</v>
      </c>
      <c r="P793" s="36" t="s">
        <v>39</v>
      </c>
      <c r="Q793" s="41" t="s">
        <v>31</v>
      </c>
      <c r="R793" s="42" t="s">
        <v>47</v>
      </c>
      <c r="S793" s="35">
        <v>47601</v>
      </c>
      <c r="T793" s="36" t="s">
        <v>980</v>
      </c>
      <c r="U793" s="30" t="s">
        <v>1006</v>
      </c>
      <c r="V793" s="37" t="e">
        <v>#N/A</v>
      </c>
      <c r="W793" s="31" t="s">
        <v>33</v>
      </c>
      <c r="X793" s="37"/>
      <c r="Y793" s="37">
        <f>COUNTIF(F:F,F793)</f>
        <v>1</v>
      </c>
      <c r="Z793" s="21" t="s">
        <v>1108</v>
      </c>
      <c r="AA793" s="21" t="s">
        <v>1006</v>
      </c>
      <c r="AB793" s="21" t="s">
        <v>1122</v>
      </c>
    </row>
    <row r="794" spans="1:28" ht="13.9" customHeight="1" x14ac:dyDescent="0.3">
      <c r="A794" s="30" t="s">
        <v>20</v>
      </c>
      <c r="B794" s="30" t="s">
        <v>21</v>
      </c>
      <c r="C794" s="30" t="s">
        <v>761</v>
      </c>
      <c r="D794" s="30" t="s">
        <v>762</v>
      </c>
      <c r="E794" s="30" t="s">
        <v>981</v>
      </c>
      <c r="F794" s="31" t="s">
        <v>981</v>
      </c>
      <c r="G794" s="30" t="s">
        <v>26</v>
      </c>
      <c r="H794" s="30" t="s">
        <v>36</v>
      </c>
      <c r="I794" s="30">
        <v>3</v>
      </c>
      <c r="J794" s="30" t="s">
        <v>37</v>
      </c>
      <c r="K794" s="30" t="s">
        <v>38</v>
      </c>
      <c r="L794" s="32">
        <v>104.017082</v>
      </c>
      <c r="M794" s="32">
        <v>9.9564579999999996</v>
      </c>
      <c r="N794" s="32" t="s">
        <v>764</v>
      </c>
      <c r="O794" s="33">
        <v>0</v>
      </c>
      <c r="P794" s="30" t="s">
        <v>39</v>
      </c>
      <c r="Q794" s="30" t="s">
        <v>31</v>
      </c>
      <c r="R794" s="34" t="s">
        <v>47</v>
      </c>
      <c r="S794" s="35">
        <v>47601</v>
      </c>
      <c r="T794" s="36" t="s">
        <v>980</v>
      </c>
      <c r="U794" s="30" t="s">
        <v>1006</v>
      </c>
      <c r="V794" s="37" t="e">
        <v>#N/A</v>
      </c>
      <c r="W794" s="31" t="s">
        <v>33</v>
      </c>
      <c r="X794" s="37"/>
      <c r="Y794" s="37">
        <f>COUNTIF(F:F,F794)</f>
        <v>1</v>
      </c>
      <c r="Z794" s="21" t="s">
        <v>1108</v>
      </c>
      <c r="AA794" s="21" t="s">
        <v>1006</v>
      </c>
      <c r="AB794" s="21" t="s">
        <v>1122</v>
      </c>
    </row>
    <row r="795" spans="1:28" ht="13.9" customHeight="1" x14ac:dyDescent="0.3">
      <c r="A795" s="30" t="s">
        <v>20</v>
      </c>
      <c r="B795" s="30" t="s">
        <v>21</v>
      </c>
      <c r="C795" s="30" t="s">
        <v>761</v>
      </c>
      <c r="D795" s="30" t="s">
        <v>762</v>
      </c>
      <c r="E795" s="30" t="s">
        <v>986</v>
      </c>
      <c r="F795" s="31" t="s">
        <v>999</v>
      </c>
      <c r="G795" s="30" t="s">
        <v>26</v>
      </c>
      <c r="H795" s="30" t="s">
        <v>36</v>
      </c>
      <c r="I795" s="30">
        <v>3</v>
      </c>
      <c r="J795" s="30"/>
      <c r="K795" s="30"/>
      <c r="L795" s="32">
        <v>103.500423</v>
      </c>
      <c r="M795" s="32">
        <v>9.3018230000000006</v>
      </c>
      <c r="N795" s="32" t="s">
        <v>764</v>
      </c>
      <c r="O795" s="33">
        <v>0</v>
      </c>
      <c r="P795" s="30" t="s">
        <v>169</v>
      </c>
      <c r="Q795" s="30" t="s">
        <v>31</v>
      </c>
      <c r="R795" s="34" t="s">
        <v>47</v>
      </c>
      <c r="S795" s="35">
        <v>47601</v>
      </c>
      <c r="T795" s="36" t="s">
        <v>980</v>
      </c>
      <c r="U795" s="30" t="s">
        <v>1006</v>
      </c>
      <c r="V795" s="37" t="e">
        <v>#N/A</v>
      </c>
      <c r="W795" s="31" t="s">
        <v>33</v>
      </c>
      <c r="X795" s="37"/>
      <c r="Y795" s="37">
        <f>COUNTIF(F:F,F795)</f>
        <v>1</v>
      </c>
      <c r="Z795" s="21" t="s">
        <v>1108</v>
      </c>
      <c r="AA795" s="21" t="s">
        <v>1006</v>
      </c>
      <c r="AB795" s="21" t="s">
        <v>1122</v>
      </c>
    </row>
    <row r="796" spans="1:28" ht="13.9" customHeight="1" x14ac:dyDescent="0.3">
      <c r="A796" s="41" t="s">
        <v>20</v>
      </c>
      <c r="B796" s="41" t="s">
        <v>21</v>
      </c>
      <c r="C796" s="41" t="s">
        <v>761</v>
      </c>
      <c r="D796" s="41" t="s">
        <v>762</v>
      </c>
      <c r="E796" s="41" t="s">
        <v>982</v>
      </c>
      <c r="F796" s="31" t="s">
        <v>983</v>
      </c>
      <c r="G796" s="41" t="s">
        <v>26</v>
      </c>
      <c r="H796" s="36" t="s">
        <v>36</v>
      </c>
      <c r="I796" s="30">
        <v>3</v>
      </c>
      <c r="J796" s="36"/>
      <c r="K796" s="36"/>
      <c r="L796" s="32">
        <v>103.48511999999999</v>
      </c>
      <c r="M796" s="32">
        <v>9.3167399999999994</v>
      </c>
      <c r="N796" s="38" t="s">
        <v>764</v>
      </c>
      <c r="O796" s="39">
        <v>0</v>
      </c>
      <c r="P796" s="36" t="s">
        <v>109</v>
      </c>
      <c r="Q796" s="41" t="s">
        <v>31</v>
      </c>
      <c r="R796" s="42" t="s">
        <v>47</v>
      </c>
      <c r="S796" s="35">
        <v>47601</v>
      </c>
      <c r="T796" s="36" t="s">
        <v>980</v>
      </c>
      <c r="U796" s="30" t="s">
        <v>1006</v>
      </c>
      <c r="V796" s="37" t="e">
        <v>#N/A</v>
      </c>
      <c r="W796" s="31" t="s">
        <v>33</v>
      </c>
      <c r="X796" s="37"/>
      <c r="Y796" s="37">
        <f>COUNTIF(F:F,F796)</f>
        <v>1</v>
      </c>
      <c r="Z796" s="21" t="s">
        <v>1108</v>
      </c>
      <c r="AA796" s="21" t="s">
        <v>1006</v>
      </c>
      <c r="AB796" s="21" t="s">
        <v>1122</v>
      </c>
    </row>
    <row r="797" spans="1:28" ht="13.9" customHeight="1" x14ac:dyDescent="0.3">
      <c r="A797" s="30" t="s">
        <v>20</v>
      </c>
      <c r="B797" s="30" t="s">
        <v>21</v>
      </c>
      <c r="C797" s="30" t="s">
        <v>761</v>
      </c>
      <c r="D797" s="30" t="s">
        <v>762</v>
      </c>
      <c r="E797" s="30" t="s">
        <v>984</v>
      </c>
      <c r="F797" s="31" t="s">
        <v>984</v>
      </c>
      <c r="G797" s="30" t="s">
        <v>26</v>
      </c>
      <c r="H797" s="30" t="s">
        <v>36</v>
      </c>
      <c r="I797" s="30">
        <v>3</v>
      </c>
      <c r="J797" s="30" t="s">
        <v>37</v>
      </c>
      <c r="K797" s="30" t="s">
        <v>38</v>
      </c>
      <c r="L797" s="32">
        <v>104.02327</v>
      </c>
      <c r="M797" s="32">
        <v>9.9734200000000008</v>
      </c>
      <c r="N797" s="32" t="s">
        <v>764</v>
      </c>
      <c r="O797" s="33">
        <v>0</v>
      </c>
      <c r="P797" s="30" t="s">
        <v>39</v>
      </c>
      <c r="Q797" s="30" t="s">
        <v>31</v>
      </c>
      <c r="R797" s="34" t="s">
        <v>47</v>
      </c>
      <c r="S797" s="35">
        <v>47601</v>
      </c>
      <c r="T797" s="36" t="s">
        <v>980</v>
      </c>
      <c r="U797" s="30" t="s">
        <v>1006</v>
      </c>
      <c r="V797" s="37" t="e">
        <v>#N/A</v>
      </c>
      <c r="W797" s="31" t="s">
        <v>33</v>
      </c>
      <c r="X797" s="37"/>
      <c r="Y797" s="37">
        <f>COUNTIF(F:F,F797)</f>
        <v>1</v>
      </c>
      <c r="Z797" s="21" t="s">
        <v>1108</v>
      </c>
      <c r="AA797" s="21" t="s">
        <v>1006</v>
      </c>
      <c r="AB797" s="21" t="s">
        <v>1122</v>
      </c>
    </row>
    <row r="798" spans="1:28" s="22" customFormat="1" ht="13.9" customHeight="1" x14ac:dyDescent="0.3">
      <c r="A798" s="30" t="s">
        <v>20</v>
      </c>
      <c r="B798" s="30" t="s">
        <v>21</v>
      </c>
      <c r="C798" s="30" t="s">
        <v>761</v>
      </c>
      <c r="D798" s="30" t="s">
        <v>762</v>
      </c>
      <c r="E798" s="30" t="s">
        <v>985</v>
      </c>
      <c r="F798" s="31" t="s">
        <v>985</v>
      </c>
      <c r="G798" s="30" t="s">
        <v>26</v>
      </c>
      <c r="H798" s="30" t="s">
        <v>36</v>
      </c>
      <c r="I798" s="30">
        <v>3</v>
      </c>
      <c r="J798" s="30" t="s">
        <v>37</v>
      </c>
      <c r="K798" s="30" t="s">
        <v>38</v>
      </c>
      <c r="L798" s="32">
        <v>104.000753</v>
      </c>
      <c r="M798" s="32">
        <v>9.9193560000000005</v>
      </c>
      <c r="N798" s="32" t="s">
        <v>764</v>
      </c>
      <c r="O798" s="33">
        <v>0</v>
      </c>
      <c r="P798" s="30" t="s">
        <v>39</v>
      </c>
      <c r="Q798" s="30" t="s">
        <v>31</v>
      </c>
      <c r="R798" s="34" t="s">
        <v>47</v>
      </c>
      <c r="S798" s="35">
        <v>47601</v>
      </c>
      <c r="T798" s="36" t="s">
        <v>980</v>
      </c>
      <c r="U798" s="30" t="s">
        <v>1006</v>
      </c>
      <c r="V798" s="37" t="e">
        <v>#N/A</v>
      </c>
      <c r="W798" s="31" t="s">
        <v>33</v>
      </c>
      <c r="X798" s="37"/>
      <c r="Y798" s="37">
        <f>COUNTIF(F:F,F798)</f>
        <v>1</v>
      </c>
      <c r="Z798" s="21" t="s">
        <v>1108</v>
      </c>
      <c r="AA798" s="21" t="s">
        <v>1006</v>
      </c>
      <c r="AB798" s="21" t="s">
        <v>1122</v>
      </c>
    </row>
    <row r="799" spans="1:28" ht="13.9" customHeight="1" x14ac:dyDescent="0.3">
      <c r="A799" s="30" t="s">
        <v>20</v>
      </c>
      <c r="B799" s="30" t="s">
        <v>21</v>
      </c>
      <c r="C799" s="30" t="s">
        <v>22</v>
      </c>
      <c r="D799" s="30" t="s">
        <v>23</v>
      </c>
      <c r="E799" s="30" t="s">
        <v>1053</v>
      </c>
      <c r="F799" s="31" t="s">
        <v>990</v>
      </c>
      <c r="G799" s="30" t="s">
        <v>26</v>
      </c>
      <c r="H799" s="30" t="s">
        <v>27</v>
      </c>
      <c r="I799" s="30">
        <v>3</v>
      </c>
      <c r="J799" s="30" t="s">
        <v>37</v>
      </c>
      <c r="K799" s="30" t="s">
        <v>38</v>
      </c>
      <c r="L799" s="32">
        <v>106.69309</v>
      </c>
      <c r="M799" s="32">
        <v>10.423870000000001</v>
      </c>
      <c r="N799" s="32" t="s">
        <v>98</v>
      </c>
      <c r="O799" s="33">
        <v>0</v>
      </c>
      <c r="P799" s="30" t="s">
        <v>41</v>
      </c>
      <c r="Q799" s="30" t="s">
        <v>31</v>
      </c>
      <c r="R799" s="34" t="s">
        <v>47</v>
      </c>
      <c r="S799" s="35">
        <v>48030</v>
      </c>
      <c r="T799" s="36" t="s">
        <v>593</v>
      </c>
      <c r="U799" s="30" t="s">
        <v>593</v>
      </c>
      <c r="V799" s="37" t="e">
        <v>#N/A</v>
      </c>
      <c r="W799" s="31" t="s">
        <v>33</v>
      </c>
      <c r="X799" s="37"/>
      <c r="Y799" s="37">
        <f>COUNTIF(F:F,F799)</f>
        <v>1</v>
      </c>
      <c r="Z799" s="21" t="s">
        <v>1094</v>
      </c>
      <c r="AA799" s="21" t="s">
        <v>593</v>
      </c>
      <c r="AB799" s="21" t="s">
        <v>1118</v>
      </c>
    </row>
    <row r="800" spans="1:28" ht="13.9" customHeight="1" x14ac:dyDescent="0.3">
      <c r="A800" s="30" t="s">
        <v>20</v>
      </c>
      <c r="B800" s="30" t="s">
        <v>21</v>
      </c>
      <c r="C800" s="30" t="s">
        <v>22</v>
      </c>
      <c r="D800" s="30" t="s">
        <v>23</v>
      </c>
      <c r="E800" s="30" t="s">
        <v>991</v>
      </c>
      <c r="F800" s="31" t="s">
        <v>991</v>
      </c>
      <c r="G800" s="30" t="s">
        <v>26</v>
      </c>
      <c r="H800" s="30" t="s">
        <v>27</v>
      </c>
      <c r="I800" s="30">
        <v>3</v>
      </c>
      <c r="J800" s="30" t="s">
        <v>37</v>
      </c>
      <c r="K800" s="30" t="s">
        <v>38</v>
      </c>
      <c r="L800" s="32">
        <v>106.71036599999999</v>
      </c>
      <c r="M800" s="32">
        <v>10.443583200000001</v>
      </c>
      <c r="N800" s="32" t="s">
        <v>28</v>
      </c>
      <c r="O800" s="33">
        <v>0</v>
      </c>
      <c r="P800" s="30" t="s">
        <v>41</v>
      </c>
      <c r="Q800" s="30" t="s">
        <v>31</v>
      </c>
      <c r="R800" s="34" t="s">
        <v>47</v>
      </c>
      <c r="S800" s="35">
        <v>48040</v>
      </c>
      <c r="T800" s="36" t="s">
        <v>593</v>
      </c>
      <c r="U800" s="30" t="s">
        <v>593</v>
      </c>
      <c r="V800" s="37" t="e">
        <v>#N/A</v>
      </c>
      <c r="W800" s="31" t="s">
        <v>33</v>
      </c>
      <c r="X800" s="37"/>
      <c r="Y800" s="37">
        <f>COUNTIF(F:F,F800)</f>
        <v>1</v>
      </c>
      <c r="Z800" s="21" t="s">
        <v>1094</v>
      </c>
      <c r="AA800" s="21" t="s">
        <v>593</v>
      </c>
      <c r="AB800" s="21" t="s">
        <v>1118</v>
      </c>
    </row>
    <row r="801" spans="1:28" ht="13.9" customHeight="1" x14ac:dyDescent="0.3">
      <c r="A801" s="30" t="s">
        <v>20</v>
      </c>
      <c r="B801" s="30" t="s">
        <v>21</v>
      </c>
      <c r="C801" s="30" t="s">
        <v>22</v>
      </c>
      <c r="D801" s="30" t="s">
        <v>23</v>
      </c>
      <c r="E801" s="30" t="s">
        <v>993</v>
      </c>
      <c r="F801" s="31" t="s">
        <v>993</v>
      </c>
      <c r="G801" s="30" t="s">
        <v>26</v>
      </c>
      <c r="H801" s="30" t="s">
        <v>27</v>
      </c>
      <c r="I801" s="30">
        <v>3</v>
      </c>
      <c r="J801" s="30"/>
      <c r="K801" s="30"/>
      <c r="L801" s="32">
        <v>106.6995196</v>
      </c>
      <c r="M801" s="32">
        <v>10.4039032</v>
      </c>
      <c r="N801" s="32" t="s">
        <v>28</v>
      </c>
      <c r="O801" s="33">
        <v>0</v>
      </c>
      <c r="P801" s="30" t="s">
        <v>30</v>
      </c>
      <c r="Q801" s="30" t="s">
        <v>31</v>
      </c>
      <c r="R801" s="34" t="s">
        <v>47</v>
      </c>
      <c r="S801" s="35">
        <v>48040</v>
      </c>
      <c r="T801" s="36" t="s">
        <v>593</v>
      </c>
      <c r="U801" s="30" t="s">
        <v>593</v>
      </c>
      <c r="V801" s="37" t="e">
        <v>#N/A</v>
      </c>
      <c r="W801" s="31" t="s">
        <v>33</v>
      </c>
      <c r="X801" s="37"/>
      <c r="Y801" s="37">
        <f>COUNTIF(F:F,F801)</f>
        <v>1</v>
      </c>
      <c r="Z801" s="21" t="s">
        <v>1094</v>
      </c>
      <c r="AA801" s="21" t="s">
        <v>593</v>
      </c>
      <c r="AB801" s="21" t="s">
        <v>1118</v>
      </c>
    </row>
    <row r="802" spans="1:28" ht="13.9" customHeight="1" x14ac:dyDescent="0.3">
      <c r="A802" s="36" t="s">
        <v>20</v>
      </c>
      <c r="B802" s="36" t="s">
        <v>21</v>
      </c>
      <c r="C802" s="36" t="s">
        <v>22</v>
      </c>
      <c r="D802" s="36" t="s">
        <v>23</v>
      </c>
      <c r="E802" s="36" t="s">
        <v>987</v>
      </c>
      <c r="F802" s="31" t="s">
        <v>594</v>
      </c>
      <c r="G802" s="36" t="s">
        <v>26</v>
      </c>
      <c r="H802" s="36" t="s">
        <v>27</v>
      </c>
      <c r="I802" s="30">
        <v>3</v>
      </c>
      <c r="J802" s="36"/>
      <c r="K802" s="36"/>
      <c r="L802" s="38">
        <v>106.7131991</v>
      </c>
      <c r="M802" s="38">
        <v>10.4668755</v>
      </c>
      <c r="N802" s="38" t="s">
        <v>28</v>
      </c>
      <c r="O802" s="39">
        <v>0</v>
      </c>
      <c r="P802" s="36" t="s">
        <v>30</v>
      </c>
      <c r="Q802" s="30" t="s">
        <v>31</v>
      </c>
      <c r="R802" s="40" t="s">
        <v>47</v>
      </c>
      <c r="S802" s="35">
        <v>48040</v>
      </c>
      <c r="T802" s="36" t="s">
        <v>593</v>
      </c>
      <c r="U802" s="30" t="s">
        <v>593</v>
      </c>
      <c r="V802" s="37" t="e">
        <v>#N/A</v>
      </c>
      <c r="W802" s="31" t="s">
        <v>63</v>
      </c>
      <c r="X802" s="37" t="s">
        <v>52</v>
      </c>
      <c r="Y802" s="37">
        <f>COUNTIF(F:F,F802)</f>
        <v>3</v>
      </c>
      <c r="Z802" s="21" t="s">
        <v>1094</v>
      </c>
      <c r="AA802" s="21" t="s">
        <v>593</v>
      </c>
      <c r="AB802" s="21" t="s">
        <v>1118</v>
      </c>
    </row>
    <row r="803" spans="1:28" ht="13.9" customHeight="1" x14ac:dyDescent="0.3">
      <c r="A803" s="30" t="s">
        <v>20</v>
      </c>
      <c r="B803" s="30" t="s">
        <v>21</v>
      </c>
      <c r="C803" s="30" t="s">
        <v>22</v>
      </c>
      <c r="D803" s="30" t="s">
        <v>23</v>
      </c>
      <c r="E803" s="30" t="s">
        <v>592</v>
      </c>
      <c r="F803" s="31" t="s">
        <v>594</v>
      </c>
      <c r="G803" s="30" t="s">
        <v>26</v>
      </c>
      <c r="H803" s="30" t="s">
        <v>27</v>
      </c>
      <c r="I803" s="30">
        <v>3</v>
      </c>
      <c r="J803" s="30"/>
      <c r="K803" s="30"/>
      <c r="L803" s="32">
        <v>106.73997129999999</v>
      </c>
      <c r="M803" s="32">
        <v>10.419915700000001</v>
      </c>
      <c r="N803" s="32" t="s">
        <v>28</v>
      </c>
      <c r="O803" s="33">
        <v>0</v>
      </c>
      <c r="P803" s="30" t="s">
        <v>30</v>
      </c>
      <c r="Q803" s="30" t="s">
        <v>31</v>
      </c>
      <c r="R803" s="34" t="s">
        <v>47</v>
      </c>
      <c r="S803" s="35">
        <v>48040</v>
      </c>
      <c r="T803" s="36" t="s">
        <v>593</v>
      </c>
      <c r="U803" s="30" t="s">
        <v>593</v>
      </c>
      <c r="V803" s="37" t="s">
        <v>49</v>
      </c>
      <c r="W803" s="31" t="s">
        <v>50</v>
      </c>
      <c r="X803" s="37" t="s">
        <v>52</v>
      </c>
      <c r="Y803" s="37">
        <f>COUNTIF(F:F,F803)</f>
        <v>3</v>
      </c>
      <c r="Z803" s="21" t="s">
        <v>1094</v>
      </c>
      <c r="AA803" s="21" t="s">
        <v>593</v>
      </c>
      <c r="AB803" s="21" t="s">
        <v>1118</v>
      </c>
    </row>
    <row r="804" spans="1:28" ht="14.25" customHeight="1" x14ac:dyDescent="0.3">
      <c r="A804" s="30" t="s">
        <v>20</v>
      </c>
      <c r="B804" s="30" t="s">
        <v>21</v>
      </c>
      <c r="C804" s="30" t="s">
        <v>22</v>
      </c>
      <c r="D804" s="30" t="s">
        <v>23</v>
      </c>
      <c r="E804" s="59" t="s">
        <v>988</v>
      </c>
      <c r="F804" s="31" t="s">
        <v>594</v>
      </c>
      <c r="G804" s="30" t="s">
        <v>26</v>
      </c>
      <c r="H804" s="30" t="s">
        <v>27</v>
      </c>
      <c r="I804" s="30">
        <v>3</v>
      </c>
      <c r="J804" s="30" t="s">
        <v>37</v>
      </c>
      <c r="K804" s="30" t="s">
        <v>38</v>
      </c>
      <c r="L804" s="32">
        <v>106.7170308</v>
      </c>
      <c r="M804" s="32">
        <v>10.423196900000001</v>
      </c>
      <c r="N804" s="32" t="s">
        <v>28</v>
      </c>
      <c r="O804" s="33">
        <v>0</v>
      </c>
      <c r="P804" s="30" t="s">
        <v>41</v>
      </c>
      <c r="Q804" s="30" t="s">
        <v>31</v>
      </c>
      <c r="R804" s="34" t="s">
        <v>47</v>
      </c>
      <c r="S804" s="35">
        <v>48040</v>
      </c>
      <c r="T804" s="36" t="s">
        <v>593</v>
      </c>
      <c r="U804" s="30" t="s">
        <v>593</v>
      </c>
      <c r="V804" s="37" t="e">
        <v>#N/A</v>
      </c>
      <c r="W804" s="31" t="s">
        <v>33</v>
      </c>
      <c r="X804" s="37" t="s">
        <v>42</v>
      </c>
      <c r="Y804" s="37">
        <f>COUNTIF(F:F,F804)</f>
        <v>3</v>
      </c>
      <c r="Z804" s="21" t="s">
        <v>1094</v>
      </c>
      <c r="AA804" s="21" t="s">
        <v>593</v>
      </c>
      <c r="AB804" s="21" t="s">
        <v>1118</v>
      </c>
    </row>
    <row r="805" spans="1:28" s="24" customFormat="1" x14ac:dyDescent="0.3">
      <c r="A805" s="30" t="s">
        <v>20</v>
      </c>
      <c r="B805" s="30" t="s">
        <v>21</v>
      </c>
      <c r="C805" s="30" t="s">
        <v>22</v>
      </c>
      <c r="D805" s="30" t="s">
        <v>23</v>
      </c>
      <c r="E805" s="59" t="s">
        <v>994</v>
      </c>
      <c r="F805" s="31" t="s">
        <v>994</v>
      </c>
      <c r="G805" s="30" t="s">
        <v>26</v>
      </c>
      <c r="H805" s="30" t="s">
        <v>36</v>
      </c>
      <c r="I805" s="30">
        <v>3</v>
      </c>
      <c r="J805" s="30" t="s">
        <v>37</v>
      </c>
      <c r="K805" s="30" t="s">
        <v>38</v>
      </c>
      <c r="L805" s="32">
        <v>106.72844499999999</v>
      </c>
      <c r="M805" s="32">
        <v>10.4423482</v>
      </c>
      <c r="N805" s="32" t="s">
        <v>28</v>
      </c>
      <c r="O805" s="33">
        <v>0</v>
      </c>
      <c r="P805" s="30" t="s">
        <v>39</v>
      </c>
      <c r="Q805" s="30" t="s">
        <v>31</v>
      </c>
      <c r="R805" s="34" t="s">
        <v>47</v>
      </c>
      <c r="S805" s="35">
        <v>48040</v>
      </c>
      <c r="T805" s="36" t="s">
        <v>593</v>
      </c>
      <c r="U805" s="30" t="s">
        <v>593</v>
      </c>
      <c r="V805" s="37" t="e">
        <v>#N/A</v>
      </c>
      <c r="W805" s="31" t="s">
        <v>33</v>
      </c>
      <c r="X805" s="37"/>
      <c r="Y805" s="37">
        <f>COUNTIF(F:F,F805)</f>
        <v>1</v>
      </c>
      <c r="Z805" s="21" t="s">
        <v>1094</v>
      </c>
      <c r="AA805" s="21" t="s">
        <v>593</v>
      </c>
      <c r="AB805" s="21" t="s">
        <v>1118</v>
      </c>
    </row>
    <row r="806" spans="1:28" s="24" customFormat="1" x14ac:dyDescent="0.3">
      <c r="A806" s="30" t="s">
        <v>20</v>
      </c>
      <c r="B806" s="30" t="s">
        <v>21</v>
      </c>
      <c r="C806" s="30" t="s">
        <v>22</v>
      </c>
      <c r="D806" s="30" t="s">
        <v>23</v>
      </c>
      <c r="E806" s="59" t="s">
        <v>995</v>
      </c>
      <c r="F806" s="31" t="s">
        <v>995</v>
      </c>
      <c r="G806" s="30" t="s">
        <v>26</v>
      </c>
      <c r="H806" s="30" t="s">
        <v>36</v>
      </c>
      <c r="I806" s="30">
        <v>3</v>
      </c>
      <c r="J806" s="30" t="s">
        <v>37</v>
      </c>
      <c r="K806" s="30" t="s">
        <v>38</v>
      </c>
      <c r="L806" s="32">
        <v>106.7450893</v>
      </c>
      <c r="M806" s="32">
        <v>10.447417700000001</v>
      </c>
      <c r="N806" s="32" t="s">
        <v>28</v>
      </c>
      <c r="O806" s="33">
        <v>0</v>
      </c>
      <c r="P806" s="30" t="s">
        <v>39</v>
      </c>
      <c r="Q806" s="30" t="s">
        <v>31</v>
      </c>
      <c r="R806" s="34" t="s">
        <v>47</v>
      </c>
      <c r="S806" s="35">
        <v>48040</v>
      </c>
      <c r="T806" s="36" t="s">
        <v>593</v>
      </c>
      <c r="U806" s="30" t="s">
        <v>593</v>
      </c>
      <c r="V806" s="37" t="e">
        <v>#N/A</v>
      </c>
      <c r="W806" s="31" t="s">
        <v>33</v>
      </c>
      <c r="X806" s="37"/>
      <c r="Y806" s="37">
        <f>COUNTIF(F:F,F806)</f>
        <v>1</v>
      </c>
      <c r="Z806" s="21" t="s">
        <v>1094</v>
      </c>
      <c r="AA806" s="21" t="s">
        <v>593</v>
      </c>
      <c r="AB806" s="21" t="s">
        <v>1118</v>
      </c>
    </row>
    <row r="807" spans="1:28" s="24" customFormat="1" ht="14.25" customHeight="1" x14ac:dyDescent="0.3">
      <c r="A807" s="30" t="s">
        <v>20</v>
      </c>
      <c r="B807" s="30" t="s">
        <v>21</v>
      </c>
      <c r="C807" s="30" t="s">
        <v>22</v>
      </c>
      <c r="D807" s="30" t="s">
        <v>23</v>
      </c>
      <c r="E807" s="59" t="s">
        <v>989</v>
      </c>
      <c r="F807" s="31" t="s">
        <v>989</v>
      </c>
      <c r="G807" s="30" t="s">
        <v>26</v>
      </c>
      <c r="H807" s="30" t="s">
        <v>27</v>
      </c>
      <c r="I807" s="30">
        <v>3</v>
      </c>
      <c r="J807" s="30"/>
      <c r="K807" s="30"/>
      <c r="L807" s="32">
        <v>106.74034</v>
      </c>
      <c r="M807" s="32">
        <v>10.404714999999999</v>
      </c>
      <c r="N807" s="32" t="s">
        <v>28</v>
      </c>
      <c r="O807" s="33" t="s">
        <v>29</v>
      </c>
      <c r="P807" s="30" t="s">
        <v>30</v>
      </c>
      <c r="Q807" s="30" t="s">
        <v>31</v>
      </c>
      <c r="R807" s="34" t="s">
        <v>32</v>
      </c>
      <c r="S807" s="35">
        <v>48040</v>
      </c>
      <c r="T807" s="36" t="s">
        <v>593</v>
      </c>
      <c r="U807" s="30" t="s">
        <v>593</v>
      </c>
      <c r="V807" s="37" t="e">
        <v>#N/A</v>
      </c>
      <c r="W807" s="31" t="s">
        <v>33</v>
      </c>
      <c r="X807" s="37"/>
      <c r="Y807" s="37">
        <f>COUNTIF(F:F,F807)</f>
        <v>1</v>
      </c>
      <c r="Z807" s="21" t="s">
        <v>1094</v>
      </c>
      <c r="AA807" s="21" t="s">
        <v>593</v>
      </c>
      <c r="AB807" s="21" t="s">
        <v>1118</v>
      </c>
    </row>
    <row r="808" spans="1:28" s="24" customFormat="1" ht="14.25" customHeight="1" thickBot="1" x14ac:dyDescent="0.35">
      <c r="A808" s="30" t="s">
        <v>20</v>
      </c>
      <c r="B808" s="30" t="s">
        <v>21</v>
      </c>
      <c r="C808" s="30" t="s">
        <v>22</v>
      </c>
      <c r="D808" s="30" t="s">
        <v>23</v>
      </c>
      <c r="E808" s="59" t="s">
        <v>996</v>
      </c>
      <c r="F808" s="31" t="s">
        <v>996</v>
      </c>
      <c r="G808" s="30" t="s">
        <v>26</v>
      </c>
      <c r="H808" s="30" t="s">
        <v>27</v>
      </c>
      <c r="I808" s="30">
        <v>3</v>
      </c>
      <c r="J808" s="30"/>
      <c r="K808" s="30"/>
      <c r="L808" s="32">
        <v>106.72091</v>
      </c>
      <c r="M808" s="32">
        <v>10.45871</v>
      </c>
      <c r="N808" s="32" t="s">
        <v>28</v>
      </c>
      <c r="O808" s="33">
        <v>0</v>
      </c>
      <c r="P808" s="30" t="s">
        <v>30</v>
      </c>
      <c r="Q808" s="30" t="s">
        <v>31</v>
      </c>
      <c r="R808" s="34" t="s">
        <v>47</v>
      </c>
      <c r="S808" s="35">
        <v>48040</v>
      </c>
      <c r="T808" s="36" t="s">
        <v>593</v>
      </c>
      <c r="U808" s="30" t="s">
        <v>593</v>
      </c>
      <c r="V808" s="37" t="e">
        <v>#N/A</v>
      </c>
      <c r="W808" s="31" t="s">
        <v>33</v>
      </c>
      <c r="X808" s="37"/>
      <c r="Y808" s="37">
        <f>COUNTIF(F:F,F808)</f>
        <v>1</v>
      </c>
      <c r="Z808" s="21" t="s">
        <v>1094</v>
      </c>
      <c r="AA808" s="21" t="s">
        <v>593</v>
      </c>
      <c r="AB808" s="21" t="s">
        <v>1118</v>
      </c>
    </row>
    <row r="809" spans="1:28" x14ac:dyDescent="0.3">
      <c r="S809" s="17"/>
    </row>
    <row r="813" spans="1:28" x14ac:dyDescent="0.3">
      <c r="F813"/>
    </row>
    <row r="814" spans="1:28" x14ac:dyDescent="0.3">
      <c r="F814"/>
    </row>
    <row r="815" spans="1:28" x14ac:dyDescent="0.3">
      <c r="F815"/>
    </row>
    <row r="823" spans="1:27" s="25" customFormat="1" x14ac:dyDescent="0.3">
      <c r="A823" s="15"/>
      <c r="B823" s="15"/>
      <c r="C823" s="15"/>
      <c r="D823" s="15"/>
      <c r="E823" s="13" t="s">
        <v>997</v>
      </c>
      <c r="F823" s="13"/>
      <c r="G823" s="15"/>
      <c r="H823" s="15"/>
      <c r="I823" s="15"/>
      <c r="J823" s="15"/>
      <c r="K823" s="15"/>
      <c r="L823" s="15"/>
      <c r="M823" s="15"/>
      <c r="N823" s="15"/>
      <c r="O823" s="15"/>
      <c r="P823" s="16"/>
      <c r="Q823" s="13"/>
      <c r="R823" s="15"/>
      <c r="S823" s="13"/>
      <c r="T823" s="18"/>
      <c r="U823" s="13"/>
      <c r="V823" s="19"/>
      <c r="W823" s="20"/>
      <c r="X823" s="19"/>
      <c r="Y823" s="19"/>
      <c r="Z823" s="21"/>
      <c r="AA823" s="21"/>
    </row>
  </sheetData>
  <autoFilter ref="A1:AA808" xr:uid="{A1D4C1D3-5AB9-4B89-9EAB-D6AF65069695}"/>
  <sortState xmlns:xlrd2="http://schemas.microsoft.com/office/spreadsheetml/2017/richdata2" ref="A2:AB823">
    <sortCondition ref="AA1:AA823"/>
  </sortState>
  <phoneticPr fontId="4" type="noConversion"/>
  <conditionalFormatting sqref="E804:E808">
    <cfRule type="duplicateValues" dxfId="2" priority="3"/>
  </conditionalFormatting>
  <conditionalFormatting sqref="F2:F670 F672:F808">
    <cfRule type="duplicateValues" dxfId="1" priority="1"/>
  </conditionalFormatting>
  <conditionalFormatting sqref="S1 S809:S1048576">
    <cfRule type="duplicateValues" dxfId="0" priority="6"/>
  </conditionalFormatting>
  <pageMargins left="0.7" right="0.7" top="0.75" bottom="0.75" header="0.3" footer="0.3"/>
  <pageSetup paperSize="9" orientation="portrait" horizontalDpi="300" verticalDpi="300" copies="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CRAN Review</vt:lpstr>
      <vt:lpstr>CRAN</vt:lpstr>
      <vt:lpstr>TA</vt:lpstr>
      <vt:lpstr>TA Review</vt:lpstr>
      <vt:lpstr>TAC Update</vt:lpstr>
      <vt:lpstr>swap squence</vt:lpstr>
      <vt:lpstr>CRAN核查-47Cluster)_latest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Huguowen(Hugo)</dc:creator>
  <cp:lastModifiedBy>guxue</cp:lastModifiedBy>
  <cp:lastPrinted>2006-05-08T03:14:15Z</cp:lastPrinted>
  <dcterms:created xsi:type="dcterms:W3CDTF">2003-11-13T03:46:27Z</dcterms:created>
  <dcterms:modified xsi:type="dcterms:W3CDTF">2026-04-10T07:33:46Z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